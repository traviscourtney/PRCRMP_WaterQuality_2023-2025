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Data/"/>
    </mc:Choice>
  </mc:AlternateContent>
  <xr:revisionPtr revIDLastSave="0" documentId="11_D9EC70B124BA56F4B39F0BE7A015DAC554FD833C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S" sheetId="1" r:id="rId1"/>
    <sheet name="Ent" sheetId="2" r:id="rId2"/>
    <sheet name="BOD" sheetId="3" r:id="rId3"/>
    <sheet name="TSS" sheetId="4" r:id="rId4"/>
    <sheet name="Chlor.a" sheetId="5" r:id="rId5"/>
    <sheet name="Turbidity" sheetId="6" r:id="rId6"/>
    <sheet name="All DIC raw data" sheetId="7" r:id="rId7"/>
    <sheet name="DIC Temperatures" sheetId="8" r:id="rId8"/>
    <sheet name="TKN" sheetId="9" r:id="rId9"/>
    <sheet name="NOx_PO4" sheetId="10" r:id="rId10"/>
    <sheet name="All TA raw data" sheetId="11" r:id="rId11"/>
  </sheets>
  <definedNames>
    <definedName name="_xlnm._FilterDatabase" localSheetId="0" hidden="1">SS!$A$1:$J$38</definedName>
    <definedName name="_xlnm._FilterDatabase" localSheetId="3" hidden="1">TSS!$A$1:$Q$58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JqC58zA0LWdIoX+jsCmrngbPoAE4eE3hvMFMrJoVQ/Y="/>
    </ext>
  </extLst>
</workbook>
</file>

<file path=xl/calcChain.xml><?xml version="1.0" encoding="utf-8"?>
<calcChain xmlns="http://schemas.openxmlformats.org/spreadsheetml/2006/main">
  <c r="M166" i="11" l="1"/>
  <c r="N166" i="11" s="1"/>
  <c r="M165" i="11"/>
  <c r="N165" i="11" s="1"/>
  <c r="M164" i="11"/>
  <c r="N164" i="11" s="1"/>
  <c r="M163" i="11"/>
  <c r="N163" i="11" s="1"/>
  <c r="M162" i="11"/>
  <c r="N162" i="11" s="1"/>
  <c r="M161" i="11"/>
  <c r="N161" i="11" s="1"/>
  <c r="M160" i="11"/>
  <c r="N160" i="11" s="1"/>
  <c r="M159" i="11"/>
  <c r="N159" i="11" s="1"/>
  <c r="M158" i="11"/>
  <c r="N158" i="11" s="1"/>
  <c r="M157" i="11"/>
  <c r="N157" i="11" s="1"/>
  <c r="M156" i="11"/>
  <c r="N156" i="11" s="1"/>
  <c r="M155" i="11"/>
  <c r="N155" i="11" s="1"/>
  <c r="M154" i="11"/>
  <c r="N154" i="11" s="1"/>
  <c r="M153" i="11"/>
  <c r="N153" i="11" s="1"/>
  <c r="M152" i="11"/>
  <c r="N152" i="11" s="1"/>
  <c r="M151" i="11"/>
  <c r="N151" i="11" s="1"/>
  <c r="M150" i="11"/>
  <c r="N150" i="11" s="1"/>
  <c r="M149" i="11"/>
  <c r="N149" i="11" s="1"/>
  <c r="M148" i="11"/>
  <c r="N148" i="11" s="1"/>
  <c r="M147" i="11"/>
  <c r="N147" i="11" s="1"/>
  <c r="M146" i="11"/>
  <c r="N146" i="11" s="1"/>
  <c r="M145" i="11"/>
  <c r="N145" i="11" s="1"/>
  <c r="M144" i="11"/>
  <c r="N144" i="11" s="1"/>
  <c r="M143" i="11"/>
  <c r="N143" i="11" s="1"/>
  <c r="M142" i="11"/>
  <c r="N142" i="11" s="1"/>
  <c r="M141" i="11"/>
  <c r="N141" i="11" s="1"/>
  <c r="M140" i="11"/>
  <c r="N140" i="11" s="1"/>
  <c r="M139" i="11"/>
  <c r="N139" i="11" s="1"/>
  <c r="M138" i="11"/>
  <c r="N138" i="11" s="1"/>
  <c r="M137" i="11"/>
  <c r="N137" i="11" s="1"/>
  <c r="M136" i="11"/>
  <c r="N136" i="11" s="1"/>
  <c r="M135" i="11"/>
  <c r="N135" i="11" s="1"/>
  <c r="M134" i="11"/>
  <c r="N134" i="11" s="1"/>
  <c r="M133" i="11"/>
  <c r="N133" i="11" s="1"/>
  <c r="M123" i="11"/>
  <c r="N123" i="11" s="1"/>
  <c r="M122" i="11"/>
  <c r="N122" i="11" s="1"/>
  <c r="M121" i="11"/>
  <c r="N121" i="11" s="1"/>
  <c r="M120" i="11"/>
  <c r="N120" i="11" s="1"/>
  <c r="M119" i="11"/>
  <c r="N119" i="11" s="1"/>
  <c r="M118" i="11"/>
  <c r="N118" i="11" s="1"/>
  <c r="M117" i="11"/>
  <c r="N117" i="11" s="1"/>
  <c r="M116" i="11"/>
  <c r="N116" i="11" s="1"/>
  <c r="M115" i="11"/>
  <c r="N115" i="11" s="1"/>
  <c r="M114" i="11"/>
  <c r="N114" i="11" s="1"/>
  <c r="M113" i="11"/>
  <c r="N113" i="11" s="1"/>
  <c r="M112" i="11"/>
  <c r="N112" i="11" s="1"/>
  <c r="M111" i="11"/>
  <c r="N111" i="11" s="1"/>
  <c r="M110" i="11"/>
  <c r="N110" i="11" s="1"/>
  <c r="M109" i="11"/>
  <c r="N109" i="11" s="1"/>
  <c r="M108" i="11"/>
  <c r="N108" i="11" s="1"/>
  <c r="M107" i="11"/>
  <c r="N107" i="11" s="1"/>
  <c r="M106" i="11"/>
  <c r="N106" i="11" s="1"/>
  <c r="M105" i="11"/>
  <c r="N105" i="11" s="1"/>
  <c r="M104" i="11"/>
  <c r="N104" i="11" s="1"/>
  <c r="M103" i="11"/>
  <c r="N103" i="11" s="1"/>
  <c r="M102" i="11"/>
  <c r="N102" i="11" s="1"/>
  <c r="M101" i="11"/>
  <c r="N101" i="11" s="1"/>
  <c r="M100" i="11"/>
  <c r="N100" i="11" s="1"/>
  <c r="M99" i="11"/>
  <c r="N99" i="11" s="1"/>
  <c r="M98" i="11"/>
  <c r="N98" i="11" s="1"/>
  <c r="M97" i="11"/>
  <c r="N97" i="11" s="1"/>
  <c r="M96" i="11"/>
  <c r="N96" i="11" s="1"/>
  <c r="M95" i="11"/>
  <c r="N95" i="11" s="1"/>
  <c r="M94" i="11"/>
  <c r="N94" i="11" s="1"/>
  <c r="M93" i="11"/>
  <c r="N93" i="11" s="1"/>
  <c r="M92" i="11"/>
  <c r="N92" i="11" s="1"/>
  <c r="M91" i="11"/>
  <c r="N91" i="11" s="1"/>
  <c r="M90" i="11"/>
  <c r="N90" i="11" s="1"/>
  <c r="M89" i="11"/>
  <c r="N89" i="11" s="1"/>
  <c r="M88" i="11"/>
  <c r="N88" i="11" s="1"/>
  <c r="M87" i="11"/>
  <c r="N87" i="11" s="1"/>
  <c r="M86" i="11"/>
  <c r="N86" i="11" s="1"/>
  <c r="M85" i="11"/>
  <c r="N85" i="11" s="1"/>
  <c r="M84" i="11"/>
  <c r="N84" i="11" s="1"/>
  <c r="M83" i="11"/>
  <c r="N83" i="11" s="1"/>
  <c r="M76" i="11"/>
  <c r="N76" i="11" s="1"/>
  <c r="M75" i="11"/>
  <c r="N75" i="11" s="1"/>
  <c r="M74" i="11"/>
  <c r="N74" i="11" s="1"/>
  <c r="M73" i="11"/>
  <c r="N73" i="11" s="1"/>
  <c r="M72" i="11"/>
  <c r="N72" i="11" s="1"/>
  <c r="M71" i="11"/>
  <c r="N71" i="11" s="1"/>
  <c r="M70" i="11"/>
  <c r="N70" i="11" s="1"/>
  <c r="M69" i="11"/>
  <c r="N69" i="11" s="1"/>
  <c r="M68" i="11"/>
  <c r="N68" i="11" s="1"/>
  <c r="M67" i="11"/>
  <c r="N67" i="11" s="1"/>
  <c r="M66" i="11"/>
  <c r="N66" i="11" s="1"/>
  <c r="M65" i="11"/>
  <c r="N65" i="11" s="1"/>
  <c r="M64" i="11"/>
  <c r="N64" i="11" s="1"/>
  <c r="M63" i="11"/>
  <c r="N63" i="11" s="1"/>
  <c r="M62" i="11"/>
  <c r="N62" i="11" s="1"/>
  <c r="M61" i="11"/>
  <c r="N61" i="11" s="1"/>
  <c r="M60" i="11"/>
  <c r="N60" i="11" s="1"/>
  <c r="M59" i="11"/>
  <c r="N59" i="11" s="1"/>
  <c r="M58" i="11"/>
  <c r="N58" i="11" s="1"/>
  <c r="M57" i="11"/>
  <c r="N57" i="11" s="1"/>
  <c r="M56" i="11"/>
  <c r="N56" i="11" s="1"/>
  <c r="M55" i="11"/>
  <c r="N55" i="11" s="1"/>
  <c r="M54" i="11"/>
  <c r="N54" i="11" s="1"/>
  <c r="M53" i="11"/>
  <c r="N53" i="11" s="1"/>
  <c r="M52" i="11"/>
  <c r="N52" i="11" s="1"/>
  <c r="M51" i="11"/>
  <c r="N51" i="11" s="1"/>
  <c r="M50" i="11"/>
  <c r="N50" i="11" s="1"/>
  <c r="M49" i="11"/>
  <c r="N49" i="11" s="1"/>
  <c r="M48" i="11"/>
  <c r="N48" i="11" s="1"/>
  <c r="M47" i="11"/>
  <c r="N47" i="11" s="1"/>
  <c r="M35" i="11"/>
  <c r="N35" i="11" s="1"/>
  <c r="M34" i="11"/>
  <c r="N34" i="11" s="1"/>
  <c r="M33" i="11"/>
  <c r="N33" i="11" s="1"/>
  <c r="M32" i="11"/>
  <c r="N32" i="11" s="1"/>
  <c r="M31" i="11"/>
  <c r="N31" i="11" s="1"/>
  <c r="M30" i="11"/>
  <c r="N30" i="11" s="1"/>
  <c r="M29" i="11"/>
  <c r="N29" i="11" s="1"/>
  <c r="M28" i="11"/>
  <c r="N28" i="11" s="1"/>
  <c r="M27" i="11"/>
  <c r="N27" i="11" s="1"/>
  <c r="M26" i="11"/>
  <c r="N26" i="11" s="1"/>
  <c r="M25" i="11"/>
  <c r="N25" i="11" s="1"/>
  <c r="M24" i="11"/>
  <c r="N24" i="11" s="1"/>
  <c r="M23" i="11"/>
  <c r="N23" i="11" s="1"/>
  <c r="M22" i="11"/>
  <c r="N22" i="11" s="1"/>
  <c r="M21" i="11"/>
  <c r="N21" i="11" s="1"/>
  <c r="M20" i="11"/>
  <c r="N20" i="11" s="1"/>
  <c r="M19" i="11"/>
  <c r="N19" i="11" s="1"/>
  <c r="M18" i="11"/>
  <c r="N18" i="11" s="1"/>
  <c r="M17" i="11"/>
  <c r="N17" i="11" s="1"/>
  <c r="M16" i="11"/>
  <c r="N16" i="11" s="1"/>
  <c r="M15" i="11"/>
  <c r="N15" i="11" s="1"/>
  <c r="M14" i="11"/>
  <c r="N14" i="11" s="1"/>
  <c r="Q690" i="7"/>
  <c r="Q689" i="7"/>
  <c r="Q688" i="7"/>
  <c r="Q687" i="7"/>
  <c r="Q686" i="7"/>
  <c r="Q685" i="7"/>
  <c r="Q684" i="7"/>
  <c r="Q683" i="7"/>
  <c r="Q682" i="7"/>
  <c r="Q681" i="7"/>
  <c r="Q680" i="7"/>
  <c r="Q679" i="7"/>
  <c r="Q678" i="7"/>
  <c r="Q677" i="7"/>
  <c r="Q676" i="7"/>
  <c r="Q675" i="7"/>
  <c r="Q674" i="7"/>
  <c r="Q673" i="7"/>
  <c r="Q672" i="7"/>
  <c r="Q671" i="7"/>
  <c r="Q670" i="7"/>
  <c r="Q669" i="7"/>
  <c r="Q668" i="7"/>
  <c r="Q667" i="7"/>
  <c r="Q666" i="7"/>
  <c r="Q665" i="7"/>
  <c r="Q664" i="7"/>
  <c r="Q663" i="7"/>
  <c r="Q662" i="7"/>
  <c r="Q661" i="7"/>
  <c r="Q660" i="7"/>
  <c r="Q659" i="7"/>
  <c r="Q658" i="7"/>
  <c r="Q657" i="7"/>
  <c r="Q656" i="7"/>
  <c r="Q655" i="7"/>
  <c r="Q654" i="7"/>
  <c r="Q653" i="7"/>
  <c r="Q652" i="7"/>
  <c r="Q651" i="7"/>
  <c r="Q650" i="7"/>
  <c r="Q649" i="7"/>
  <c r="Q648" i="7"/>
  <c r="Q647" i="7"/>
  <c r="Q646" i="7"/>
  <c r="Q645" i="7"/>
  <c r="Q644" i="7"/>
  <c r="Q643" i="7"/>
  <c r="Q642" i="7"/>
  <c r="Q641" i="7"/>
  <c r="Q640" i="7"/>
  <c r="Q639" i="7"/>
  <c r="Q638" i="7"/>
  <c r="Q637" i="7"/>
  <c r="Q636" i="7"/>
  <c r="Q635" i="7"/>
  <c r="Q634" i="7"/>
  <c r="Q633" i="7"/>
  <c r="Q632" i="7"/>
  <c r="Q631" i="7"/>
  <c r="Q630" i="7"/>
  <c r="Q629" i="7"/>
  <c r="Q628" i="7"/>
  <c r="Q627" i="7"/>
  <c r="Q626" i="7"/>
  <c r="Q625" i="7"/>
  <c r="Q624" i="7"/>
  <c r="Q623" i="7"/>
  <c r="Q622" i="7"/>
  <c r="Q621" i="7"/>
  <c r="Q620" i="7"/>
  <c r="Q619" i="7"/>
  <c r="Q618" i="7"/>
  <c r="Q617" i="7"/>
  <c r="Q616" i="7"/>
  <c r="Q615" i="7"/>
  <c r="Q614" i="7"/>
  <c r="Q613" i="7"/>
  <c r="Q612" i="7"/>
  <c r="Q611" i="7"/>
  <c r="Q610" i="7"/>
  <c r="Q609" i="7"/>
  <c r="Q608" i="7"/>
  <c r="Q607" i="7"/>
  <c r="Q606" i="7"/>
  <c r="Q605" i="7"/>
  <c r="Q604" i="7"/>
  <c r="Q603" i="7"/>
  <c r="Q602" i="7"/>
  <c r="Q601" i="7"/>
  <c r="Q600" i="7"/>
  <c r="Q599" i="7"/>
  <c r="Q598" i="7"/>
  <c r="Q597" i="7"/>
  <c r="Q596" i="7"/>
  <c r="Q595" i="7"/>
  <c r="Q594" i="7"/>
  <c r="Q593" i="7"/>
  <c r="Q592" i="7"/>
  <c r="Q591" i="7"/>
  <c r="Q590" i="7"/>
  <c r="Q589" i="7"/>
  <c r="Q588" i="7"/>
  <c r="Q587" i="7"/>
  <c r="Q586" i="7"/>
  <c r="Q585" i="7"/>
  <c r="Q584" i="7"/>
  <c r="Q583" i="7"/>
  <c r="Q582" i="7"/>
  <c r="Q581" i="7"/>
  <c r="Q580" i="7"/>
  <c r="Q579" i="7"/>
  <c r="Q578" i="7"/>
  <c r="Q577" i="7"/>
  <c r="Q576" i="7"/>
  <c r="Q575" i="7"/>
  <c r="Q574" i="7"/>
  <c r="Q573" i="7"/>
  <c r="Q572" i="7"/>
  <c r="Q571" i="7"/>
  <c r="Q570" i="7"/>
  <c r="Q569" i="7"/>
  <c r="Q568" i="7"/>
  <c r="Q567" i="7"/>
  <c r="Q566" i="7"/>
  <c r="Q565" i="7"/>
  <c r="Q564" i="7"/>
  <c r="Q563" i="7"/>
  <c r="Q562" i="7"/>
  <c r="Q561" i="7"/>
  <c r="Q560" i="7"/>
  <c r="Q559" i="7"/>
  <c r="Q558" i="7"/>
  <c r="Q557" i="7"/>
  <c r="Q556" i="7"/>
  <c r="Q555" i="7"/>
  <c r="Q554" i="7"/>
  <c r="Q553" i="7"/>
  <c r="Q552" i="7"/>
  <c r="Q551" i="7"/>
  <c r="Q550" i="7"/>
  <c r="Q549" i="7"/>
  <c r="Q548" i="7"/>
  <c r="Q547" i="7"/>
  <c r="Q546" i="7"/>
  <c r="Q545" i="7"/>
  <c r="Q544" i="7"/>
  <c r="Q543" i="7"/>
  <c r="Q542" i="7"/>
  <c r="Q541" i="7"/>
  <c r="Q530" i="7"/>
  <c r="Q529" i="7"/>
  <c r="Q528" i="7"/>
  <c r="Q527" i="7"/>
  <c r="Q526" i="7"/>
  <c r="Q525" i="7"/>
  <c r="Q524" i="7"/>
  <c r="Q523" i="7"/>
  <c r="Q522" i="7"/>
  <c r="Q521" i="7"/>
  <c r="Q520" i="7"/>
  <c r="Q519" i="7"/>
  <c r="Q518" i="7"/>
  <c r="Q517" i="7"/>
  <c r="Q516" i="7"/>
  <c r="Q515" i="7"/>
  <c r="Q514" i="7"/>
  <c r="Q513" i="7"/>
  <c r="Q512" i="7"/>
  <c r="Q511" i="7"/>
  <c r="Q510" i="7"/>
  <c r="Q509" i="7"/>
  <c r="Q508" i="7"/>
  <c r="Q507" i="7"/>
  <c r="Q506" i="7"/>
  <c r="Q505" i="7"/>
  <c r="Q504" i="7"/>
  <c r="Q503" i="7"/>
  <c r="Q502" i="7"/>
  <c r="Q501" i="7"/>
  <c r="Q500" i="7"/>
  <c r="Q499" i="7"/>
  <c r="Q498" i="7"/>
  <c r="Q497" i="7"/>
  <c r="Q496" i="7"/>
  <c r="Q495" i="7"/>
  <c r="Q494" i="7"/>
  <c r="Q493" i="7"/>
  <c r="Q492" i="7"/>
  <c r="Q491" i="7"/>
  <c r="Q490" i="7"/>
  <c r="Q489" i="7"/>
  <c r="Q488" i="7"/>
  <c r="Q487" i="7"/>
  <c r="Q486" i="7"/>
  <c r="Q485" i="7"/>
  <c r="Q484" i="7"/>
  <c r="Q483" i="7"/>
  <c r="Q482" i="7"/>
  <c r="Q481" i="7"/>
  <c r="Q480" i="7"/>
  <c r="Q479" i="7"/>
  <c r="Q478" i="7"/>
  <c r="Q477" i="7"/>
  <c r="Q476" i="7"/>
  <c r="Q475" i="7"/>
  <c r="Q474" i="7"/>
  <c r="Q473" i="7"/>
  <c r="Q472" i="7"/>
  <c r="Q471" i="7"/>
  <c r="Q470" i="7"/>
  <c r="Q469" i="7"/>
  <c r="Q468" i="7"/>
  <c r="Q467" i="7"/>
  <c r="Q466" i="7"/>
  <c r="Q465" i="7"/>
  <c r="Q464" i="7"/>
  <c r="Q463" i="7"/>
  <c r="Q462" i="7"/>
  <c r="Q461" i="7"/>
  <c r="Q460" i="7"/>
  <c r="Q459" i="7"/>
  <c r="Q458" i="7"/>
  <c r="Q457" i="7"/>
  <c r="Q456" i="7"/>
  <c r="Q455" i="7"/>
  <c r="Q454" i="7"/>
  <c r="Q453" i="7"/>
  <c r="Q452" i="7"/>
  <c r="Q451" i="7"/>
  <c r="Q450" i="7"/>
  <c r="Q449" i="7"/>
  <c r="Q448" i="7"/>
  <c r="Q447" i="7"/>
  <c r="Q446" i="7"/>
  <c r="Q445" i="7"/>
  <c r="Q444" i="7"/>
  <c r="Q443" i="7"/>
  <c r="Q442" i="7"/>
  <c r="Q441" i="7"/>
  <c r="Q440" i="7"/>
  <c r="Q439" i="7"/>
  <c r="Q438" i="7"/>
  <c r="Q437" i="7"/>
  <c r="Q436" i="7"/>
  <c r="Q435" i="7"/>
  <c r="Q434" i="7"/>
  <c r="Q433" i="7"/>
  <c r="Q432" i="7"/>
  <c r="Q431" i="7"/>
  <c r="Q430" i="7"/>
  <c r="Q429" i="7"/>
  <c r="Q428" i="7"/>
  <c r="Q427" i="7"/>
  <c r="Q426" i="7"/>
  <c r="Q425" i="7"/>
  <c r="Q424" i="7"/>
  <c r="Q423" i="7"/>
  <c r="Q422" i="7"/>
  <c r="Q421" i="7"/>
  <c r="Q420" i="7"/>
  <c r="Q419" i="7"/>
  <c r="Q418" i="7"/>
  <c r="Q417" i="7"/>
  <c r="Q416" i="7"/>
  <c r="Q415" i="7"/>
  <c r="Q414" i="7"/>
  <c r="Q413" i="7"/>
  <c r="Q412" i="7"/>
  <c r="Q411" i="7"/>
  <c r="Q410" i="7"/>
  <c r="Q409" i="7"/>
  <c r="Q408" i="7"/>
  <c r="Q407" i="7"/>
  <c r="Q406" i="7"/>
  <c r="Q405" i="7"/>
  <c r="Q404" i="7"/>
  <c r="Q403" i="7"/>
  <c r="Q402" i="7"/>
  <c r="Q401" i="7"/>
  <c r="Q400" i="7"/>
  <c r="Q399" i="7"/>
  <c r="Q398" i="7"/>
  <c r="Q397" i="7"/>
  <c r="Q396" i="7"/>
  <c r="Q395" i="7"/>
  <c r="Q394" i="7"/>
  <c r="Q393" i="7"/>
  <c r="Q392" i="7"/>
  <c r="Q391" i="7"/>
  <c r="Q390" i="7"/>
  <c r="Q389" i="7"/>
  <c r="Q388" i="7"/>
  <c r="Q387" i="7"/>
  <c r="Q386" i="7"/>
  <c r="Q385" i="7"/>
  <c r="Q384" i="7"/>
  <c r="Q383" i="7"/>
  <c r="Q382" i="7"/>
  <c r="Q381" i="7"/>
  <c r="Q380" i="7"/>
  <c r="Q379" i="7"/>
  <c r="Q378" i="7"/>
  <c r="Q377" i="7"/>
  <c r="Q376" i="7"/>
  <c r="Q375" i="7"/>
  <c r="Q374" i="7"/>
  <c r="Q373" i="7"/>
  <c r="Q372" i="7"/>
  <c r="Q371" i="7"/>
  <c r="Q370" i="7"/>
  <c r="Q369" i="7"/>
  <c r="Q368" i="7"/>
  <c r="Q367" i="7"/>
  <c r="Q366" i="7"/>
  <c r="Q365" i="7"/>
  <c r="Q364" i="7"/>
  <c r="Q363" i="7"/>
  <c r="Q362" i="7"/>
  <c r="Q361" i="7"/>
  <c r="Q360" i="7"/>
  <c r="Q359" i="7"/>
  <c r="Q358" i="7"/>
  <c r="Q357" i="7"/>
  <c r="Q35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Q337" i="7"/>
  <c r="Q336" i="7"/>
  <c r="Q335" i="7"/>
  <c r="Q334" i="7"/>
  <c r="Q333" i="7"/>
  <c r="Q332" i="7"/>
  <c r="Q331" i="7"/>
  <c r="Q330" i="7"/>
  <c r="Q329" i="7"/>
  <c r="Q328" i="7"/>
  <c r="Q327" i="7"/>
  <c r="Q326" i="7"/>
  <c r="Q325" i="7"/>
  <c r="Q324" i="7"/>
  <c r="Q323" i="7"/>
  <c r="Q322" i="7"/>
  <c r="Q321" i="7"/>
  <c r="Q320" i="7"/>
  <c r="Q319" i="7"/>
  <c r="Q318" i="7"/>
  <c r="Q317" i="7"/>
  <c r="Q316" i="7"/>
  <c r="Q315" i="7"/>
  <c r="Q314" i="7"/>
  <c r="Q313" i="7"/>
  <c r="Q312" i="7"/>
  <c r="Q311" i="7"/>
  <c r="Q310" i="7"/>
  <c r="Q309" i="7"/>
  <c r="Q308" i="7"/>
  <c r="Q307" i="7"/>
  <c r="Q306" i="7"/>
  <c r="Q305" i="7"/>
  <c r="Q304" i="7"/>
  <c r="Q303" i="7"/>
  <c r="Q302" i="7"/>
  <c r="Q301" i="7"/>
  <c r="Q300" i="7"/>
  <c r="Q299" i="7"/>
  <c r="Q298" i="7"/>
  <c r="Q297" i="7"/>
  <c r="Q296" i="7"/>
  <c r="Q295" i="7"/>
  <c r="Q294" i="7"/>
  <c r="Q293" i="7"/>
  <c r="Q292" i="7"/>
  <c r="Q291" i="7"/>
  <c r="Q290" i="7"/>
  <c r="Q289" i="7"/>
  <c r="Q288" i="7"/>
  <c r="Q287" i="7"/>
  <c r="Q286" i="7"/>
  <c r="Q285" i="7"/>
  <c r="Q284" i="7"/>
  <c r="Q283" i="7"/>
  <c r="Q282" i="7"/>
  <c r="Q281" i="7"/>
  <c r="Q280" i="7"/>
  <c r="Q279" i="7"/>
  <c r="Q278" i="7"/>
  <c r="Q277" i="7"/>
  <c r="Q276" i="7"/>
  <c r="Q275" i="7"/>
  <c r="Q274" i="7"/>
  <c r="Q273" i="7"/>
  <c r="Q272" i="7"/>
  <c r="Q271" i="7"/>
  <c r="Q270" i="7"/>
  <c r="Q269" i="7"/>
  <c r="Q268" i="7"/>
  <c r="Q267" i="7"/>
  <c r="Q266" i="7"/>
  <c r="Q265" i="7"/>
  <c r="Q264" i="7"/>
  <c r="Q263" i="7"/>
  <c r="Q262" i="7"/>
  <c r="Q261" i="7"/>
  <c r="Q260" i="7"/>
  <c r="Q259" i="7"/>
  <c r="Q258" i="7"/>
  <c r="Q257" i="7"/>
  <c r="Q256" i="7"/>
  <c r="Q255" i="7"/>
  <c r="Q254" i="7"/>
  <c r="Q253" i="7"/>
  <c r="Q252" i="7"/>
  <c r="Q251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121" i="3"/>
  <c r="L120" i="3"/>
  <c r="L119" i="3"/>
  <c r="L118" i="3"/>
  <c r="L117" i="3"/>
  <c r="L116" i="3"/>
  <c r="L115" i="3"/>
  <c r="O114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O102" i="3" s="1"/>
  <c r="L101" i="3"/>
  <c r="L100" i="3"/>
  <c r="L99" i="3"/>
  <c r="L98" i="3"/>
  <c r="L97" i="3"/>
  <c r="L96" i="3"/>
  <c r="L94" i="3"/>
  <c r="L93" i="3"/>
  <c r="L92" i="3"/>
  <c r="O91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O78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O66" i="3" s="1"/>
  <c r="L65" i="3"/>
  <c r="L64" i="3"/>
  <c r="L63" i="3"/>
  <c r="L62" i="3"/>
  <c r="L60" i="3"/>
  <c r="L59" i="3"/>
  <c r="L58" i="3"/>
  <c r="L57" i="3"/>
  <c r="L56" i="3"/>
  <c r="L55" i="3"/>
  <c r="L54" i="3"/>
  <c r="O53" i="3"/>
  <c r="L53" i="3"/>
  <c r="L52" i="3"/>
  <c r="L51" i="3"/>
  <c r="L50" i="3"/>
  <c r="L49" i="3"/>
  <c r="L48" i="3"/>
  <c r="L47" i="3"/>
  <c r="L45" i="3"/>
  <c r="L44" i="3"/>
  <c r="L43" i="3"/>
  <c r="L42" i="3"/>
  <c r="L41" i="3"/>
  <c r="L40" i="3"/>
  <c r="O40" i="3" s="1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O27" i="3" s="1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8" authorId="0" shapeId="0" xr:uid="{00000000-0006-0000-0100-000001000000}">
      <text>
        <r>
          <rPr>
            <sz val="12"/>
            <color theme="1"/>
            <rFont val="Calibri"/>
            <scheme val="minor"/>
          </rPr>
          <t>======
ID#AAABNvI2wF8
Martha Lucía Ricaurte Chica    (2024-05-17 14:36:47)
570 está correcto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l1z50WN4st/pnRIbs3kIWnEzD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300-00000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7" authorId="0" shapeId="0" xr:uid="{00000000-0006-0000-0500-000001000000}">
      <text>
        <r>
          <rPr>
            <sz val="12"/>
            <color theme="1"/>
            <rFont val="Calibri"/>
            <scheme val="minor"/>
          </rPr>
          <t>======
ID#AAABNvI2wF0
Martha Lucía Ricaurte Chica    (2024-05-17 14:35:18)
está correcto el 422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9RrMSOv4uAdoSlmxFYaRP/+REg=="/>
    </ext>
  </extLst>
</comments>
</file>

<file path=xl/sharedStrings.xml><?xml version="1.0" encoding="utf-8"?>
<sst xmlns="http://schemas.openxmlformats.org/spreadsheetml/2006/main" count="9077" uniqueCount="991">
  <si>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</si>
  <si>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</si>
  <si>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</si>
  <si>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</si>
  <si>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</si>
  <si>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</si>
  <si>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</si>
  <si>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</si>
  <si>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</si>
  <si>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</si>
  <si>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SS_46</t>
  </si>
  <si>
    <t>&lt; 0.1</t>
  </si>
  <si>
    <t>A</t>
  </si>
  <si>
    <t>MR</t>
  </si>
  <si>
    <t>SS_7</t>
  </si>
  <si>
    <t>SS_20</t>
  </si>
  <si>
    <t>SS_72</t>
  </si>
  <si>
    <t>SS_98</t>
  </si>
  <si>
    <t>SS_33</t>
  </si>
  <si>
    <t>SS_85</t>
  </si>
  <si>
    <t>SS_124</t>
  </si>
  <si>
    <t>SS_163</t>
  </si>
  <si>
    <t>SS_150</t>
  </si>
  <si>
    <t>SS_137</t>
  </si>
  <si>
    <t>The volume was 825 ml. The bottle was broken</t>
  </si>
  <si>
    <t>SS_189</t>
  </si>
  <si>
    <t>SS_215</t>
  </si>
  <si>
    <t>SS_371</t>
  </si>
  <si>
    <t>SS_228</t>
  </si>
  <si>
    <t>SS_241</t>
  </si>
  <si>
    <t>SS_59</t>
  </si>
  <si>
    <t>SS_254</t>
  </si>
  <si>
    <t>4/23/24
4/23/24
4/23/24
4/23/24
4/23/24
4/23/24</t>
  </si>
  <si>
    <t>SS_267</t>
  </si>
  <si>
    <t>SS_280</t>
  </si>
  <si>
    <t>SS_111</t>
  </si>
  <si>
    <t>SS_306</t>
  </si>
  <si>
    <t>SS_319</t>
  </si>
  <si>
    <t>SS_293</t>
  </si>
  <si>
    <t>JC</t>
  </si>
  <si>
    <t>SS_332</t>
  </si>
  <si>
    <t>SS_176</t>
  </si>
  <si>
    <t>SS_202</t>
  </si>
  <si>
    <t>SS_449</t>
  </si>
  <si>
    <t>SS_345</t>
  </si>
  <si>
    <t>SS_475</t>
  </si>
  <si>
    <t>SS_358</t>
  </si>
  <si>
    <t>SS_462</t>
  </si>
  <si>
    <t>SS_566</t>
  </si>
  <si>
    <t>SS_397</t>
  </si>
  <si>
    <t>SS_501</t>
  </si>
  <si>
    <t>SS_436</t>
  </si>
  <si>
    <t>SS_605</t>
  </si>
  <si>
    <t>JC/MR</t>
  </si>
  <si>
    <t>SS_618</t>
  </si>
  <si>
    <t>SS_592</t>
  </si>
  <si>
    <t>SS_527</t>
  </si>
  <si>
    <t>SS_579</t>
  </si>
  <si>
    <t>SS_423</t>
  </si>
  <si>
    <t>SS_514</t>
  </si>
  <si>
    <t>SS_410</t>
  </si>
  <si>
    <t>SS_631</t>
  </si>
  <si>
    <t>SS_540</t>
  </si>
  <si>
    <t>SS_384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</si>
  <si>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</si>
  <si>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</si>
  <si>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</si>
  <si>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</si>
  <si>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</si>
  <si>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</si>
  <si>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</si>
  <si>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</si>
  <si>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</si>
  <si>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</si>
  <si>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</si>
  <si>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</si>
  <si>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</si>
  <si>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</si>
  <si>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</si>
  <si>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</si>
  <si>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&gt; 2419.6</t>
  </si>
  <si>
    <t>Blank</t>
  </si>
  <si>
    <t>Ent_50</t>
  </si>
  <si>
    <t>Ent_11</t>
  </si>
  <si>
    <t>Ent_24</t>
  </si>
  <si>
    <t>Ent_76</t>
  </si>
  <si>
    <t>Ent_102</t>
  </si>
  <si>
    <t>Ent_37</t>
  </si>
  <si>
    <t>Ent_89</t>
  </si>
  <si>
    <t>Ent_128</t>
  </si>
  <si>
    <t>Ent_167</t>
  </si>
  <si>
    <t>Ent_154</t>
  </si>
  <si>
    <t>Ent_141</t>
  </si>
  <si>
    <t>Ent_193</t>
  </si>
  <si>
    <t>Ent_219</t>
  </si>
  <si>
    <t>MR/CH</t>
  </si>
  <si>
    <t>Ent_375</t>
  </si>
  <si>
    <t>Ent_232</t>
  </si>
  <si>
    <t>Ent_245</t>
  </si>
  <si>
    <t>Ent_63</t>
  </si>
  <si>
    <t>Ent_258</t>
  </si>
  <si>
    <t>CILM/MR</t>
  </si>
  <si>
    <t>Ent_271</t>
  </si>
  <si>
    <t>Ent_284</t>
  </si>
  <si>
    <t>Ent_115</t>
  </si>
  <si>
    <t>Ent_310</t>
  </si>
  <si>
    <t>Ent_323</t>
  </si>
  <si>
    <t>Ent_297</t>
  </si>
  <si>
    <t>Ent_336</t>
  </si>
  <si>
    <t>Ent_180</t>
  </si>
  <si>
    <t>Ent_206</t>
  </si>
  <si>
    <t>Ent_453</t>
  </si>
  <si>
    <t>Ent_349</t>
  </si>
  <si>
    <t>Ent_479</t>
  </si>
  <si>
    <t>Ent_362</t>
  </si>
  <si>
    <t>Ent_466</t>
  </si>
  <si>
    <t>Ent_570</t>
  </si>
  <si>
    <t>MN/JJ</t>
  </si>
  <si>
    <t>Ent_401</t>
  </si>
  <si>
    <t>Ent_505</t>
  </si>
  <si>
    <t>Ent_440</t>
  </si>
  <si>
    <t>Ent_609</t>
  </si>
  <si>
    <t>MN/MR</t>
  </si>
  <si>
    <t>Ent_622</t>
  </si>
  <si>
    <t>Ent_596</t>
  </si>
  <si>
    <t>Ent_531</t>
  </si>
  <si>
    <t>Ent_583</t>
  </si>
  <si>
    <t>Ent_427</t>
  </si>
  <si>
    <t>Ent_518</t>
  </si>
  <si>
    <t>Ent_414</t>
  </si>
  <si>
    <t>Ent_635</t>
  </si>
  <si>
    <t>Ent_544</t>
  </si>
  <si>
    <t>Ent_388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</si>
  <si>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</si>
  <si>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</si>
  <si>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</si>
  <si>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</si>
  <si>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</si>
  <si>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</si>
  <si>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</si>
  <si>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</si>
  <si>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</si>
  <si>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BOD_42+GGAn_surface</t>
  </si>
  <si>
    <t>BOD_42n_surface</t>
  </si>
  <si>
    <t>BOD_42_surface</t>
  </si>
  <si>
    <t>BOD_43_ bottom</t>
  </si>
  <si>
    <t>BOD_3_Surface</t>
  </si>
  <si>
    <t>BOD_4_bottom</t>
  </si>
  <si>
    <t>BOD_16_surface</t>
  </si>
  <si>
    <t>BOD_17_bottom</t>
  </si>
  <si>
    <t>BOD_68_surface</t>
  </si>
  <si>
    <t>BOD_69_bottom</t>
  </si>
  <si>
    <t>BOD_94_surface</t>
  </si>
  <si>
    <t>BOD_95_bottom</t>
  </si>
  <si>
    <t>BOD_29+GGAn_surface</t>
  </si>
  <si>
    <t>BOD_29n_surface</t>
  </si>
  <si>
    <t>BOD_29_ surface</t>
  </si>
  <si>
    <t>BOD_30_bottom</t>
  </si>
  <si>
    <t>BOD_81_surface</t>
  </si>
  <si>
    <t>BOD_82_bottom</t>
  </si>
  <si>
    <t>BOD_120_surface</t>
  </si>
  <si>
    <t>BOD_121_bottom</t>
  </si>
  <si>
    <t>BOD_159_surface</t>
  </si>
  <si>
    <t>BOD_160_bottom</t>
  </si>
  <si>
    <t>BOD_146_surface</t>
  </si>
  <si>
    <t>BOD_147_bottom</t>
  </si>
  <si>
    <t>BOD_133+GGAn_surface</t>
  </si>
  <si>
    <t>BOD_133n_surface</t>
  </si>
  <si>
    <t>BOD_133_ surface</t>
  </si>
  <si>
    <t>BOD_134_bottom</t>
  </si>
  <si>
    <t>BOD_185_surface</t>
  </si>
  <si>
    <t>BOD_186_bottom</t>
  </si>
  <si>
    <t>BOD_211_surface</t>
  </si>
  <si>
    <t>BOD_212_bottom</t>
  </si>
  <si>
    <t>BOD_367_surface</t>
  </si>
  <si>
    <t>BOD_368_bottom</t>
  </si>
  <si>
    <t>BOD_224_surface</t>
  </si>
  <si>
    <t>BOD_225_bottom</t>
  </si>
  <si>
    <t>BOD_238+GGAn_bottom</t>
  </si>
  <si>
    <t>BOD_238n_bottom</t>
  </si>
  <si>
    <t>BOD_238_ bottom</t>
  </si>
  <si>
    <t>BOD_237_surface</t>
  </si>
  <si>
    <t>BOD_55_ surface</t>
  </si>
  <si>
    <t>BOD_56_bottom</t>
  </si>
  <si>
    <t>BOD_250_ surface</t>
  </si>
  <si>
    <t>BOD_251_bottom</t>
  </si>
  <si>
    <t>BOD_263_ surface</t>
  </si>
  <si>
    <t>BOD_264_bottom</t>
  </si>
  <si>
    <t>BOD_276_ surface</t>
  </si>
  <si>
    <t>BOD_277_bottom</t>
  </si>
  <si>
    <t>BOD_107+GGAn_surface</t>
  </si>
  <si>
    <t>BOD_107n_surface</t>
  </si>
  <si>
    <t>BOD_107_ surface</t>
  </si>
  <si>
    <t>BOD_108_bottom</t>
  </si>
  <si>
    <t>BOD_302_ surface</t>
  </si>
  <si>
    <t>BOD_303_bottom</t>
  </si>
  <si>
    <t>BOD_315_ surface</t>
  </si>
  <si>
    <t>BOD_316_bottom</t>
  </si>
  <si>
    <t>BOD_289_ surface</t>
  </si>
  <si>
    <t>BOD_290_bottom</t>
  </si>
  <si>
    <t>BOD_328_ surface</t>
  </si>
  <si>
    <t>BOD_329_bottom</t>
  </si>
  <si>
    <t>BOD_172+GGAn_surface</t>
  </si>
  <si>
    <t>BOD_172n_surface</t>
  </si>
  <si>
    <t>BOD_172_ surface</t>
  </si>
  <si>
    <t>BOD_173_bottom</t>
  </si>
  <si>
    <t>BOD_198_ surface</t>
  </si>
  <si>
    <t>BOD_199_bottom</t>
  </si>
  <si>
    <t>BOD_445_ surface</t>
  </si>
  <si>
    <t>BOD_446_bottom</t>
  </si>
  <si>
    <t>BOD_341_ surface</t>
  </si>
  <si>
    <t>BOD_342_bottom</t>
  </si>
  <si>
    <t>BOD_471_ surface</t>
  </si>
  <si>
    <t>BOD_472_bottom</t>
  </si>
  <si>
    <t>BOD_354+GGAn_surface</t>
  </si>
  <si>
    <t>BOD_354n_surface</t>
  </si>
  <si>
    <t>BOD_354_ surface</t>
  </si>
  <si>
    <t>BOD_355_bottom</t>
  </si>
  <si>
    <t>BOD_458_ surface</t>
  </si>
  <si>
    <t>BOD_459_bottom</t>
  </si>
  <si>
    <t>BOD_562_ surface</t>
  </si>
  <si>
    <t>BOD_563_bottom</t>
  </si>
  <si>
    <t>BOD_393_ surface</t>
  </si>
  <si>
    <t>BOD_394_bottom</t>
  </si>
  <si>
    <t>BOD_497_ surface</t>
  </si>
  <si>
    <t>BOD_498_bottom</t>
  </si>
  <si>
    <t>BOD_432+GGAn_surface</t>
  </si>
  <si>
    <t>BOD_432n_surface</t>
  </si>
  <si>
    <t>BOD_432_ surface</t>
  </si>
  <si>
    <t>BOD_433_bottom</t>
  </si>
  <si>
    <t>NA</t>
  </si>
  <si>
    <t>BOD_601_ surface</t>
  </si>
  <si>
    <t>BOD_602_bottom</t>
  </si>
  <si>
    <t>BOD_614_ surface</t>
  </si>
  <si>
    <t>BOD_615_bottom</t>
  </si>
  <si>
    <t>BOD_588_ surface</t>
  </si>
  <si>
    <t>BOD_589_bottom</t>
  </si>
  <si>
    <t>BOD_523+GGAn_surface</t>
  </si>
  <si>
    <t>BOD_523n_surface</t>
  </si>
  <si>
    <t>BOD_523_ surface</t>
  </si>
  <si>
    <t>BOD_524_bottom</t>
  </si>
  <si>
    <t>BOD_575_surface</t>
  </si>
  <si>
    <t>BOD_576_bottom</t>
  </si>
  <si>
    <t>BOD_419_surface</t>
  </si>
  <si>
    <t>BOD_420_bottom</t>
  </si>
  <si>
    <t>BOD_510_surface</t>
  </si>
  <si>
    <t>BOD_511_bottom</t>
  </si>
  <si>
    <t>BOD_406_surface</t>
  </si>
  <si>
    <t>BOD_407_bottom</t>
  </si>
  <si>
    <t>BOD_627+GGAn_surface</t>
  </si>
  <si>
    <t>BOD_627n_surface</t>
  </si>
  <si>
    <t>BOD_627_surface</t>
  </si>
  <si>
    <t>BOD_628_bottom</t>
  </si>
  <si>
    <t>BOD_536_surface</t>
  </si>
  <si>
    <t>BOD_537_bottom</t>
  </si>
  <si>
    <t>BOD_380_surface</t>
  </si>
  <si>
    <t>BOD_381_bottom</t>
  </si>
  <si>
    <t>Cellulose weight (g)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</si>
  <si>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</si>
  <si>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</si>
  <si>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</si>
  <si>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</si>
  <si>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</si>
  <si>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</si>
  <si>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</si>
  <si>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</si>
  <si>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</si>
  <si>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</si>
  <si>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</si>
  <si>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F0021258</t>
  </si>
  <si>
    <t>OK</t>
  </si>
  <si>
    <t xml:space="preserve">Cellulose </t>
  </si>
  <si>
    <t>F0021262</t>
  </si>
  <si>
    <t>TSS_47</t>
  </si>
  <si>
    <t>F0021253</t>
  </si>
  <si>
    <t>TSS_8</t>
  </si>
  <si>
    <t>F0021152</t>
  </si>
  <si>
    <t>TSS_21</t>
  </si>
  <si>
    <t>F0021157</t>
  </si>
  <si>
    <t>TSS_73</t>
  </si>
  <si>
    <t>F0021156</t>
  </si>
  <si>
    <t>TSS_99</t>
  </si>
  <si>
    <t>F0021151</t>
  </si>
  <si>
    <t>TSS_34</t>
  </si>
  <si>
    <t>F0021266</t>
  </si>
  <si>
    <t>TSS_86</t>
  </si>
  <si>
    <t>F0021261</t>
  </si>
  <si>
    <t>2 microalgae in the filter</t>
  </si>
  <si>
    <t>TSS_125</t>
  </si>
  <si>
    <t>F0021256</t>
  </si>
  <si>
    <t>TSS_164</t>
  </si>
  <si>
    <t>F0021252</t>
  </si>
  <si>
    <t>TSS_151</t>
  </si>
  <si>
    <t>F0021257</t>
  </si>
  <si>
    <t>F0021490</t>
  </si>
  <si>
    <t>F0021486</t>
  </si>
  <si>
    <t>TSS_138</t>
  </si>
  <si>
    <t>F0021492</t>
  </si>
  <si>
    <t>2 algae</t>
  </si>
  <si>
    <t>TSS_190</t>
  </si>
  <si>
    <t>F0021251</t>
  </si>
  <si>
    <t>TSS_216</t>
  </si>
  <si>
    <t>F0021476</t>
  </si>
  <si>
    <t>TSS_372</t>
  </si>
  <si>
    <t>F0021481</t>
  </si>
  <si>
    <t>TSS_229</t>
  </si>
  <si>
    <t>F0021494</t>
  </si>
  <si>
    <t>TSS_242</t>
  </si>
  <si>
    <t>F0021489</t>
  </si>
  <si>
    <t>TSS_60</t>
  </si>
  <si>
    <t>F0021495</t>
  </si>
  <si>
    <t>TSS_268</t>
  </si>
  <si>
    <t>F0021475</t>
  </si>
  <si>
    <t>TSS_281</t>
  </si>
  <si>
    <t>F0021480</t>
  </si>
  <si>
    <t>TSS_255</t>
  </si>
  <si>
    <t>F0021498</t>
  </si>
  <si>
    <t>F0021474</t>
  </si>
  <si>
    <t>F0021485</t>
  </si>
  <si>
    <t>TSS_112</t>
  </si>
  <si>
    <t>H0015590</t>
  </si>
  <si>
    <t>TSS_307</t>
  </si>
  <si>
    <t>F0021350</t>
  </si>
  <si>
    <t>TSS_320</t>
  </si>
  <si>
    <t>F0021483</t>
  </si>
  <si>
    <t>TSS_294</t>
  </si>
  <si>
    <t>F0021482</t>
  </si>
  <si>
    <t>TSS_333</t>
  </si>
  <si>
    <t>F0021487</t>
  </si>
  <si>
    <t>TSS_177</t>
  </si>
  <si>
    <t>F0021491</t>
  </si>
  <si>
    <t>TSS_203</t>
  </si>
  <si>
    <t>F0021349</t>
  </si>
  <si>
    <t>TSS_450</t>
  </si>
  <si>
    <t>F0021497</t>
  </si>
  <si>
    <t>TSS_346</t>
  </si>
  <si>
    <t>F0021488</t>
  </si>
  <si>
    <t>TSS_476</t>
  </si>
  <si>
    <t>F0021493</t>
  </si>
  <si>
    <t>F0021394</t>
  </si>
  <si>
    <t>F0021477</t>
  </si>
  <si>
    <t>TSS_359</t>
  </si>
  <si>
    <t>F0021484</t>
  </si>
  <si>
    <t>little algae, difficult to remove</t>
  </si>
  <si>
    <t>TSS_463</t>
  </si>
  <si>
    <t>F0021478</t>
  </si>
  <si>
    <t>TSS_567</t>
  </si>
  <si>
    <t>F0021351</t>
  </si>
  <si>
    <t>TSS_398</t>
  </si>
  <si>
    <t>F0021396</t>
  </si>
  <si>
    <t>TSS_502</t>
  </si>
  <si>
    <t>H0015589</t>
  </si>
  <si>
    <t>TSS_437</t>
  </si>
  <si>
    <t>F0021496</t>
  </si>
  <si>
    <t>TSS_606</t>
  </si>
  <si>
    <t>F0021395</t>
  </si>
  <si>
    <t>TSS_619</t>
  </si>
  <si>
    <t>F0021419</t>
  </si>
  <si>
    <t>TSS_593</t>
  </si>
  <si>
    <t>F0021413</t>
  </si>
  <si>
    <t>TSS_528</t>
  </si>
  <si>
    <t>F0021248</t>
  </si>
  <si>
    <t>F0021352</t>
  </si>
  <si>
    <t>F0021353</t>
  </si>
  <si>
    <t>TSS_580</t>
  </si>
  <si>
    <t>F0021421</t>
  </si>
  <si>
    <t>TSS_424</t>
  </si>
  <si>
    <t>F0021154</t>
  </si>
  <si>
    <t>TSS_515</t>
  </si>
  <si>
    <t>F0021150</t>
  </si>
  <si>
    <t>TSS_411</t>
  </si>
  <si>
    <t>F0021269</t>
  </si>
  <si>
    <t>TSS_632</t>
  </si>
  <si>
    <t>F0021148</t>
  </si>
  <si>
    <t>TSS_541</t>
  </si>
  <si>
    <t>F0021422</t>
  </si>
  <si>
    <t>TSS_385</t>
  </si>
  <si>
    <t>F0021149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</si>
  <si>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</si>
  <si>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</si>
  <si>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</si>
  <si>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</si>
  <si>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</si>
  <si>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</si>
  <si>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</si>
  <si>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</si>
  <si>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</si>
  <si>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</si>
  <si>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</si>
  <si>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</si>
  <si>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</si>
  <si>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</si>
  <si>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</si>
  <si>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</si>
  <si>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(217ug/L)</t>
  </si>
  <si>
    <t>Chl_a_44</t>
  </si>
  <si>
    <t>Chl_a_5</t>
  </si>
  <si>
    <t>Chl_a_18</t>
  </si>
  <si>
    <t>Chl_a_70</t>
  </si>
  <si>
    <t>Chl_a_96</t>
  </si>
  <si>
    <t>Chl_a_31</t>
  </si>
  <si>
    <t>Chl_a_83</t>
  </si>
  <si>
    <t>Chl_a_122</t>
  </si>
  <si>
    <t>Chl_a_161</t>
  </si>
  <si>
    <t>Chl_a_148</t>
  </si>
  <si>
    <t>Chl_a_135</t>
  </si>
  <si>
    <t>Chl_a_187</t>
  </si>
  <si>
    <t>Chl_a_213</t>
  </si>
  <si>
    <t>Chl_a_226</t>
  </si>
  <si>
    <t>Chl_a_239</t>
  </si>
  <si>
    <t>Chl_a_369</t>
  </si>
  <si>
    <t>Chl_a_57</t>
  </si>
  <si>
    <t>Chl_a_252</t>
  </si>
  <si>
    <t>Chl_a_265</t>
  </si>
  <si>
    <t>Chl_a_278</t>
  </si>
  <si>
    <t>Chl_a_109</t>
  </si>
  <si>
    <t>Chl_a_304</t>
  </si>
  <si>
    <t>Chl_a_317</t>
  </si>
  <si>
    <t>Chl_a_291</t>
  </si>
  <si>
    <t>Chl_a_330</t>
  </si>
  <si>
    <t>Chl_a_174</t>
  </si>
  <si>
    <t>Chl_a_200</t>
  </si>
  <si>
    <t>Chl_a_447</t>
  </si>
  <si>
    <t>Chl_a_343</t>
  </si>
  <si>
    <t>Chl_a_473</t>
  </si>
  <si>
    <t>Chl_a_356</t>
  </si>
  <si>
    <t>Chl_a_460</t>
  </si>
  <si>
    <t>Chl_a_564</t>
  </si>
  <si>
    <t>Chl_a_395</t>
  </si>
  <si>
    <t>Chl_a_499</t>
  </si>
  <si>
    <t>Chl_a_434</t>
  </si>
  <si>
    <t>Chl_a_603</t>
  </si>
  <si>
    <t>Ana made the filtration in the field (RB&amp;B)</t>
  </si>
  <si>
    <t>Chl_a_616</t>
  </si>
  <si>
    <t>Chl_a_590</t>
  </si>
  <si>
    <t>Chl_a_525</t>
  </si>
  <si>
    <t>Chl_a_577</t>
  </si>
  <si>
    <t>Chl_a_421</t>
  </si>
  <si>
    <t>Chl_a_512</t>
  </si>
  <si>
    <t>Chl_a_408</t>
  </si>
  <si>
    <t>Chl_a_629</t>
  </si>
  <si>
    <t>Chl_a_538</t>
  </si>
  <si>
    <t>Chl_a_382</t>
  </si>
  <si>
    <t xml:space="preserve">Date Collected </t>
  </si>
  <si>
    <t xml:space="preserve">Time Collected </t>
  </si>
  <si>
    <t>Date Analyzed</t>
  </si>
  <si>
    <t>Time Analyzed</t>
  </si>
  <si>
    <t>NTU</t>
  </si>
  <si>
    <t>Turb_45</t>
  </si>
  <si>
    <t>Turb_6</t>
  </si>
  <si>
    <t>Turb_19</t>
  </si>
  <si>
    <t>Turb_71</t>
  </si>
  <si>
    <t>Turb_97</t>
  </si>
  <si>
    <t>Turb_32</t>
  </si>
  <si>
    <t>Turb_84</t>
  </si>
  <si>
    <t>Turb_123</t>
  </si>
  <si>
    <t>CH</t>
  </si>
  <si>
    <t>Turb_162</t>
  </si>
  <si>
    <t>Turb_149</t>
  </si>
  <si>
    <t>Turb_136</t>
  </si>
  <si>
    <t>Turb_188</t>
  </si>
  <si>
    <t>Turb_214</t>
  </si>
  <si>
    <t>Turb_370</t>
  </si>
  <si>
    <t>Turb_227</t>
  </si>
  <si>
    <t>Turb_240</t>
  </si>
  <si>
    <t>Turb_58</t>
  </si>
  <si>
    <t>Turb_253</t>
  </si>
  <si>
    <t>Turb_266</t>
  </si>
  <si>
    <t>Turb_279</t>
  </si>
  <si>
    <t>Turb_110</t>
  </si>
  <si>
    <t>Turb_305</t>
  </si>
  <si>
    <t>Turb_318</t>
  </si>
  <si>
    <t>Turb_292</t>
  </si>
  <si>
    <t>Turb_331</t>
  </si>
  <si>
    <t>Turb_175</t>
  </si>
  <si>
    <t>Turb_448</t>
  </si>
  <si>
    <t>Turb_344</t>
  </si>
  <si>
    <t>Turb_474</t>
  </si>
  <si>
    <t>Turb_357</t>
  </si>
  <si>
    <t>Turb_461</t>
  </si>
  <si>
    <t>Turb_201</t>
  </si>
  <si>
    <t>Turb_565</t>
  </si>
  <si>
    <t>Turb_396</t>
  </si>
  <si>
    <t>Turb_500</t>
  </si>
  <si>
    <t>Turb_435</t>
  </si>
  <si>
    <t>Turb_604</t>
  </si>
  <si>
    <t>Turb_617</t>
  </si>
  <si>
    <t>Turb_591</t>
  </si>
  <si>
    <t>Turb_526</t>
  </si>
  <si>
    <t>Turb_409</t>
  </si>
  <si>
    <t>Turb_630</t>
  </si>
  <si>
    <t>Turb_539</t>
  </si>
  <si>
    <t>Turb_383</t>
  </si>
  <si>
    <t>Turb_578</t>
  </si>
  <si>
    <t>Turb_422</t>
  </si>
  <si>
    <t>Turb_513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</si>
  <si>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</si>
  <si>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</si>
  <si>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</si>
  <si>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</si>
  <si>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</si>
  <si>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</si>
  <si>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</si>
  <si>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</si>
  <si>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</si>
  <si>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</si>
  <si>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</si>
  <si>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</si>
  <si>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</si>
  <si>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</si>
  <si>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</si>
  <si>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DIC_corr_uM</t>
  </si>
  <si>
    <t>Corrections</t>
  </si>
  <si>
    <t>QA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</si>
  <si>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</si>
  <si>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</si>
  <si>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</si>
  <si>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</si>
  <si>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</si>
  <si>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</si>
  <si>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</si>
  <si>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</si>
  <si>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</si>
  <si>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</si>
  <si>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</si>
  <si>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</si>
  <si>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</si>
  <si>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</si>
  <si>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</si>
  <si>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</si>
  <si>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</si>
  <si>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</si>
  <si>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</si>
  <si>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</si>
  <si>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</si>
  <si>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</si>
  <si>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</si>
  <si>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</si>
  <si>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</si>
  <si>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</si>
  <si>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</si>
  <si>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</si>
  <si>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0010A-1-1</t>
  </si>
  <si>
    <t>1A</t>
  </si>
  <si>
    <t>CRM_213_0494</t>
  </si>
  <si>
    <t>Excluded</t>
  </si>
  <si>
    <t>0010A-1-2</t>
  </si>
  <si>
    <t>0010A-1-3</t>
  </si>
  <si>
    <t>0010A-1-4</t>
  </si>
  <si>
    <t>0010B-1-1</t>
  </si>
  <si>
    <t>1B</t>
  </si>
  <si>
    <t>0010B-1-2</t>
  </si>
  <si>
    <t>0010B-1-3</t>
  </si>
  <si>
    <t>0010C-1-1</t>
  </si>
  <si>
    <t>1C</t>
  </si>
  <si>
    <t>0010C-1-2</t>
  </si>
  <si>
    <t>0010C-1-3</t>
  </si>
  <si>
    <t>0011S-1-1</t>
  </si>
  <si>
    <t>0011S-1-2</t>
  </si>
  <si>
    <t>0011S-1-3</t>
  </si>
  <si>
    <t>0012S-1-1</t>
  </si>
  <si>
    <t>D</t>
  </si>
  <si>
    <t>0012S-1-2</t>
  </si>
  <si>
    <t>0012S-1-3</t>
  </si>
  <si>
    <t>0013S-1-1</t>
  </si>
  <si>
    <t>E</t>
  </si>
  <si>
    <t>0013S-1-2</t>
  </si>
  <si>
    <t>0013S-1-3</t>
  </si>
  <si>
    <t>0013S-1-4</t>
  </si>
  <si>
    <t>0014S-1-1</t>
  </si>
  <si>
    <t>F</t>
  </si>
  <si>
    <t>0014S-1-2</t>
  </si>
  <si>
    <t>0014S-1-3</t>
  </si>
  <si>
    <t>0014S-1-4</t>
  </si>
  <si>
    <t>0015S-1-1</t>
  </si>
  <si>
    <t>G</t>
  </si>
  <si>
    <t>0015S-1-2</t>
  </si>
  <si>
    <t>0015S-1-3</t>
  </si>
  <si>
    <t>0015S-1-4</t>
  </si>
  <si>
    <t>0015S-1-5</t>
  </si>
  <si>
    <t>0016S-1-1</t>
  </si>
  <si>
    <t>H</t>
  </si>
  <si>
    <t>R</t>
  </si>
  <si>
    <t>Failed</t>
  </si>
  <si>
    <t>0016S-1-2</t>
  </si>
  <si>
    <t>0016S-1-3</t>
  </si>
  <si>
    <t>0016S-1-4</t>
  </si>
  <si>
    <t>0016S-1-5</t>
  </si>
  <si>
    <t>0016S-2-1</t>
  </si>
  <si>
    <t>0016S-2-2</t>
  </si>
  <si>
    <t>0016S-2-3</t>
  </si>
  <si>
    <t>0016S-2-4</t>
  </si>
  <si>
    <t>0016S-2-5</t>
  </si>
  <si>
    <t>0017S-1-1</t>
  </si>
  <si>
    <t>I</t>
  </si>
  <si>
    <t>0017S-1-2</t>
  </si>
  <si>
    <t>0017S-1-3</t>
  </si>
  <si>
    <t>0018S-1-1</t>
  </si>
  <si>
    <t>J</t>
  </si>
  <si>
    <t>0018S-1-2</t>
  </si>
  <si>
    <t>0018S-1-3</t>
  </si>
  <si>
    <t>0018S-1-4</t>
  </si>
  <si>
    <t>0019S-1-1</t>
  </si>
  <si>
    <t>K</t>
  </si>
  <si>
    <t>0019S-1-2</t>
  </si>
  <si>
    <t>0019S-1-3</t>
  </si>
  <si>
    <t>0020S-1-1</t>
  </si>
  <si>
    <t>0020S-1-2</t>
  </si>
  <si>
    <t>0020S-1-3</t>
  </si>
  <si>
    <t>0020S-1-4</t>
  </si>
  <si>
    <t>0021S-1-1</t>
  </si>
  <si>
    <t>0021S-1-2</t>
  </si>
  <si>
    <t>0021S-1-3</t>
  </si>
  <si>
    <t>0021S-1-4</t>
  </si>
  <si>
    <t>0022S-1-1</t>
  </si>
  <si>
    <t>0022S-1-2</t>
  </si>
  <si>
    <t>0022S-1-3</t>
  </si>
  <si>
    <t>0023S-1-1</t>
  </si>
  <si>
    <t>0023S-1-2</t>
  </si>
  <si>
    <t>0023S-1-3</t>
  </si>
  <si>
    <t>0023S-1-4</t>
  </si>
  <si>
    <t>0023S-1-5</t>
  </si>
  <si>
    <t>0023S-2-1</t>
  </si>
  <si>
    <t>0023S-2-2</t>
  </si>
  <si>
    <t>0023S-2-3</t>
  </si>
  <si>
    <t>0023S-2-4</t>
  </si>
  <si>
    <t>0023S-2-5</t>
  </si>
  <si>
    <t>0024S-1-1</t>
  </si>
  <si>
    <t>0024S-1-2</t>
  </si>
  <si>
    <t>0024S-1-3</t>
  </si>
  <si>
    <t>0024S-1-4</t>
  </si>
  <si>
    <t>0024S-1-5</t>
  </si>
  <si>
    <t>0025S-1-1</t>
  </si>
  <si>
    <t>0025S-1-2</t>
  </si>
  <si>
    <t>0025S-1-3</t>
  </si>
  <si>
    <t>0025S-1-4</t>
  </si>
  <si>
    <t>0025S-1-5</t>
  </si>
  <si>
    <t>0025S-2-1</t>
  </si>
  <si>
    <t>0025S-2-2</t>
  </si>
  <si>
    <t>0025S-2-3</t>
  </si>
  <si>
    <t>0025S-2-4</t>
  </si>
  <si>
    <t>0025S-2-5</t>
  </si>
  <si>
    <t>0026S-1-1</t>
  </si>
  <si>
    <t>0026S-1-2</t>
  </si>
  <si>
    <t>0026S-1-3</t>
  </si>
  <si>
    <t>0026S-1-4</t>
  </si>
  <si>
    <t>0026S-1-5</t>
  </si>
  <si>
    <t>0027S-1-1</t>
  </si>
  <si>
    <t>0027S-1-2</t>
  </si>
  <si>
    <t>0027S-1-3</t>
  </si>
  <si>
    <t>0028S-1-1</t>
  </si>
  <si>
    <t>0028S-1-2</t>
  </si>
  <si>
    <t>0028S-1-3</t>
  </si>
  <si>
    <t>0028S-1-4</t>
  </si>
  <si>
    <t>0029S-1-1</t>
  </si>
  <si>
    <t>0029S-1-2</t>
  </si>
  <si>
    <t>0029S-1-3</t>
  </si>
  <si>
    <t>0010S-1-1</t>
  </si>
  <si>
    <t>0014A-1-1</t>
  </si>
  <si>
    <t>CRM_213_0430</t>
  </si>
  <si>
    <t>0014A-1-2</t>
  </si>
  <si>
    <t>0014A-1-3</t>
  </si>
  <si>
    <t>0014A-1-4</t>
  </si>
  <si>
    <t>0014A-1-5</t>
  </si>
  <si>
    <t>0014A-2-1</t>
  </si>
  <si>
    <t>0014A-2-2</t>
  </si>
  <si>
    <t>0014A-2-3</t>
  </si>
  <si>
    <t>0014A-2-4</t>
  </si>
  <si>
    <t>0014B-1-1</t>
  </si>
  <si>
    <t>0014B-1-2</t>
  </si>
  <si>
    <t>0014B-1-3</t>
  </si>
  <si>
    <t>0014B-1-4</t>
  </si>
  <si>
    <t>0014B-1-5</t>
  </si>
  <si>
    <t>0014B-2-1</t>
  </si>
  <si>
    <t>0014B-2-2</t>
  </si>
  <si>
    <t>0014B-2-3</t>
  </si>
  <si>
    <t>0014B-2-4</t>
  </si>
  <si>
    <t>0014C-1-1</t>
  </si>
  <si>
    <t>0014C-1-2</t>
  </si>
  <si>
    <t>0014C-1-3</t>
  </si>
  <si>
    <t>0018S-1-5</t>
  </si>
  <si>
    <t>0018S-2-1</t>
  </si>
  <si>
    <t>0018S-2-2</t>
  </si>
  <si>
    <t>0018S-2-3</t>
  </si>
  <si>
    <t>0019S-1-4</t>
  </si>
  <si>
    <t>0019S-1-5</t>
  </si>
  <si>
    <t>0020S-1-5</t>
  </si>
  <si>
    <t>0021S-1-5</t>
  </si>
  <si>
    <t>0021S-2-1</t>
  </si>
  <si>
    <t>0021S-2-2</t>
  </si>
  <si>
    <t>0021S-2-3</t>
  </si>
  <si>
    <t>0021S-2-4</t>
  </si>
  <si>
    <t>0021S-2-5</t>
  </si>
  <si>
    <t>0022S-1-4</t>
  </si>
  <si>
    <t>0022S-1-5</t>
  </si>
  <si>
    <t>0005A-1-1</t>
  </si>
  <si>
    <t>CRM_213_0370</t>
  </si>
  <si>
    <t>0005A-1-2</t>
  </si>
  <si>
    <t>0005A-1-3</t>
  </si>
  <si>
    <t>0005A-1-4</t>
  </si>
  <si>
    <t>0005B-1-1</t>
  </si>
  <si>
    <t>0005B-1-2</t>
  </si>
  <si>
    <t>0005B-1-3</t>
  </si>
  <si>
    <t>0005C-1-1</t>
  </si>
  <si>
    <t>0005C-1-2</t>
  </si>
  <si>
    <t>0005C-1-3</t>
  </si>
  <si>
    <t>0005C-1-4</t>
  </si>
  <si>
    <t>0005C-1-5</t>
  </si>
  <si>
    <t>0006S-1-2</t>
  </si>
  <si>
    <t>0006S-1-3</t>
  </si>
  <si>
    <t>0007S-1-2</t>
  </si>
  <si>
    <t>0007S-1-3</t>
  </si>
  <si>
    <t>0007S-1-4</t>
  </si>
  <si>
    <t>0008S-1-2</t>
  </si>
  <si>
    <t>0008S-1-3</t>
  </si>
  <si>
    <t>0009S-1-2</t>
  </si>
  <si>
    <t>0009S-1-3</t>
  </si>
  <si>
    <t>0009S-1-4</t>
  </si>
  <si>
    <t>0009S-1-5</t>
  </si>
  <si>
    <t>0010S-1-2</t>
  </si>
  <si>
    <t>0010S-1-3</t>
  </si>
  <si>
    <t>0010S-1-4</t>
  </si>
  <si>
    <t>0011S-1-4</t>
  </si>
  <si>
    <t>0011S-1-5</t>
  </si>
  <si>
    <t>0013S-1-5</t>
  </si>
  <si>
    <t>0013S-2-1</t>
  </si>
  <si>
    <t>0013S-2-2</t>
  </si>
  <si>
    <t>0013S-2-3</t>
  </si>
  <si>
    <t>0013S-2-4</t>
  </si>
  <si>
    <t>0013S-2-5</t>
  </si>
  <si>
    <t>0020S-2-1</t>
  </si>
  <si>
    <t>0020S-2-2</t>
  </si>
  <si>
    <t>0020S-2-3</t>
  </si>
  <si>
    <t>0022S-2-1</t>
  </si>
  <si>
    <t>0022S-2-2</t>
  </si>
  <si>
    <t>0022S-2-3</t>
  </si>
  <si>
    <t>0022S-2-4</t>
  </si>
  <si>
    <t>0022S-2-5</t>
  </si>
  <si>
    <t>CRM_213_0306</t>
  </si>
  <si>
    <t>0005A-1-5</t>
  </si>
  <si>
    <t>0005B-1-4</t>
  </si>
  <si>
    <t>0006S-1-4</t>
  </si>
  <si>
    <t>0006S-1-5</t>
  </si>
  <si>
    <t>0006S-2-1</t>
  </si>
  <si>
    <t>0006S-2-2</t>
  </si>
  <si>
    <t>0006S-2-3</t>
  </si>
  <si>
    <t>0009S-2-1</t>
  </si>
  <si>
    <t>0009S-2-2</t>
  </si>
  <si>
    <t>0009S-2-3</t>
  </si>
  <si>
    <t>0009S-2-4</t>
  </si>
  <si>
    <t>0012S-1-4</t>
  </si>
  <si>
    <t>0012S-1-5</t>
  </si>
  <si>
    <t>0014S-1-5</t>
  </si>
  <si>
    <t>0019S-2-1</t>
  </si>
  <si>
    <t>0019S-2-2</t>
  </si>
  <si>
    <t>0019S-2-3</t>
  </si>
  <si>
    <t>0019S-2-4</t>
  </si>
  <si>
    <t>0016A-1-1</t>
  </si>
  <si>
    <t>CRM_213_0718</t>
  </si>
  <si>
    <t>0016A-1-2</t>
  </si>
  <si>
    <t>0016A-1-3</t>
  </si>
  <si>
    <t>0016A-1-4</t>
  </si>
  <si>
    <t>0016B-1-1</t>
  </si>
  <si>
    <t>0016B-1-2</t>
  </si>
  <si>
    <t>0016B-1-3</t>
  </si>
  <si>
    <t>0016C-1-1</t>
  </si>
  <si>
    <t>0016C-1-2</t>
  </si>
  <si>
    <t>0016C-1-3</t>
  </si>
  <si>
    <t>0017S-1-4</t>
  </si>
  <si>
    <t>0017S-1-5</t>
  </si>
  <si>
    <t>0027S-1-4</t>
  </si>
  <si>
    <t>0028S-1-5</t>
  </si>
  <si>
    <t>0028S-2-1</t>
  </si>
  <si>
    <t>0028S-2-2</t>
  </si>
  <si>
    <t>0028S-2-3</t>
  </si>
  <si>
    <t>0028S-2-4</t>
  </si>
  <si>
    <t>0028S-2-5</t>
  </si>
  <si>
    <t>0029S-1-4</t>
  </si>
  <si>
    <t>0029S-1-5</t>
  </si>
  <si>
    <t>0030S-1-1</t>
  </si>
  <si>
    <t>0030S-1-2</t>
  </si>
  <si>
    <t>0030S-1-3</t>
  </si>
  <si>
    <t>0031S-1-1</t>
  </si>
  <si>
    <t>0031S-1-2</t>
  </si>
  <si>
    <t>0031S-1-3</t>
  </si>
  <si>
    <t>0031S-1-4</t>
  </si>
  <si>
    <t>CRM_213_0660</t>
  </si>
  <si>
    <t>CRM input incorrectly, offset applied</t>
  </si>
  <si>
    <t>CRM-213-0660</t>
  </si>
  <si>
    <t>0030S-1-4</t>
  </si>
  <si>
    <t>0032S-1-1</t>
  </si>
  <si>
    <t>0032S-1-2</t>
  </si>
  <si>
    <t>0032S-1-3</t>
  </si>
  <si>
    <t>0032S-1-4</t>
  </si>
  <si>
    <t>0033S-1-1</t>
  </si>
  <si>
    <t>0033S-1-2</t>
  </si>
  <si>
    <t>0033S-1-3</t>
  </si>
  <si>
    <t>0034S-1-1</t>
  </si>
  <si>
    <t>0034S-1-2</t>
  </si>
  <si>
    <t>0034S-1-3</t>
  </si>
  <si>
    <t>0035S-1-1</t>
  </si>
  <si>
    <t>0035S-1-2</t>
  </si>
  <si>
    <t>0035S-1-3</t>
  </si>
  <si>
    <t>CRM_213_0615</t>
  </si>
  <si>
    <t>0017A-1-1</t>
  </si>
  <si>
    <t>0017A-1-2</t>
  </si>
  <si>
    <t>0017A-1-3</t>
  </si>
  <si>
    <t>0017B-1-1</t>
  </si>
  <si>
    <t>0017B-1-2</t>
  </si>
  <si>
    <t>CRM_213_0616</t>
  </si>
  <si>
    <t>0017B-1-3</t>
  </si>
  <si>
    <t>CRM_213_0617</t>
  </si>
  <si>
    <t>0017B-1-4</t>
  </si>
  <si>
    <t>CRM_213_0618</t>
  </si>
  <si>
    <t>0017B-1-5</t>
  </si>
  <si>
    <t>CRM_213_0619</t>
  </si>
  <si>
    <t>0017B-2-1</t>
  </si>
  <si>
    <t>CRM_213_0620</t>
  </si>
  <si>
    <t>0017B-2-2</t>
  </si>
  <si>
    <t>CRM_213_0621</t>
  </si>
  <si>
    <t>0017B-2-3</t>
  </si>
  <si>
    <t>CRM_213_0622</t>
  </si>
  <si>
    <t>0017B-2-4</t>
  </si>
  <si>
    <t>CRM_213_0623</t>
  </si>
  <si>
    <t>0017C-1-1</t>
  </si>
  <si>
    <t>CRM_213_0624</t>
  </si>
  <si>
    <t>0017C-1-2</t>
  </si>
  <si>
    <t>CRM_213_0625</t>
  </si>
  <si>
    <t>0017C-1-3</t>
  </si>
  <si>
    <t>CRM_213_0626</t>
  </si>
  <si>
    <t>Date</t>
  </si>
  <si>
    <t>Sample</t>
  </si>
  <si>
    <t>Temperature (C)</t>
  </si>
  <si>
    <t>CRM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</si>
  <si>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</si>
  <si>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</si>
  <si>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</si>
  <si>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</si>
  <si>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</si>
  <si>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</si>
  <si>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</si>
  <si>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</si>
  <si>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</si>
  <si>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</si>
  <si>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</si>
  <si>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</si>
  <si>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</si>
  <si>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</si>
  <si>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</si>
  <si>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&lt;0.08</t>
  </si>
  <si>
    <t>Baseline</t>
  </si>
  <si>
    <t>BASL</t>
  </si>
  <si>
    <t>High</t>
  </si>
  <si>
    <t>HIGH</t>
  </si>
  <si>
    <t>Low</t>
  </si>
  <si>
    <t xml:space="preserve">LOW </t>
  </si>
  <si>
    <t>SAMP</t>
  </si>
  <si>
    <t>Blank Spike Dig.</t>
  </si>
  <si>
    <t>SPIK</t>
  </si>
  <si>
    <t>CRM [1.5 mg/L]</t>
  </si>
  <si>
    <t>QUAL</t>
  </si>
  <si>
    <t>517 spiked</t>
  </si>
  <si>
    <t>413 spiked</t>
  </si>
  <si>
    <t>569 spiked</t>
  </si>
  <si>
    <t>C. 2.22</t>
  </si>
  <si>
    <t>C. 1.66</t>
  </si>
  <si>
    <t>C. 1.11</t>
  </si>
  <si>
    <t>C. 0.55</t>
  </si>
  <si>
    <t>C. 0.22</t>
  </si>
  <si>
    <t>Blnk. Spike</t>
  </si>
  <si>
    <t>36 SpTest NoAcid</t>
  </si>
  <si>
    <t>36 SpTest Acid</t>
  </si>
  <si>
    <t>36 spiked</t>
  </si>
  <si>
    <t>114 SpTest NoAcid</t>
  </si>
  <si>
    <t>114 SpTest Acid</t>
  </si>
  <si>
    <t>114 spiked</t>
  </si>
  <si>
    <t>231 SpTest NoAcid</t>
  </si>
  <si>
    <t>231 SpTest Acid</t>
  </si>
  <si>
    <t>231 spiked</t>
  </si>
  <si>
    <t>End</t>
  </si>
  <si>
    <t xml:space="preserve">END </t>
  </si>
  <si>
    <t>Results 3</t>
  </si>
  <si>
    <t>NOx_mg/L</t>
  </si>
  <si>
    <t>PO4_mg/L</t>
  </si>
  <si>
    <t>NOx_LOD</t>
  </si>
  <si>
    <t>PO4_LOD</t>
  </si>
  <si>
    <t>&lt;0.007</t>
  </si>
  <si>
    <t>&lt;0.0009</t>
  </si>
  <si>
    <t>Blank spiked</t>
  </si>
  <si>
    <t>CRM [0.15/0.03]</t>
  </si>
  <si>
    <t>CRM Old</t>
  </si>
  <si>
    <t>152 spiked</t>
  </si>
  <si>
    <t>87 spiked</t>
  </si>
  <si>
    <t>48 Dup</t>
  </si>
  <si>
    <t>61 spiked</t>
  </si>
  <si>
    <t>&lt;0.006</t>
  </si>
  <si>
    <t>Cal. (1)</t>
  </si>
  <si>
    <t>&lt;0.004</t>
  </si>
  <si>
    <t>425 spiked</t>
  </si>
  <si>
    <t>542 spiked</t>
  </si>
  <si>
    <t>399 spiked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</si>
  <si>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</si>
  <si>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</si>
  <si>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</si>
  <si>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</si>
  <si>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</si>
  <si>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</si>
  <si>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</si>
  <si>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</si>
  <si>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</si>
  <si>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Density_kgL</t>
  </si>
  <si>
    <t>TA_umolkg</t>
  </si>
  <si>
    <t>User</t>
  </si>
  <si>
    <t>0001S-1</t>
  </si>
  <si>
    <t>Na2CO3</t>
  </si>
  <si>
    <t>&gt;30</t>
  </si>
  <si>
    <t>0001S-2</t>
  </si>
  <si>
    <t>0001S-3</t>
  </si>
  <si>
    <t>Canceled</t>
  </si>
  <si>
    <t>0001S-4</t>
  </si>
  <si>
    <t>0001S-5</t>
  </si>
  <si>
    <t>0001S-6</t>
  </si>
  <si>
    <t>0001S-7</t>
  </si>
  <si>
    <t>0001S-8</t>
  </si>
  <si>
    <t>0001S-9</t>
  </si>
  <si>
    <t>0002C-1</t>
  </si>
  <si>
    <t>CRM-213-0494</t>
  </si>
  <si>
    <t>HCl Calibration</t>
  </si>
  <si>
    <t>0002C-2</t>
  </si>
  <si>
    <t>0002C-3</t>
  </si>
  <si>
    <t>0003S-1</t>
  </si>
  <si>
    <t>0004S-1</t>
  </si>
  <si>
    <t>0005S-1</t>
  </si>
  <si>
    <t>0006S-1</t>
  </si>
  <si>
    <t>0007S-1</t>
  </si>
  <si>
    <t>0008S-1</t>
  </si>
  <si>
    <t>0008S-2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</si>
  <si>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</si>
  <si>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</si>
  <si>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</si>
  <si>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</si>
  <si>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</si>
  <si>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</si>
  <si>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</si>
  <si>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</si>
  <si>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</si>
  <si>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</si>
  <si>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</si>
  <si>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</si>
  <si>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</si>
  <si>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</si>
  <si>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</si>
  <si>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new Na2CO3</t>
  </si>
  <si>
    <t>0001S-10</t>
  </si>
  <si>
    <t>0001S-11</t>
  </si>
  <si>
    <t>0002S-2</t>
  </si>
  <si>
    <t>0002S-3</t>
  </si>
  <si>
    <t>CRM_213-0430</t>
  </si>
  <si>
    <t>0013S-2</t>
  </si>
  <si>
    <t>0024S-1</t>
  </si>
  <si>
    <t>0025S-1</t>
  </si>
  <si>
    <t>0026S-1</t>
  </si>
  <si>
    <t>0027S-1</t>
  </si>
  <si>
    <t>0028S-1</t>
  </si>
  <si>
    <t>0029S-2</t>
  </si>
  <si>
    <t>CH-MR</t>
  </si>
  <si>
    <t>0002S-1</t>
  </si>
  <si>
    <t>CRM-213-0306</t>
  </si>
  <si>
    <t>0003C-1</t>
  </si>
  <si>
    <t>0003C-2</t>
  </si>
  <si>
    <t>0003C-3</t>
  </si>
  <si>
    <t>0029S-1</t>
  </si>
  <si>
    <t>0030S-1</t>
  </si>
  <si>
    <t>0031S-1</t>
  </si>
  <si>
    <t>0032S-1</t>
  </si>
  <si>
    <t>0033S-1</t>
  </si>
  <si>
    <t>0034S-1</t>
  </si>
  <si>
    <t>0035S-1</t>
  </si>
  <si>
    <t>0036S-1</t>
  </si>
  <si>
    <t>0037S-1</t>
  </si>
  <si>
    <t>0038S-1</t>
  </si>
  <si>
    <t>0039S-1</t>
  </si>
  <si>
    <t>0040S-1</t>
  </si>
  <si>
    <t>0003S-2</t>
  </si>
  <si>
    <t>0003S-3</t>
  </si>
  <si>
    <t>Valor fuera de lo normal, probablemente no fue preservada en HgCl2</t>
  </si>
  <si>
    <t>Esta muestra 535, también tuvo valores fuera de lo normal en DIC</t>
  </si>
  <si>
    <t>45 3erd. Q</t>
  </si>
  <si>
    <t>3 Samples from the 3rd. Quarter. They are repeated for Juanita</t>
  </si>
  <si>
    <t>2_ 3erd. Q</t>
  </si>
  <si>
    <t>1_ 3erd.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</si>
</sst>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m&quot;/&quot;d&quot;/&quot;yy"/>
    <numFmt numFmtId="165" formatCode="h&quot;:&quot;mm&quot; &quot;AM/PM"/>
    <numFmt numFmtId="166" formatCode="00000"/>
    <numFmt numFmtId="167" formatCode="m/d/yy"/>
    <numFmt numFmtId="168" formatCode="#,##0.0"/>
    <numFmt numFmtId="169" formatCode="0.0000"/>
    <numFmt numFmtId="170" formatCode="#,##0.0000"/>
    <numFmt numFmtId="171" formatCode="00000.0"/>
    <numFmt numFmtId="172" formatCode="00000.00"/>
    <numFmt numFmtId="173" formatCode="0.000"/>
    <numFmt numFmtId="174" formatCode="0.0"/>
    <numFmt numFmtId="175" formatCode="m/d/yyyy\ h:mm:ss"/>
    <numFmt numFmtId="176" formatCode="m/d/yyyy\ h:mm:ss\ AM/PM"/>
    <numFmt numFmtId="177" formatCode="m/d/yyyy\ h:mm"/>
    <numFmt numFmtId="178" formatCode="m/d/yy\ h:mm"/>
    <numFmt numFmtId="179" formatCode="0.000000"/>
  </numFmts>
  <fonts count="28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3"/>
      <color theme="1"/>
      <name val="Calibri"/>
    </font>
    <font>
      <sz val="13"/>
      <color rgb="FF000000"/>
      <name val="Calibri"/>
    </font>
    <font>
      <sz val="12"/>
      <color theme="1"/>
      <name val="Calibri"/>
      <scheme val="minor"/>
    </font>
    <font>
      <i/>
      <sz val="12"/>
      <color theme="1"/>
      <name val="Calibri"/>
    </font>
    <font>
      <sz val="12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1F1F"/>
      <name val="Calibri"/>
    </font>
    <font>
      <sz val="10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rgb="FF4285F4"/>
      <name val="Calibri"/>
    </font>
    <font>
      <sz val="11"/>
      <color rgb="FF000000"/>
      <name val="Calibri"/>
    </font>
    <font>
      <sz val="9"/>
      <color rgb="FF000000"/>
      <name val="Times New Roman"/>
    </font>
    <font>
      <sz val="9"/>
      <color theme="1"/>
      <name val="Calibri"/>
    </font>
    <font>
      <b/>
      <sz val="12"/>
      <color rgb="FF000000"/>
      <name val="Calibri"/>
    </font>
    <font>
      <sz val="9"/>
      <color rgb="FF1F1F1F"/>
      <name val="Arial"/>
    </font>
    <font>
      <b/>
      <sz val="11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9C5700"/>
      <name val="&quot;aptos narrow&quot;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9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 wrapText="1"/>
    </xf>
    <xf numFmtId="166" fontId="2" fillId="0" borderId="0" xfId="0" applyNumberFormat="1" applyFont="1" applyAlignment="1">
      <alignment wrapText="1"/>
    </xf>
    <xf numFmtId="1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9" fontId="2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vertical="center" wrapText="1"/>
    </xf>
    <xf numFmtId="0" fontId="2" fillId="2" borderId="3" xfId="0" applyFont="1" applyFill="1" applyBorder="1"/>
    <xf numFmtId="165" fontId="3" fillId="2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8" fontId="2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19" fontId="4" fillId="0" borderId="1" xfId="0" applyNumberFormat="1" applyFont="1" applyBorder="1" applyAlignment="1">
      <alignment horizontal="center" vertical="center" wrapText="1"/>
    </xf>
    <xf numFmtId="19" fontId="5" fillId="0" borderId="1" xfId="0" applyNumberFormat="1" applyFont="1" applyBorder="1" applyAlignment="1">
      <alignment horizontal="center" vertical="center"/>
    </xf>
    <xf numFmtId="19" fontId="4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wrapText="1"/>
    </xf>
    <xf numFmtId="19" fontId="6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vertical="center" wrapText="1"/>
    </xf>
    <xf numFmtId="19" fontId="2" fillId="0" borderId="0" xfId="0" applyNumberFormat="1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9" fontId="1" fillId="0" borderId="2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9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9" fontId="2" fillId="2" borderId="0" xfId="0" applyNumberFormat="1" applyFont="1" applyFill="1"/>
    <xf numFmtId="19" fontId="2" fillId="2" borderId="1" xfId="0" applyNumberFormat="1" applyFont="1" applyFill="1" applyBorder="1"/>
    <xf numFmtId="19" fontId="2" fillId="2" borderId="6" xfId="0" applyNumberFormat="1" applyFont="1" applyFill="1" applyBorder="1" applyAlignment="1">
      <alignment horizontal="center" wrapText="1"/>
    </xf>
    <xf numFmtId="19" fontId="2" fillId="2" borderId="7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9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/>
    <xf numFmtId="19" fontId="2" fillId="2" borderId="1" xfId="0" applyNumberFormat="1" applyFont="1" applyFill="1" applyBorder="1" applyAlignment="1">
      <alignment horizontal="center" wrapText="1"/>
    </xf>
    <xf numFmtId="0" fontId="2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/>
    </xf>
    <xf numFmtId="18" fontId="3" fillId="2" borderId="1" xfId="0" applyNumberFormat="1" applyFont="1" applyFill="1" applyBorder="1" applyAlignment="1">
      <alignment horizontal="center"/>
    </xf>
    <xf numFmtId="19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9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9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9" fillId="0" borderId="10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4" fontId="10" fillId="0" borderId="6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9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 wrapText="1"/>
    </xf>
    <xf numFmtId="19" fontId="11" fillId="4" borderId="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4" fontId="12" fillId="4" borderId="1" xfId="0" applyNumberFormat="1" applyFont="1" applyFill="1" applyBorder="1" applyAlignment="1">
      <alignment horizontal="center" vertical="center"/>
    </xf>
    <xf numFmtId="4" fontId="12" fillId="4" borderId="6" xfId="0" applyNumberFormat="1" applyFont="1" applyFill="1" applyBorder="1" applyAlignment="1">
      <alignment horizontal="center" vertical="center"/>
    </xf>
    <xf numFmtId="4" fontId="11" fillId="4" borderId="1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11" fillId="0" borderId="10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19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 wrapText="1"/>
    </xf>
    <xf numFmtId="19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4" fontId="11" fillId="2" borderId="10" xfId="0" applyNumberFormat="1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/>
    </xf>
    <xf numFmtId="4" fontId="12" fillId="2" borderId="6" xfId="0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 wrapText="1"/>
    </xf>
    <xf numFmtId="19" fontId="11" fillId="4" borderId="1" xfId="0" applyNumberFormat="1" applyFont="1" applyFill="1" applyBorder="1" applyAlignment="1">
      <alignment horizontal="center" vertical="center"/>
    </xf>
    <xf numFmtId="19" fontId="14" fillId="4" borderId="0" xfId="0" applyNumberFormat="1" applyFont="1" applyFill="1" applyAlignment="1">
      <alignment horizontal="center" vertical="center"/>
    </xf>
    <xf numFmtId="19" fontId="14" fillId="0" borderId="0" xfId="0" applyNumberFormat="1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/>
    </xf>
    <xf numFmtId="1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9" fontId="11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164" fontId="11" fillId="0" borderId="0" xfId="0" applyNumberFormat="1" applyFont="1" applyAlignment="1">
      <alignment horizontal="center" vertical="center" wrapText="1"/>
    </xf>
    <xf numFmtId="19" fontId="11" fillId="2" borderId="3" xfId="0" applyNumberFormat="1" applyFont="1" applyFill="1" applyBorder="1" applyAlignment="1">
      <alignment horizontal="center" vertical="center" wrapText="1"/>
    </xf>
    <xf numFmtId="164" fontId="11" fillId="2" borderId="3" xfId="0" applyNumberFormat="1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9" fontId="15" fillId="0" borderId="2" xfId="0" applyNumberFormat="1" applyFont="1" applyBorder="1" applyAlignment="1">
      <alignment horizontal="center" vertical="center" wrapText="1"/>
    </xf>
    <xf numFmtId="169" fontId="15" fillId="0" borderId="2" xfId="0" applyNumberFormat="1" applyFont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 wrapText="1"/>
    </xf>
    <xf numFmtId="170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6" fillId="5" borderId="1" xfId="0" applyFont="1" applyFill="1" applyBorder="1" applyAlignment="1">
      <alignment horizontal="center" wrapText="1"/>
    </xf>
    <xf numFmtId="4" fontId="16" fillId="0" borderId="1" xfId="0" applyNumberFormat="1" applyFont="1" applyBorder="1" applyAlignment="1">
      <alignment horizontal="center" vertical="center" wrapText="1"/>
    </xf>
    <xf numFmtId="19" fontId="16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9" fontId="16" fillId="0" borderId="1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70" fontId="16" fillId="0" borderId="1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wrapText="1"/>
    </xf>
    <xf numFmtId="4" fontId="2" fillId="0" borderId="0" xfId="0" applyNumberFormat="1" applyFont="1" applyAlignment="1">
      <alignment wrapText="1"/>
    </xf>
    <xf numFmtId="0" fontId="17" fillId="0" borderId="0" xfId="0" applyFont="1"/>
    <xf numFmtId="171" fontId="2" fillId="0" borderId="0" xfId="0" applyNumberFormat="1" applyFont="1" applyAlignment="1">
      <alignment wrapText="1"/>
    </xf>
    <xf numFmtId="0" fontId="16" fillId="2" borderId="1" xfId="0" applyFont="1" applyFill="1" applyBorder="1" applyAlignment="1">
      <alignment horizontal="center" vertical="center" wrapText="1"/>
    </xf>
    <xf numFmtId="172" fontId="2" fillId="0" borderId="0" xfId="0" applyNumberFormat="1" applyFont="1" applyAlignment="1">
      <alignment wrapText="1"/>
    </xf>
    <xf numFmtId="0" fontId="16" fillId="0" borderId="1" xfId="0" applyFont="1" applyBorder="1"/>
    <xf numFmtId="0" fontId="18" fillId="2" borderId="0" xfId="0" applyFont="1" applyFill="1" applyAlignment="1">
      <alignment horizontal="center"/>
    </xf>
    <xf numFmtId="19" fontId="16" fillId="0" borderId="0" xfId="0" applyNumberFormat="1" applyFont="1" applyAlignment="1">
      <alignment horizontal="center"/>
    </xf>
    <xf numFmtId="19" fontId="16" fillId="0" borderId="0" xfId="0" applyNumberFormat="1" applyFont="1"/>
    <xf numFmtId="169" fontId="18" fillId="2" borderId="1" xfId="0" applyNumberFormat="1" applyFont="1" applyFill="1" applyBorder="1" applyAlignment="1">
      <alignment horizontal="center"/>
    </xf>
    <xf numFmtId="19" fontId="16" fillId="0" borderId="1" xfId="0" applyNumberFormat="1" applyFont="1" applyBorder="1"/>
    <xf numFmtId="4" fontId="16" fillId="5" borderId="1" xfId="0" applyNumberFormat="1" applyFont="1" applyFill="1" applyBorder="1" applyAlignment="1">
      <alignment horizontal="center" wrapText="1"/>
    </xf>
    <xf numFmtId="0" fontId="16" fillId="5" borderId="1" xfId="0" applyFont="1" applyFill="1" applyBorder="1"/>
    <xf numFmtId="0" fontId="2" fillId="5" borderId="3" xfId="0" applyFont="1" applyFill="1" applyBorder="1"/>
    <xf numFmtId="0" fontId="16" fillId="0" borderId="1" xfId="0" applyFont="1" applyBorder="1" applyAlignment="1">
      <alignment horizontal="center" vertical="center" wrapText="1"/>
    </xf>
    <xf numFmtId="4" fontId="16" fillId="5" borderId="1" xfId="0" applyNumberFormat="1" applyFont="1" applyFill="1" applyBorder="1" applyAlignment="1">
      <alignment horizontal="center" vertical="center" wrapText="1"/>
    </xf>
    <xf numFmtId="4" fontId="16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/>
    </xf>
    <xf numFmtId="19" fontId="16" fillId="2" borderId="1" xfId="0" applyNumberFormat="1" applyFont="1" applyFill="1" applyBorder="1"/>
    <xf numFmtId="19" fontId="16" fillId="2" borderId="1" xfId="0" applyNumberFormat="1" applyFont="1" applyFill="1" applyBorder="1" applyAlignment="1">
      <alignment horizontal="center" vertical="center" wrapText="1"/>
    </xf>
    <xf numFmtId="4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6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/>
    <xf numFmtId="4" fontId="2" fillId="2" borderId="3" xfId="0" applyNumberFormat="1" applyFont="1" applyFill="1" applyBorder="1" applyAlignment="1">
      <alignment wrapText="1"/>
    </xf>
    <xf numFmtId="167" fontId="16" fillId="0" borderId="1" xfId="0" applyNumberFormat="1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19" fontId="18" fillId="0" borderId="1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9" fontId="18" fillId="5" borderId="1" xfId="0" applyNumberFormat="1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wrapText="1"/>
    </xf>
    <xf numFmtId="19" fontId="16" fillId="5" borderId="1" xfId="0" applyNumberFormat="1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9" fontId="18" fillId="0" borderId="1" xfId="0" applyNumberFormat="1" applyFont="1" applyBorder="1" applyAlignment="1">
      <alignment horizontal="center" vertical="center"/>
    </xf>
    <xf numFmtId="19" fontId="16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9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horizontal="center"/>
    </xf>
    <xf numFmtId="164" fontId="20" fillId="2" borderId="3" xfId="0" applyNumberFormat="1" applyFont="1" applyFill="1" applyBorder="1" applyAlignment="1">
      <alignment horizontal="center" vertical="center" wrapText="1"/>
    </xf>
    <xf numFmtId="164" fontId="19" fillId="2" borderId="3" xfId="0" applyNumberFormat="1" applyFont="1" applyFill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9" fontId="21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173" fontId="2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/>
    <xf numFmtId="167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9" fontId="2" fillId="0" borderId="0" xfId="0" applyNumberFormat="1" applyFont="1" applyAlignment="1">
      <alignment vertical="center"/>
    </xf>
    <xf numFmtId="166" fontId="2" fillId="0" borderId="2" xfId="0" applyNumberFormat="1" applyFont="1" applyBorder="1" applyAlignment="1">
      <alignment vertical="center" wrapText="1"/>
    </xf>
    <xf numFmtId="19" fontId="2" fillId="0" borderId="1" xfId="0" applyNumberFormat="1" applyFont="1" applyBorder="1" applyAlignment="1">
      <alignment vertical="center"/>
    </xf>
    <xf numFmtId="19" fontId="2" fillId="0" borderId="6" xfId="0" applyNumberFormat="1" applyFont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vertical="center" wrapText="1"/>
    </xf>
    <xf numFmtId="18" fontId="2" fillId="0" borderId="1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8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 vertical="center"/>
    </xf>
    <xf numFmtId="173" fontId="2" fillId="2" borderId="1" xfId="0" applyNumberFormat="1" applyFont="1" applyFill="1" applyBorder="1" applyAlignment="1">
      <alignment horizontal="center" vertical="center"/>
    </xf>
    <xf numFmtId="18" fontId="2" fillId="0" borderId="0" xfId="0" applyNumberFormat="1" applyFont="1" applyAlignment="1">
      <alignment vertical="center"/>
    </xf>
    <xf numFmtId="19" fontId="3" fillId="0" borderId="1" xfId="0" applyNumberFormat="1" applyFont="1" applyBorder="1" applyAlignment="1">
      <alignment horizontal="center" vertical="center"/>
    </xf>
    <xf numFmtId="19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9" fontId="2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173" fontId="2" fillId="2" borderId="3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center"/>
    </xf>
    <xf numFmtId="19" fontId="2" fillId="0" borderId="0" xfId="0" applyNumberFormat="1" applyFont="1"/>
    <xf numFmtId="18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9" fontId="2" fillId="0" borderId="1" xfId="0" applyNumberFormat="1" applyFont="1" applyBorder="1"/>
    <xf numFmtId="4" fontId="3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3" fillId="0" borderId="0" xfId="0" applyFont="1"/>
    <xf numFmtId="18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9" fontId="6" fillId="0" borderId="0" xfId="0" applyNumberFormat="1" applyFont="1"/>
    <xf numFmtId="4" fontId="2" fillId="0" borderId="0" xfId="0" applyNumberFormat="1" applyFont="1"/>
    <xf numFmtId="0" fontId="11" fillId="0" borderId="0" xfId="0" applyFont="1"/>
    <xf numFmtId="0" fontId="10" fillId="0" borderId="6" xfId="0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2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22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74" fontId="12" fillId="0" borderId="7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22" fontId="12" fillId="7" borderId="7" xfId="0" applyNumberFormat="1" applyFont="1" applyFill="1" applyBorder="1" applyAlignment="1">
      <alignment horizontal="center"/>
    </xf>
    <xf numFmtId="1" fontId="12" fillId="7" borderId="7" xfId="0" applyNumberFormat="1" applyFont="1" applyFill="1" applyBorder="1" applyAlignment="1">
      <alignment horizontal="center"/>
    </xf>
    <xf numFmtId="175" fontId="12" fillId="0" borderId="7" xfId="0" applyNumberFormat="1" applyFont="1" applyBorder="1" applyAlignment="1">
      <alignment horizontal="center"/>
    </xf>
    <xf numFmtId="175" fontId="12" fillId="7" borderId="7" xfId="0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75" fontId="12" fillId="2" borderId="7" xfId="0" applyNumberFormat="1" applyFont="1" applyFill="1" applyBorder="1" applyAlignment="1">
      <alignment horizontal="center"/>
    </xf>
    <xf numFmtId="1" fontId="12" fillId="2" borderId="7" xfId="0" applyNumberFormat="1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22" fontId="12" fillId="8" borderId="7" xfId="0" applyNumberFormat="1" applyFont="1" applyFill="1" applyBorder="1" applyAlignment="1">
      <alignment horizontal="center"/>
    </xf>
    <xf numFmtId="1" fontId="12" fillId="8" borderId="7" xfId="0" applyNumberFormat="1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22" fontId="12" fillId="2" borderId="7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16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/>
    <xf numFmtId="0" fontId="25" fillId="0" borderId="0" xfId="0" applyFont="1" applyAlignment="1">
      <alignment horizontal="right"/>
    </xf>
    <xf numFmtId="173" fontId="6" fillId="0" borderId="0" xfId="0" applyNumberFormat="1" applyFont="1"/>
    <xf numFmtId="22" fontId="6" fillId="0" borderId="0" xfId="0" applyNumberFormat="1" applyFont="1"/>
    <xf numFmtId="2" fontId="6" fillId="0" borderId="0" xfId="0" applyNumberFormat="1" applyFont="1"/>
    <xf numFmtId="0" fontId="24" fillId="2" borderId="0" xfId="0" applyFont="1" applyFill="1" applyAlignment="1">
      <alignment horizontal="right"/>
    </xf>
    <xf numFmtId="0" fontId="24" fillId="2" borderId="0" xfId="0" applyFont="1" applyFill="1"/>
    <xf numFmtId="176" fontId="24" fillId="2" borderId="0" xfId="0" applyNumberFormat="1" applyFont="1" applyFill="1" applyAlignment="1">
      <alignment horizontal="right"/>
    </xf>
    <xf numFmtId="22" fontId="26" fillId="2" borderId="3" xfId="0" applyNumberFormat="1" applyFont="1" applyFill="1" applyBorder="1" applyAlignment="1">
      <alignment horizontal="right"/>
    </xf>
    <xf numFmtId="22" fontId="24" fillId="2" borderId="0" xfId="0" applyNumberFormat="1" applyFont="1" applyFill="1" applyAlignment="1">
      <alignment horizontal="right"/>
    </xf>
    <xf numFmtId="0" fontId="25" fillId="2" borderId="0" xfId="0" applyFont="1" applyFill="1" applyAlignment="1">
      <alignment horizontal="right"/>
    </xf>
    <xf numFmtId="0" fontId="25" fillId="2" borderId="0" xfId="0" applyFont="1" applyFill="1"/>
    <xf numFmtId="22" fontId="6" fillId="2" borderId="0" xfId="0" applyNumberFormat="1" applyFont="1" applyFill="1"/>
    <xf numFmtId="0" fontId="26" fillId="2" borderId="3" xfId="0" applyFont="1" applyFill="1" applyBorder="1" applyAlignment="1">
      <alignment horizontal="right"/>
    </xf>
    <xf numFmtId="0" fontId="23" fillId="0" borderId="1" xfId="0" applyFont="1" applyBorder="1" applyAlignment="1">
      <alignment horizontal="center" vertical="center" wrapText="1"/>
    </xf>
    <xf numFmtId="169" fontId="23" fillId="0" borderId="1" xfId="0" applyNumberFormat="1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8" fillId="2" borderId="3" xfId="0" applyFont="1" applyFill="1" applyBorder="1" applyAlignment="1">
      <alignment wrapText="1"/>
    </xf>
    <xf numFmtId="0" fontId="16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77" fontId="18" fillId="0" borderId="7" xfId="0" applyNumberFormat="1" applyFont="1" applyBorder="1" applyAlignment="1">
      <alignment horizontal="center"/>
    </xf>
    <xf numFmtId="169" fontId="27" fillId="0" borderId="0" xfId="0" applyNumberFormat="1" applyFont="1" applyAlignment="1">
      <alignment horizontal="center"/>
    </xf>
    <xf numFmtId="1" fontId="18" fillId="0" borderId="7" xfId="0" applyNumberFormat="1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0" xfId="0" applyFont="1" applyFill="1"/>
    <xf numFmtId="0" fontId="18" fillId="2" borderId="3" xfId="0" applyFont="1" applyFill="1" applyBorder="1"/>
    <xf numFmtId="0" fontId="16" fillId="2" borderId="3" xfId="0" applyFont="1" applyFill="1" applyBorder="1"/>
    <xf numFmtId="0" fontId="18" fillId="7" borderId="5" xfId="0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177" fontId="18" fillId="7" borderId="7" xfId="0" applyNumberFormat="1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0" fontId="18" fillId="7" borderId="7" xfId="0" applyNumberFormat="1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1" fontId="27" fillId="0" borderId="0" xfId="0" applyNumberFormat="1" applyFont="1" applyAlignment="1">
      <alignment horizontal="center"/>
    </xf>
    <xf numFmtId="1" fontId="18" fillId="2" borderId="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0" borderId="0" xfId="0" applyFont="1"/>
    <xf numFmtId="0" fontId="16" fillId="2" borderId="0" xfId="0" applyFont="1" applyFill="1" applyAlignment="1">
      <alignment horizontal="left"/>
    </xf>
    <xf numFmtId="10" fontId="18" fillId="0" borderId="7" xfId="0" applyNumberFormat="1" applyFont="1" applyBorder="1" applyAlignment="1">
      <alignment horizontal="center"/>
    </xf>
    <xf numFmtId="0" fontId="2" fillId="0" borderId="1" xfId="0" applyFont="1" applyBorder="1"/>
    <xf numFmtId="0" fontId="18" fillId="9" borderId="5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  <xf numFmtId="177" fontId="18" fillId="9" borderId="7" xfId="0" applyNumberFormat="1" applyFont="1" applyFill="1" applyBorder="1" applyAlignment="1">
      <alignment horizontal="center"/>
    </xf>
    <xf numFmtId="0" fontId="18" fillId="2" borderId="1" xfId="0" applyFont="1" applyFill="1" applyBorder="1"/>
    <xf numFmtId="178" fontId="18" fillId="2" borderId="1" xfId="0" applyNumberFormat="1" applyFont="1" applyFill="1" applyBorder="1" applyAlignment="1">
      <alignment horizontal="center"/>
    </xf>
    <xf numFmtId="169" fontId="18" fillId="2" borderId="1" xfId="0" applyNumberFormat="1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10" fontId="18" fillId="2" borderId="1" xfId="0" applyNumberFormat="1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22" fontId="18" fillId="2" borderId="7" xfId="0" applyNumberFormat="1" applyFont="1" applyFill="1" applyBorder="1" applyAlignment="1">
      <alignment horizontal="center"/>
    </xf>
    <xf numFmtId="179" fontId="18" fillId="2" borderId="7" xfId="0" applyNumberFormat="1" applyFont="1" applyFill="1" applyBorder="1" applyAlignment="1">
      <alignment horizontal="center"/>
    </xf>
    <xf numFmtId="22" fontId="18" fillId="2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69" fontId="16" fillId="2" borderId="0" xfId="0" applyNumberFormat="1" applyFont="1" applyFill="1" applyAlignment="1">
      <alignment horizontal="center" vertical="center" wrapText="1"/>
    </xf>
    <xf numFmtId="1" fontId="16" fillId="2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3" fillId="0" borderId="2" xfId="0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vertical="center" wrapText="1"/>
    </xf>
    <xf numFmtId="0" fontId="18" fillId="2" borderId="10" xfId="0" applyFont="1" applyFill="1" applyBorder="1" applyAlignment="1">
      <alignment horizontal="left"/>
    </xf>
    <xf numFmtId="0" fontId="8" fillId="0" borderId="6" xfId="0" applyFont="1" applyBorder="1"/>
    <xf numFmtId="0" fontId="18" fillId="0" borderId="4" xfId="0" applyFont="1" applyBorder="1" applyAlignment="1">
      <alignment horizontal="center"/>
    </xf>
    <xf numFmtId="0" fontId="18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3"/>
  <sheetViews>
    <sheetView workbookViewId="0"/>
  </sheetViews>
  <sheetFormatPr defaultColWidth="11.25" defaultRowHeight="15" customHeight="1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27" ht="15.75" customHeight="1">
      <c r="A2" s="7" t="s">
        <v>10</v>
      </c>
      <c r="B2" s="8">
        <v>45390</v>
      </c>
      <c r="C2" s="9">
        <v>0.40625</v>
      </c>
      <c r="D2" s="8">
        <v>45313</v>
      </c>
      <c r="E2" s="10">
        <v>0.60416666666666663</v>
      </c>
      <c r="F2" s="10">
        <v>0.64583333333333337</v>
      </c>
      <c r="G2" s="11" t="s">
        <v>11</v>
      </c>
      <c r="H2" s="12" t="s">
        <v>12</v>
      </c>
      <c r="I2" s="12" t="s">
        <v>13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5.75" customHeight="1">
      <c r="A3" s="7" t="s">
        <v>14</v>
      </c>
      <c r="B3" s="8">
        <v>45390</v>
      </c>
      <c r="C3" s="9">
        <v>0.4513888888888889</v>
      </c>
      <c r="D3" s="8">
        <v>45313</v>
      </c>
      <c r="E3" s="10">
        <v>0.60624999999999996</v>
      </c>
      <c r="F3" s="10">
        <v>0.6479166666666667</v>
      </c>
      <c r="G3" s="11" t="s">
        <v>11</v>
      </c>
      <c r="H3" s="12" t="s">
        <v>12</v>
      </c>
      <c r="I3" s="12" t="s">
        <v>13</v>
      </c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5.75" customHeight="1">
      <c r="A4" s="7" t="s">
        <v>15</v>
      </c>
      <c r="B4" s="8">
        <v>45390</v>
      </c>
      <c r="C4" s="9">
        <v>0.3347222222222222</v>
      </c>
      <c r="D4" s="8">
        <v>45314</v>
      </c>
      <c r="E4" s="10">
        <v>0.60833333333333328</v>
      </c>
      <c r="F4" s="10">
        <v>0.65</v>
      </c>
      <c r="G4" s="11" t="s">
        <v>11</v>
      </c>
      <c r="H4" s="12" t="s">
        <v>12</v>
      </c>
      <c r="I4" s="12" t="s">
        <v>13</v>
      </c>
      <c r="J4" s="13"/>
    </row>
    <row r="5" spans="1:27" ht="15.75" customHeight="1">
      <c r="A5" s="7" t="s">
        <v>16</v>
      </c>
      <c r="B5" s="8">
        <v>45391</v>
      </c>
      <c r="C5" s="9">
        <v>0.32430555555555557</v>
      </c>
      <c r="D5" s="8">
        <v>45391</v>
      </c>
      <c r="E5" s="10">
        <v>0.61458333333333337</v>
      </c>
      <c r="F5" s="10">
        <v>0.65625</v>
      </c>
      <c r="G5" s="11" t="s">
        <v>11</v>
      </c>
      <c r="H5" s="12" t="s">
        <v>12</v>
      </c>
      <c r="I5" s="12" t="s">
        <v>13</v>
      </c>
      <c r="J5" s="13"/>
    </row>
    <row r="6" spans="1:27" ht="15.75" customHeight="1">
      <c r="A6" s="7" t="s">
        <v>17</v>
      </c>
      <c r="B6" s="8">
        <v>45391</v>
      </c>
      <c r="C6" s="9">
        <v>0.34722222222222221</v>
      </c>
      <c r="D6" s="8">
        <v>45391</v>
      </c>
      <c r="E6" s="10">
        <v>0.61527777777777781</v>
      </c>
      <c r="F6" s="10">
        <v>0.65694444444444444</v>
      </c>
      <c r="G6" s="11" t="s">
        <v>11</v>
      </c>
      <c r="H6" s="12" t="s">
        <v>12</v>
      </c>
      <c r="I6" s="12" t="s">
        <v>13</v>
      </c>
      <c r="J6" s="13"/>
    </row>
    <row r="7" spans="1:27" ht="15.75" customHeight="1">
      <c r="A7" s="7" t="s">
        <v>18</v>
      </c>
      <c r="B7" s="8">
        <v>45391</v>
      </c>
      <c r="C7" s="9">
        <v>0.38194444444444442</v>
      </c>
      <c r="D7" s="8">
        <v>45391</v>
      </c>
      <c r="E7" s="10">
        <v>0.61597222222222225</v>
      </c>
      <c r="F7" s="10">
        <v>0.65763888888888888</v>
      </c>
      <c r="G7" s="11" t="s">
        <v>11</v>
      </c>
      <c r="H7" s="12" t="s">
        <v>12</v>
      </c>
      <c r="I7" s="12" t="s">
        <v>13</v>
      </c>
      <c r="J7" s="13"/>
    </row>
    <row r="8" spans="1:27" ht="15.75" customHeight="1">
      <c r="A8" s="7" t="s">
        <v>19</v>
      </c>
      <c r="B8" s="8">
        <v>45391</v>
      </c>
      <c r="C8" s="9">
        <v>0.43125000000000002</v>
      </c>
      <c r="D8" s="8">
        <v>45391</v>
      </c>
      <c r="E8" s="10">
        <v>0.6166666666666667</v>
      </c>
      <c r="F8" s="10">
        <v>0.65833333333333333</v>
      </c>
      <c r="G8" s="11" t="s">
        <v>11</v>
      </c>
      <c r="H8" s="12" t="s">
        <v>12</v>
      </c>
      <c r="I8" s="12" t="s">
        <v>13</v>
      </c>
      <c r="J8" s="13"/>
    </row>
    <row r="9" spans="1:27" ht="15.75" customHeight="1">
      <c r="A9" s="7" t="s">
        <v>20</v>
      </c>
      <c r="B9" s="8">
        <v>45392</v>
      </c>
      <c r="C9" s="9">
        <v>0.34930555555555554</v>
      </c>
      <c r="D9" s="8">
        <v>45392</v>
      </c>
      <c r="E9" s="10">
        <v>0.625</v>
      </c>
      <c r="F9" s="10">
        <v>0.66666666666666663</v>
      </c>
      <c r="G9" s="11" t="s">
        <v>11</v>
      </c>
      <c r="H9" s="12" t="s">
        <v>12</v>
      </c>
      <c r="I9" s="12" t="s">
        <v>13</v>
      </c>
      <c r="J9" s="13"/>
    </row>
    <row r="10" spans="1:27" ht="15.75" customHeight="1">
      <c r="A10" s="7" t="s">
        <v>21</v>
      </c>
      <c r="B10" s="8">
        <v>45392</v>
      </c>
      <c r="C10" s="9">
        <v>0.36944444444444446</v>
      </c>
      <c r="D10" s="8">
        <v>45392</v>
      </c>
      <c r="E10" s="10">
        <v>0.62569444444444444</v>
      </c>
      <c r="F10" s="10">
        <v>0.66736111111111107</v>
      </c>
      <c r="G10" s="11" t="s">
        <v>11</v>
      </c>
      <c r="H10" s="12" t="s">
        <v>12</v>
      </c>
      <c r="I10" s="12" t="s">
        <v>13</v>
      </c>
      <c r="J10" s="13"/>
    </row>
    <row r="11" spans="1:27" ht="15.75" customHeight="1">
      <c r="A11" s="7" t="s">
        <v>22</v>
      </c>
      <c r="B11" s="8">
        <v>45392</v>
      </c>
      <c r="C11" s="9">
        <v>0.42708333333333331</v>
      </c>
      <c r="D11" s="8">
        <v>45392</v>
      </c>
      <c r="E11" s="10">
        <v>0.62569444444444444</v>
      </c>
      <c r="F11" s="10">
        <v>0.66736111111111107</v>
      </c>
      <c r="G11" s="11" t="s">
        <v>11</v>
      </c>
      <c r="H11" s="12" t="s">
        <v>12</v>
      </c>
      <c r="I11" s="12" t="s">
        <v>13</v>
      </c>
      <c r="J11" s="13"/>
    </row>
    <row r="12" spans="1:27" ht="15.75" customHeight="1">
      <c r="A12" s="7" t="s">
        <v>23</v>
      </c>
      <c r="B12" s="8">
        <v>45392</v>
      </c>
      <c r="C12" s="9">
        <v>0.47847222222222224</v>
      </c>
      <c r="D12" s="8">
        <v>45392</v>
      </c>
      <c r="E12" s="10">
        <v>0.62638888888888888</v>
      </c>
      <c r="F12" s="10">
        <v>0.66805555555555551</v>
      </c>
      <c r="G12" s="11" t="s">
        <v>11</v>
      </c>
      <c r="H12" s="12" t="s">
        <v>12</v>
      </c>
      <c r="I12" s="12" t="s">
        <v>13</v>
      </c>
      <c r="J12" s="13" t="s">
        <v>24</v>
      </c>
    </row>
    <row r="13" spans="1:27" ht="15.75" customHeight="1">
      <c r="A13" s="7" t="s">
        <v>25</v>
      </c>
      <c r="B13" s="8">
        <v>45392</v>
      </c>
      <c r="C13" s="15">
        <v>0.49861111111111112</v>
      </c>
      <c r="D13" s="8">
        <v>45392</v>
      </c>
      <c r="E13" s="10">
        <v>0.62638888888888888</v>
      </c>
      <c r="F13" s="10">
        <v>0.66805555555555551</v>
      </c>
      <c r="G13" s="11" t="s">
        <v>11</v>
      </c>
      <c r="H13" s="12" t="s">
        <v>12</v>
      </c>
      <c r="I13" s="12" t="s">
        <v>13</v>
      </c>
      <c r="J13" s="13"/>
    </row>
    <row r="14" spans="1:27" ht="15.75" customHeight="1">
      <c r="A14" s="16" t="s">
        <v>26</v>
      </c>
      <c r="B14" s="8">
        <v>45400</v>
      </c>
      <c r="C14" s="9">
        <v>0.36458333333333331</v>
      </c>
      <c r="D14" s="8">
        <v>45400</v>
      </c>
      <c r="E14" s="10">
        <v>0.62847222222222221</v>
      </c>
      <c r="F14" s="10">
        <v>0.67013888888888884</v>
      </c>
      <c r="G14" s="11" t="s">
        <v>11</v>
      </c>
      <c r="H14" s="12" t="s">
        <v>12</v>
      </c>
      <c r="I14" s="12" t="s">
        <v>13</v>
      </c>
      <c r="J14" s="13"/>
    </row>
    <row r="15" spans="1:27" ht="15.75" customHeight="1">
      <c r="A15" s="16" t="s">
        <v>27</v>
      </c>
      <c r="B15" s="8">
        <v>45400</v>
      </c>
      <c r="C15" s="9">
        <v>0.39513888888888887</v>
      </c>
      <c r="D15" s="8">
        <v>45400</v>
      </c>
      <c r="E15" s="10">
        <v>0.62916666666666665</v>
      </c>
      <c r="F15" s="10">
        <v>0.67083333333333328</v>
      </c>
      <c r="G15" s="11" t="s">
        <v>11</v>
      </c>
      <c r="H15" s="12" t="s">
        <v>12</v>
      </c>
      <c r="I15" s="12" t="s">
        <v>13</v>
      </c>
      <c r="J15" s="13"/>
    </row>
    <row r="16" spans="1:27" ht="15.75" customHeight="1">
      <c r="A16" s="16" t="s">
        <v>28</v>
      </c>
      <c r="B16" s="8">
        <v>45400</v>
      </c>
      <c r="C16" s="9">
        <v>0.44444444444444442</v>
      </c>
      <c r="D16" s="8">
        <v>45400</v>
      </c>
      <c r="E16" s="10">
        <v>0.62916666666666665</v>
      </c>
      <c r="F16" s="10">
        <v>0.67083333333333328</v>
      </c>
      <c r="G16" s="11" t="s">
        <v>11</v>
      </c>
      <c r="H16" s="12" t="s">
        <v>12</v>
      </c>
      <c r="I16" s="12" t="s">
        <v>13</v>
      </c>
      <c r="J16" s="13"/>
    </row>
    <row r="17" spans="1:27" ht="15.75" customHeight="1">
      <c r="A17" s="16" t="s">
        <v>29</v>
      </c>
      <c r="B17" s="8">
        <v>45400</v>
      </c>
      <c r="C17" s="17">
        <v>0.47222222222222221</v>
      </c>
      <c r="D17" s="8">
        <v>45400</v>
      </c>
      <c r="E17" s="10">
        <v>0.63055555555555554</v>
      </c>
      <c r="F17" s="10">
        <v>0.67222222222222228</v>
      </c>
      <c r="G17" s="11" t="s">
        <v>11</v>
      </c>
      <c r="H17" s="12" t="s">
        <v>12</v>
      </c>
      <c r="I17" s="12" t="s">
        <v>13</v>
      </c>
      <c r="J17" s="13"/>
    </row>
    <row r="18" spans="1:27" ht="15.75" customHeight="1">
      <c r="A18" s="16" t="s">
        <v>30</v>
      </c>
      <c r="B18" s="8">
        <v>45400</v>
      </c>
      <c r="C18" s="17">
        <v>0.53194444444444444</v>
      </c>
      <c r="D18" s="8">
        <v>45400</v>
      </c>
      <c r="E18" s="10">
        <v>0.63124999999999998</v>
      </c>
      <c r="F18" s="10">
        <v>0.67291666666666672</v>
      </c>
      <c r="G18" s="11" t="s">
        <v>11</v>
      </c>
      <c r="H18" s="12" t="s">
        <v>12</v>
      </c>
      <c r="I18" s="12" t="s">
        <v>13</v>
      </c>
      <c r="J18" s="13"/>
    </row>
    <row r="19" spans="1:27" ht="15.75" customHeight="1">
      <c r="A19" s="16" t="s">
        <v>31</v>
      </c>
      <c r="B19" s="8">
        <v>45405</v>
      </c>
      <c r="C19" s="15">
        <v>0.37013888888888891</v>
      </c>
      <c r="D19" s="7" t="s">
        <v>32</v>
      </c>
      <c r="E19" s="18">
        <v>0.56458333333333333</v>
      </c>
      <c r="F19" s="18">
        <v>0.60624999999999996</v>
      </c>
      <c r="G19" s="11" t="s">
        <v>11</v>
      </c>
      <c r="H19" s="12" t="s">
        <v>12</v>
      </c>
      <c r="I19" s="12" t="s">
        <v>13</v>
      </c>
      <c r="J19" s="13"/>
    </row>
    <row r="20" spans="1:27" ht="15.75" customHeight="1">
      <c r="A20" s="16" t="s">
        <v>33</v>
      </c>
      <c r="B20" s="8">
        <v>45405</v>
      </c>
      <c r="C20" s="17">
        <v>0.3972222222222222</v>
      </c>
      <c r="D20" s="8">
        <v>45405</v>
      </c>
      <c r="E20" s="18">
        <v>0.56527777777777777</v>
      </c>
      <c r="F20" s="18">
        <v>0.6069444444444444</v>
      </c>
      <c r="G20" s="11" t="s">
        <v>11</v>
      </c>
      <c r="H20" s="12" t="s">
        <v>12</v>
      </c>
      <c r="I20" s="12" t="s">
        <v>13</v>
      </c>
      <c r="J20" s="13"/>
    </row>
    <row r="21" spans="1:27" ht="15.75" customHeight="1">
      <c r="A21" s="7" t="s">
        <v>34</v>
      </c>
      <c r="B21" s="8">
        <v>45405</v>
      </c>
      <c r="C21" s="15">
        <v>0.41041666666666665</v>
      </c>
      <c r="D21" s="19">
        <v>45405</v>
      </c>
      <c r="E21" s="18">
        <v>0.56597222222222221</v>
      </c>
      <c r="F21" s="18">
        <v>0.60763888888888884</v>
      </c>
      <c r="G21" s="11" t="s">
        <v>11</v>
      </c>
      <c r="H21" s="12" t="s">
        <v>12</v>
      </c>
      <c r="I21" s="12" t="s">
        <v>13</v>
      </c>
      <c r="J21" s="13"/>
    </row>
    <row r="22" spans="1:27" ht="15.75" customHeight="1">
      <c r="A22" s="7" t="s">
        <v>35</v>
      </c>
      <c r="B22" s="8">
        <v>45405</v>
      </c>
      <c r="C22" s="9">
        <v>0.47361111111111109</v>
      </c>
      <c r="D22" s="19">
        <v>45405</v>
      </c>
      <c r="E22" s="18">
        <v>0.60902777777777772</v>
      </c>
      <c r="F22" s="18">
        <v>0.65069444444444446</v>
      </c>
      <c r="G22" s="11" t="s">
        <v>11</v>
      </c>
      <c r="H22" s="12" t="s">
        <v>12</v>
      </c>
      <c r="I22" s="12" t="s">
        <v>13</v>
      </c>
      <c r="J22" s="13"/>
    </row>
    <row r="23" spans="1:27" ht="15.75" customHeight="1">
      <c r="A23" s="7" t="s">
        <v>36</v>
      </c>
      <c r="B23" s="8">
        <v>45405</v>
      </c>
      <c r="C23" s="15">
        <v>0.49305555555555558</v>
      </c>
      <c r="D23" s="19">
        <v>45405</v>
      </c>
      <c r="E23" s="18">
        <v>0.60972222222222228</v>
      </c>
      <c r="F23" s="18">
        <v>0.65138888888888891</v>
      </c>
      <c r="G23" s="11" t="s">
        <v>11</v>
      </c>
      <c r="H23" s="12" t="s">
        <v>12</v>
      </c>
      <c r="I23" s="12" t="s">
        <v>13</v>
      </c>
      <c r="J23" s="13"/>
    </row>
    <row r="24" spans="1:27" ht="15.75">
      <c r="A24" s="7" t="s">
        <v>37</v>
      </c>
      <c r="B24" s="8">
        <v>45405</v>
      </c>
      <c r="C24" s="20">
        <v>0.51249999999999996</v>
      </c>
      <c r="D24" s="19">
        <v>45405</v>
      </c>
      <c r="E24" s="18">
        <v>0.6069444444444444</v>
      </c>
      <c r="F24" s="18">
        <v>0.64861111111111114</v>
      </c>
      <c r="G24" s="11" t="s">
        <v>11</v>
      </c>
      <c r="H24" s="12" t="s">
        <v>12</v>
      </c>
      <c r="I24" s="12" t="s">
        <v>13</v>
      </c>
      <c r="J24" s="13"/>
    </row>
    <row r="25" spans="1:27" ht="15.75" customHeight="1">
      <c r="A25" s="16" t="s">
        <v>38</v>
      </c>
      <c r="B25" s="19">
        <v>45407</v>
      </c>
      <c r="C25" s="9">
        <v>0.33194444444444443</v>
      </c>
      <c r="D25" s="19">
        <v>45407</v>
      </c>
      <c r="E25" s="18">
        <v>0.61111111111111116</v>
      </c>
      <c r="F25" s="18">
        <v>0.65277777777777779</v>
      </c>
      <c r="G25" s="11" t="s">
        <v>11</v>
      </c>
      <c r="H25" s="12" t="s">
        <v>12</v>
      </c>
      <c r="I25" s="12" t="s">
        <v>39</v>
      </c>
      <c r="J25" s="13"/>
    </row>
    <row r="26" spans="1:27" ht="15.75" customHeight="1">
      <c r="A26" s="16" t="s">
        <v>40</v>
      </c>
      <c r="B26" s="19">
        <v>45407</v>
      </c>
      <c r="C26" s="17">
        <v>0.36180555555555555</v>
      </c>
      <c r="D26" s="19">
        <v>45407</v>
      </c>
      <c r="E26" s="18">
        <v>0.6118055555555556</v>
      </c>
      <c r="F26" s="18">
        <v>0.65347222222222223</v>
      </c>
      <c r="G26" s="11" t="s">
        <v>11</v>
      </c>
      <c r="H26" s="12" t="s">
        <v>12</v>
      </c>
      <c r="I26" s="12" t="s">
        <v>39</v>
      </c>
      <c r="J26" s="13"/>
    </row>
    <row r="27" spans="1:27" ht="15.75" customHeight="1">
      <c r="A27" s="16" t="s">
        <v>41</v>
      </c>
      <c r="B27" s="19">
        <v>45407</v>
      </c>
      <c r="C27" s="17">
        <v>0.3888888888888889</v>
      </c>
      <c r="D27" s="19">
        <v>45407</v>
      </c>
      <c r="E27" s="18">
        <v>0.61250000000000004</v>
      </c>
      <c r="F27" s="18">
        <v>0.65416666666666667</v>
      </c>
      <c r="G27" s="11" t="s">
        <v>11</v>
      </c>
      <c r="H27" s="12" t="s">
        <v>12</v>
      </c>
      <c r="I27" s="12" t="s">
        <v>39</v>
      </c>
      <c r="J27" s="13"/>
    </row>
    <row r="28" spans="1:27" ht="15.75" customHeight="1">
      <c r="A28" s="16" t="s">
        <v>42</v>
      </c>
      <c r="B28" s="19">
        <v>45407</v>
      </c>
      <c r="C28" s="20">
        <v>0.43055555555555558</v>
      </c>
      <c r="D28" s="19">
        <v>45407</v>
      </c>
      <c r="E28" s="21">
        <v>0.61319444444444449</v>
      </c>
      <c r="F28" s="21">
        <v>0.65486111111111112</v>
      </c>
      <c r="G28" s="11" t="s">
        <v>11</v>
      </c>
      <c r="H28" s="12" t="s">
        <v>12</v>
      </c>
      <c r="I28" s="12" t="s">
        <v>39</v>
      </c>
      <c r="J28" s="22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>
      <c r="A29" s="16" t="s">
        <v>43</v>
      </c>
      <c r="B29" s="19">
        <v>45407</v>
      </c>
      <c r="C29" s="20">
        <v>0.45069444444444445</v>
      </c>
      <c r="D29" s="19">
        <v>45407</v>
      </c>
      <c r="E29" s="21">
        <v>0.65972222222222221</v>
      </c>
      <c r="F29" s="21">
        <v>0.70138888888888884</v>
      </c>
      <c r="G29" s="11" t="s">
        <v>11</v>
      </c>
      <c r="H29" s="12" t="s">
        <v>12</v>
      </c>
      <c r="I29" s="12" t="s">
        <v>39</v>
      </c>
      <c r="J29" s="22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>
      <c r="A30" s="16" t="s">
        <v>44</v>
      </c>
      <c r="B30" s="19">
        <v>45407</v>
      </c>
      <c r="C30" s="20">
        <v>0.4777777777777778</v>
      </c>
      <c r="D30" s="19">
        <v>45407</v>
      </c>
      <c r="E30" s="21">
        <v>0.66041666666666665</v>
      </c>
      <c r="F30" s="21">
        <v>0.70208333333333328</v>
      </c>
      <c r="G30" s="11" t="s">
        <v>11</v>
      </c>
      <c r="H30" s="12" t="s">
        <v>12</v>
      </c>
      <c r="I30" s="12" t="s">
        <v>39</v>
      </c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>
      <c r="A31" s="16" t="s">
        <v>45</v>
      </c>
      <c r="B31" s="19">
        <v>45407</v>
      </c>
      <c r="C31" s="20">
        <v>0.5</v>
      </c>
      <c r="D31" s="19">
        <v>45407</v>
      </c>
      <c r="E31" s="24">
        <v>0.66111111111111109</v>
      </c>
      <c r="F31" s="24">
        <v>0.70277777777777772</v>
      </c>
      <c r="G31" s="11" t="s">
        <v>11</v>
      </c>
      <c r="H31" s="12" t="s">
        <v>12</v>
      </c>
      <c r="I31" s="12" t="s">
        <v>39</v>
      </c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>
      <c r="A32" s="16" t="s">
        <v>46</v>
      </c>
      <c r="B32" s="19">
        <v>45407</v>
      </c>
      <c r="C32" s="9">
        <v>0.5131944444444444</v>
      </c>
      <c r="D32" s="19">
        <v>45407</v>
      </c>
      <c r="E32" s="18">
        <v>0.66180555555555554</v>
      </c>
      <c r="F32" s="18">
        <v>0.70347222222222228</v>
      </c>
      <c r="G32" s="11" t="s">
        <v>11</v>
      </c>
      <c r="H32" s="12" t="s">
        <v>12</v>
      </c>
      <c r="I32" s="12" t="s">
        <v>39</v>
      </c>
      <c r="J32" s="13"/>
    </row>
    <row r="33" spans="1:10" ht="15.75" customHeight="1">
      <c r="A33" s="16" t="s">
        <v>47</v>
      </c>
      <c r="B33" s="19">
        <v>45407</v>
      </c>
      <c r="C33" s="9">
        <v>0.40833333333333333</v>
      </c>
      <c r="D33" s="19">
        <v>45407</v>
      </c>
      <c r="E33" s="18">
        <v>0.66249999999999998</v>
      </c>
      <c r="F33" s="18">
        <v>0.70416666666666672</v>
      </c>
      <c r="G33" s="11" t="s">
        <v>11</v>
      </c>
      <c r="H33" s="12" t="s">
        <v>12</v>
      </c>
      <c r="I33" s="12" t="s">
        <v>13</v>
      </c>
      <c r="J33" s="13"/>
    </row>
    <row r="34" spans="1:10" ht="15.75" customHeight="1">
      <c r="A34" s="7" t="s">
        <v>48</v>
      </c>
      <c r="B34" s="8">
        <v>45415</v>
      </c>
      <c r="C34" s="9">
        <v>0.2986111111111111</v>
      </c>
      <c r="D34" s="8">
        <v>45415</v>
      </c>
      <c r="E34" s="18">
        <v>0.72916666666666663</v>
      </c>
      <c r="F34" s="18">
        <v>0.77083333333333337</v>
      </c>
      <c r="G34" s="11" t="s">
        <v>11</v>
      </c>
      <c r="H34" s="12" t="s">
        <v>12</v>
      </c>
      <c r="I34" s="12" t="s">
        <v>13</v>
      </c>
      <c r="J34" s="13"/>
    </row>
    <row r="35" spans="1:10" ht="15.75" customHeight="1">
      <c r="A35" s="7" t="s">
        <v>49</v>
      </c>
      <c r="B35" s="8">
        <v>45415</v>
      </c>
      <c r="C35" s="9">
        <v>0.32013888888888886</v>
      </c>
      <c r="D35" s="8">
        <v>45415</v>
      </c>
      <c r="E35" s="25">
        <v>0.72986111111111107</v>
      </c>
      <c r="F35" s="25">
        <v>0.77152777777777781</v>
      </c>
      <c r="G35" s="11" t="s">
        <v>11</v>
      </c>
      <c r="H35" s="12" t="s">
        <v>12</v>
      </c>
      <c r="I35" s="12" t="s">
        <v>13</v>
      </c>
      <c r="J35" s="13"/>
    </row>
    <row r="36" spans="1:10" ht="15.75" customHeight="1">
      <c r="A36" s="7" t="s">
        <v>50</v>
      </c>
      <c r="B36" s="8">
        <v>45415</v>
      </c>
      <c r="C36" s="9">
        <v>0.41875000000000001</v>
      </c>
      <c r="D36" s="8">
        <v>45415</v>
      </c>
      <c r="E36" s="26">
        <v>0.73055555555555551</v>
      </c>
      <c r="F36" s="26">
        <v>0.77222222222222225</v>
      </c>
      <c r="G36" s="11" t="s">
        <v>11</v>
      </c>
      <c r="H36" s="12" t="s">
        <v>12</v>
      </c>
      <c r="I36" s="12" t="s">
        <v>13</v>
      </c>
      <c r="J36" s="13"/>
    </row>
    <row r="37" spans="1:10" ht="15.75" customHeight="1">
      <c r="A37" s="7" t="s">
        <v>51</v>
      </c>
      <c r="B37" s="8">
        <v>45415</v>
      </c>
      <c r="C37" s="9">
        <v>0.43402777777777779</v>
      </c>
      <c r="D37" s="8">
        <v>45415</v>
      </c>
      <c r="E37" s="26">
        <v>0.73124999999999996</v>
      </c>
      <c r="F37" s="26">
        <v>0.7729166666666667</v>
      </c>
      <c r="G37" s="11" t="s">
        <v>11</v>
      </c>
      <c r="H37" s="12" t="s">
        <v>12</v>
      </c>
      <c r="I37" s="12" t="s">
        <v>13</v>
      </c>
      <c r="J37" s="13"/>
    </row>
    <row r="38" spans="1:10" ht="15.75" customHeight="1">
      <c r="A38" s="16" t="s">
        <v>52</v>
      </c>
      <c r="B38" s="8">
        <v>45416</v>
      </c>
      <c r="C38" s="9">
        <v>0.36736111111111114</v>
      </c>
      <c r="D38" s="27">
        <v>45417</v>
      </c>
      <c r="E38" s="26">
        <v>0.72916666666666663</v>
      </c>
      <c r="F38" s="26">
        <v>0.77083333333333337</v>
      </c>
      <c r="G38" s="11" t="s">
        <v>11</v>
      </c>
      <c r="H38" s="12" t="s">
        <v>12</v>
      </c>
      <c r="I38" s="12" t="s">
        <v>53</v>
      </c>
      <c r="J38" s="13"/>
    </row>
    <row r="39" spans="1:10" ht="15.75" customHeight="1">
      <c r="A39" s="7" t="s">
        <v>54</v>
      </c>
      <c r="B39" s="8">
        <v>45416</v>
      </c>
      <c r="C39" s="9">
        <v>0.44861111111111113</v>
      </c>
      <c r="D39" s="27">
        <v>45417</v>
      </c>
      <c r="E39" s="26">
        <v>0.72986111111111107</v>
      </c>
      <c r="F39" s="26">
        <v>0.77152777777777781</v>
      </c>
      <c r="G39" s="11" t="s">
        <v>11</v>
      </c>
      <c r="H39" s="12" t="s">
        <v>12</v>
      </c>
      <c r="I39" s="12" t="s">
        <v>53</v>
      </c>
      <c r="J39" s="13"/>
    </row>
    <row r="40" spans="1:10" ht="15.75" customHeight="1">
      <c r="A40" s="7" t="s">
        <v>55</v>
      </c>
      <c r="B40" s="8">
        <v>45416</v>
      </c>
      <c r="C40" s="9">
        <v>0.47986111111111113</v>
      </c>
      <c r="D40" s="27">
        <v>45417</v>
      </c>
      <c r="E40" s="25">
        <v>0.73055555555555551</v>
      </c>
      <c r="F40" s="25">
        <v>0.77222222222222225</v>
      </c>
      <c r="G40" s="11" t="s">
        <v>11</v>
      </c>
      <c r="H40" s="12" t="s">
        <v>12</v>
      </c>
      <c r="I40" s="12" t="s">
        <v>53</v>
      </c>
      <c r="J40" s="13"/>
    </row>
    <row r="41" spans="1:10" ht="15.75" customHeight="1">
      <c r="A41" s="7" t="s">
        <v>56</v>
      </c>
      <c r="B41" s="8">
        <v>45416</v>
      </c>
      <c r="C41" s="9">
        <v>0.53125</v>
      </c>
      <c r="D41" s="27">
        <v>45417</v>
      </c>
      <c r="E41" s="25">
        <v>0.73124999999999996</v>
      </c>
      <c r="F41" s="25">
        <v>0.7729166666666667</v>
      </c>
      <c r="G41" s="11" t="s">
        <v>11</v>
      </c>
      <c r="H41" s="12" t="s">
        <v>12</v>
      </c>
      <c r="I41" s="12" t="s">
        <v>53</v>
      </c>
      <c r="J41" s="13"/>
    </row>
    <row r="42" spans="1:10" ht="15.75" customHeight="1">
      <c r="A42" s="7" t="s">
        <v>57</v>
      </c>
      <c r="B42" s="27">
        <v>45417</v>
      </c>
      <c r="C42" s="28">
        <v>0.2951388888888889</v>
      </c>
      <c r="D42" s="27">
        <v>45417</v>
      </c>
      <c r="E42" s="25">
        <v>0.7319444444444444</v>
      </c>
      <c r="F42" s="25">
        <v>0.77361111111111114</v>
      </c>
      <c r="G42" s="11" t="s">
        <v>11</v>
      </c>
      <c r="H42" s="12" t="s">
        <v>12</v>
      </c>
      <c r="I42" s="12" t="s">
        <v>53</v>
      </c>
      <c r="J42" s="13"/>
    </row>
    <row r="43" spans="1:10" ht="15.75" customHeight="1">
      <c r="A43" s="7" t="s">
        <v>58</v>
      </c>
      <c r="B43" s="27">
        <v>45417</v>
      </c>
      <c r="C43" s="29">
        <v>0.33124999999999999</v>
      </c>
      <c r="D43" s="27">
        <v>45417</v>
      </c>
      <c r="E43" s="26">
        <v>0.79097222222222219</v>
      </c>
      <c r="F43" s="26">
        <v>0.83263888888888893</v>
      </c>
      <c r="G43" s="11" t="s">
        <v>11</v>
      </c>
      <c r="H43" s="12" t="s">
        <v>12</v>
      </c>
      <c r="I43" s="12" t="s">
        <v>53</v>
      </c>
      <c r="J43" s="13"/>
    </row>
    <row r="44" spans="1:10" ht="15.75" customHeight="1">
      <c r="A44" s="7" t="s">
        <v>59</v>
      </c>
      <c r="B44" s="27">
        <v>45417</v>
      </c>
      <c r="C44" s="29">
        <v>0.35069444444444442</v>
      </c>
      <c r="D44" s="27">
        <v>45417</v>
      </c>
      <c r="E44" s="26">
        <v>0.78819444444444442</v>
      </c>
      <c r="F44" s="26">
        <v>0.82986111111111116</v>
      </c>
      <c r="G44" s="11" t="s">
        <v>11</v>
      </c>
      <c r="H44" s="12" t="s">
        <v>12</v>
      </c>
      <c r="I44" s="12" t="s">
        <v>53</v>
      </c>
      <c r="J44" s="13"/>
    </row>
    <row r="45" spans="1:10" ht="15.75" customHeight="1">
      <c r="A45" s="7" t="s">
        <v>60</v>
      </c>
      <c r="B45" s="27">
        <v>45417</v>
      </c>
      <c r="C45" s="29">
        <v>0.39444444444444443</v>
      </c>
      <c r="D45" s="27">
        <v>45417</v>
      </c>
      <c r="E45" s="25">
        <v>0.7895833333333333</v>
      </c>
      <c r="F45" s="25">
        <v>0.83125000000000004</v>
      </c>
      <c r="G45" s="11" t="s">
        <v>11</v>
      </c>
      <c r="H45" s="12" t="s">
        <v>12</v>
      </c>
      <c r="I45" s="12" t="s">
        <v>53</v>
      </c>
      <c r="J45" s="13"/>
    </row>
    <row r="46" spans="1:10" ht="15.75" customHeight="1">
      <c r="A46" s="7" t="s">
        <v>61</v>
      </c>
      <c r="B46" s="27">
        <v>45417</v>
      </c>
      <c r="C46" s="29">
        <v>0.40555555555555556</v>
      </c>
      <c r="D46" s="27">
        <v>45417</v>
      </c>
      <c r="E46" s="25">
        <v>0.82916666666666672</v>
      </c>
      <c r="F46" s="25">
        <v>0.87083333333333335</v>
      </c>
      <c r="G46" s="11" t="s">
        <v>11</v>
      </c>
      <c r="H46" s="12" t="s">
        <v>12</v>
      </c>
      <c r="I46" s="12" t="s">
        <v>53</v>
      </c>
      <c r="J46" s="13"/>
    </row>
    <row r="47" spans="1:10" ht="15.75" customHeight="1">
      <c r="A47" s="7" t="s">
        <v>62</v>
      </c>
      <c r="B47" s="27">
        <v>45417</v>
      </c>
      <c r="C47" s="30">
        <v>0.42986111111111114</v>
      </c>
      <c r="D47" s="27">
        <v>45417</v>
      </c>
      <c r="E47" s="25">
        <v>0.79027777777777775</v>
      </c>
      <c r="F47" s="25">
        <v>0.83194444444444449</v>
      </c>
      <c r="G47" s="11" t="s">
        <v>11</v>
      </c>
      <c r="H47" s="12" t="s">
        <v>12</v>
      </c>
      <c r="I47" s="12" t="s">
        <v>53</v>
      </c>
      <c r="J47" s="13"/>
    </row>
    <row r="48" spans="1:10" ht="15.75" customHeight="1">
      <c r="A48" s="7" t="s">
        <v>63</v>
      </c>
      <c r="B48" s="27">
        <v>45417</v>
      </c>
      <c r="C48" s="31">
        <v>0.45624999999999999</v>
      </c>
      <c r="D48" s="27">
        <v>45417</v>
      </c>
      <c r="E48" s="25">
        <v>0.78888888888888886</v>
      </c>
      <c r="F48" s="25">
        <v>0.8305555555555556</v>
      </c>
      <c r="G48" s="11" t="s">
        <v>11</v>
      </c>
      <c r="H48" s="12" t="s">
        <v>12</v>
      </c>
      <c r="I48" s="12" t="s">
        <v>53</v>
      </c>
      <c r="J48" s="13"/>
    </row>
    <row r="49" spans="1:10" ht="15.75" customHeight="1">
      <c r="A49" s="32"/>
      <c r="C49" s="33"/>
      <c r="D49" s="34"/>
      <c r="E49" s="35"/>
      <c r="F49" s="35"/>
      <c r="G49" s="36"/>
      <c r="H49" s="36"/>
      <c r="I49" s="36"/>
      <c r="J49" s="37"/>
    </row>
    <row r="50" spans="1:10" ht="15.75" customHeight="1">
      <c r="C50" s="33"/>
      <c r="D50" s="34"/>
      <c r="E50" s="35"/>
      <c r="F50" s="35"/>
      <c r="G50" s="36"/>
      <c r="H50" s="36"/>
      <c r="I50" s="36"/>
      <c r="J50" s="37"/>
    </row>
    <row r="51" spans="1:10" ht="15.75" customHeight="1">
      <c r="B51" s="32"/>
      <c r="C51" s="38"/>
      <c r="D51" s="34"/>
      <c r="E51" s="35"/>
      <c r="F51" s="35"/>
      <c r="G51" s="36"/>
      <c r="H51" s="36"/>
      <c r="I51" s="36"/>
      <c r="J51" s="37"/>
    </row>
    <row r="52" spans="1:10" ht="15.75" customHeight="1">
      <c r="B52" s="32"/>
      <c r="C52" s="38"/>
      <c r="D52" s="34"/>
      <c r="E52" s="35"/>
      <c r="F52" s="35"/>
      <c r="G52" s="36"/>
      <c r="H52" s="36"/>
      <c r="I52" s="36"/>
      <c r="J52" s="14"/>
    </row>
    <row r="53" spans="1:10" ht="15.75" customHeight="1">
      <c r="B53" s="32"/>
      <c r="C53" s="38"/>
      <c r="D53" s="34"/>
      <c r="E53" s="35"/>
      <c r="F53" s="35"/>
      <c r="G53" s="36"/>
      <c r="H53" s="36"/>
      <c r="I53" s="36"/>
      <c r="J53" s="14"/>
    </row>
    <row r="54" spans="1:10" ht="15.75" customHeight="1">
      <c r="B54" s="32"/>
      <c r="C54" s="38"/>
      <c r="D54" s="34"/>
      <c r="E54" s="35"/>
      <c r="F54" s="35"/>
      <c r="G54" s="36"/>
      <c r="H54" s="36"/>
      <c r="I54" s="36"/>
      <c r="J54" s="14"/>
    </row>
    <row r="55" spans="1:10" ht="15.75" customHeight="1">
      <c r="B55" s="32"/>
      <c r="C55" s="38"/>
      <c r="D55" s="34"/>
      <c r="E55" s="35"/>
      <c r="F55" s="35"/>
      <c r="G55" s="36"/>
      <c r="H55" s="36"/>
      <c r="I55" s="36"/>
      <c r="J55" s="14"/>
    </row>
    <row r="56" spans="1:10" ht="15.75" customHeight="1">
      <c r="B56" s="32"/>
      <c r="C56" s="38"/>
      <c r="D56" s="34"/>
      <c r="E56" s="35"/>
      <c r="F56" s="35"/>
      <c r="G56" s="36"/>
      <c r="H56" s="36"/>
      <c r="I56" s="36"/>
      <c r="J56" s="14"/>
    </row>
    <row r="57" spans="1:10" ht="15.75" customHeight="1">
      <c r="B57" s="32"/>
      <c r="C57" s="38"/>
      <c r="D57" s="34"/>
      <c r="E57" s="35"/>
      <c r="F57" s="35"/>
      <c r="G57" s="36"/>
      <c r="H57" s="36"/>
      <c r="I57" s="36"/>
      <c r="J57" s="14"/>
    </row>
    <row r="58" spans="1:10" ht="15.75" customHeight="1">
      <c r="B58" s="32"/>
      <c r="C58" s="38"/>
      <c r="D58" s="34"/>
      <c r="E58" s="35"/>
      <c r="F58" s="35"/>
      <c r="G58" s="36"/>
      <c r="H58" s="36"/>
      <c r="I58" s="36"/>
      <c r="J58" s="14"/>
    </row>
    <row r="59" spans="1:10" ht="15.75" customHeight="1">
      <c r="B59" s="32"/>
      <c r="C59" s="38"/>
      <c r="D59" s="34"/>
      <c r="E59" s="35"/>
      <c r="F59" s="35"/>
      <c r="G59" s="36"/>
      <c r="H59" s="36"/>
      <c r="I59" s="36"/>
      <c r="J59" s="14"/>
    </row>
    <row r="60" spans="1:10" ht="15.75" customHeight="1">
      <c r="B60" s="32"/>
      <c r="C60" s="38"/>
      <c r="D60" s="34"/>
      <c r="E60" s="35"/>
      <c r="F60" s="35"/>
      <c r="G60" s="36"/>
      <c r="H60" s="36"/>
      <c r="I60" s="36"/>
      <c r="J60" s="14"/>
    </row>
    <row r="61" spans="1:10" ht="15.75" customHeight="1">
      <c r="B61" s="32"/>
      <c r="C61" s="38"/>
      <c r="D61" s="34"/>
      <c r="E61" s="35"/>
      <c r="F61" s="35"/>
      <c r="G61" s="36"/>
      <c r="H61" s="36"/>
      <c r="I61" s="36"/>
      <c r="J61" s="14"/>
    </row>
    <row r="62" spans="1:10" ht="15.75" customHeight="1">
      <c r="B62" s="32"/>
      <c r="C62" s="38"/>
      <c r="D62" s="34"/>
      <c r="E62" s="35"/>
      <c r="F62" s="35"/>
      <c r="G62" s="36"/>
      <c r="H62" s="36"/>
      <c r="I62" s="36"/>
      <c r="J62" s="14"/>
    </row>
    <row r="63" spans="1:10" ht="15.75" customHeight="1">
      <c r="B63" s="32"/>
      <c r="C63" s="38"/>
      <c r="D63" s="34"/>
      <c r="E63" s="35"/>
      <c r="F63" s="35"/>
      <c r="G63" s="36"/>
      <c r="H63" s="36"/>
      <c r="I63" s="36"/>
      <c r="J63" s="14"/>
    </row>
    <row r="64" spans="1:10" ht="15.75" customHeight="1">
      <c r="B64" s="32"/>
      <c r="C64" s="38"/>
      <c r="D64" s="34"/>
      <c r="E64" s="35"/>
      <c r="F64" s="35"/>
      <c r="G64" s="36"/>
      <c r="H64" s="36"/>
      <c r="I64" s="36"/>
      <c r="J64" s="14"/>
    </row>
    <row r="65" spans="2:10" ht="15.75" customHeight="1">
      <c r="B65" s="32"/>
      <c r="C65" s="38"/>
      <c r="D65" s="34"/>
      <c r="E65" s="35"/>
      <c r="F65" s="35"/>
      <c r="G65" s="36"/>
      <c r="H65" s="36"/>
      <c r="I65" s="36"/>
      <c r="J65" s="14"/>
    </row>
    <row r="66" spans="2:10" ht="15.75" customHeight="1">
      <c r="B66" s="32"/>
      <c r="C66" s="38"/>
      <c r="D66" s="34"/>
      <c r="E66" s="35"/>
      <c r="F66" s="35"/>
      <c r="G66" s="36"/>
      <c r="H66" s="36"/>
      <c r="I66" s="36"/>
      <c r="J66" s="14"/>
    </row>
    <row r="67" spans="2:10" ht="15.75" customHeight="1">
      <c r="B67" s="32"/>
      <c r="C67" s="38"/>
      <c r="D67" s="34"/>
      <c r="E67" s="35"/>
      <c r="F67" s="35"/>
      <c r="G67" s="36"/>
      <c r="H67" s="36"/>
      <c r="I67" s="36"/>
      <c r="J67" s="14"/>
    </row>
    <row r="68" spans="2:10" ht="15.75" customHeight="1">
      <c r="B68" s="32"/>
      <c r="C68" s="38"/>
      <c r="D68" s="34"/>
      <c r="E68" s="35"/>
      <c r="F68" s="35"/>
      <c r="G68" s="36"/>
      <c r="H68" s="36"/>
      <c r="I68" s="36"/>
      <c r="J68" s="14"/>
    </row>
    <row r="69" spans="2:10" ht="15.75" customHeight="1">
      <c r="B69" s="32"/>
      <c r="C69" s="38"/>
      <c r="D69" s="34"/>
      <c r="E69" s="35"/>
      <c r="F69" s="35"/>
      <c r="G69" s="36"/>
      <c r="H69" s="36"/>
      <c r="I69" s="36"/>
      <c r="J69" s="14"/>
    </row>
    <row r="70" spans="2:10" ht="15.75" customHeight="1">
      <c r="B70" s="32"/>
      <c r="C70" s="38"/>
      <c r="D70" s="34"/>
      <c r="E70" s="35"/>
      <c r="F70" s="35"/>
      <c r="G70" s="36"/>
      <c r="H70" s="36"/>
      <c r="I70" s="36"/>
      <c r="J70" s="14"/>
    </row>
    <row r="71" spans="2:10" ht="15.75" customHeight="1">
      <c r="B71" s="32"/>
      <c r="C71" s="38"/>
      <c r="D71" s="34"/>
      <c r="E71" s="35"/>
      <c r="F71" s="35"/>
      <c r="G71" s="36"/>
      <c r="H71" s="36"/>
      <c r="I71" s="36"/>
      <c r="J71" s="14"/>
    </row>
    <row r="72" spans="2:10" ht="15.75" customHeight="1">
      <c r="B72" s="32"/>
      <c r="C72" s="38"/>
      <c r="D72" s="34"/>
      <c r="E72" s="35"/>
      <c r="F72" s="35"/>
      <c r="G72" s="36"/>
      <c r="H72" s="36"/>
      <c r="I72" s="36"/>
      <c r="J72" s="14"/>
    </row>
    <row r="73" spans="2:10" ht="15.75" customHeight="1">
      <c r="B73" s="32"/>
      <c r="C73" s="38"/>
      <c r="D73" s="34"/>
      <c r="E73" s="35"/>
      <c r="F73" s="35"/>
      <c r="G73" s="36"/>
      <c r="H73" s="36"/>
      <c r="I73" s="36"/>
      <c r="J73" s="14"/>
    </row>
    <row r="74" spans="2:10" ht="15.75" customHeight="1">
      <c r="B74" s="32"/>
      <c r="C74" s="38"/>
      <c r="D74" s="34"/>
      <c r="E74" s="35"/>
      <c r="F74" s="35"/>
      <c r="G74" s="36"/>
      <c r="H74" s="36"/>
      <c r="I74" s="36"/>
      <c r="J74" s="14"/>
    </row>
    <row r="75" spans="2:10" ht="15.75" customHeight="1">
      <c r="B75" s="32"/>
      <c r="C75" s="38"/>
      <c r="D75" s="34"/>
      <c r="E75" s="35"/>
      <c r="F75" s="35"/>
      <c r="G75" s="36"/>
      <c r="H75" s="36"/>
      <c r="I75" s="36"/>
      <c r="J75" s="14"/>
    </row>
    <row r="76" spans="2:10" ht="15.75" customHeight="1">
      <c r="B76" s="32"/>
      <c r="C76" s="38"/>
      <c r="D76" s="34"/>
      <c r="E76" s="35"/>
      <c r="F76" s="35"/>
      <c r="G76" s="36"/>
      <c r="H76" s="36"/>
      <c r="I76" s="36"/>
      <c r="J76" s="14"/>
    </row>
    <row r="77" spans="2:10" ht="15.75" customHeight="1">
      <c r="B77" s="32"/>
      <c r="C77" s="38"/>
      <c r="D77" s="34"/>
      <c r="E77" s="35"/>
      <c r="F77" s="35"/>
      <c r="G77" s="36"/>
      <c r="H77" s="36"/>
      <c r="I77" s="36"/>
      <c r="J77" s="14"/>
    </row>
    <row r="78" spans="2:10" ht="15.75" customHeight="1">
      <c r="B78" s="32"/>
      <c r="C78" s="38"/>
      <c r="D78" s="34"/>
      <c r="E78" s="35"/>
      <c r="F78" s="35"/>
      <c r="G78" s="36"/>
      <c r="H78" s="36"/>
      <c r="I78" s="36"/>
      <c r="J78" s="14"/>
    </row>
    <row r="79" spans="2:10" ht="15.75" customHeight="1">
      <c r="B79" s="32"/>
      <c r="C79" s="38"/>
      <c r="D79" s="34"/>
      <c r="E79" s="35"/>
      <c r="F79" s="35"/>
      <c r="G79" s="36"/>
      <c r="H79" s="36"/>
      <c r="I79" s="36"/>
      <c r="J79" s="14"/>
    </row>
    <row r="80" spans="2:10" ht="15.75" customHeight="1">
      <c r="B80" s="32"/>
      <c r="C80" s="38"/>
      <c r="D80" s="34"/>
      <c r="E80" s="35"/>
      <c r="F80" s="35"/>
      <c r="G80" s="36"/>
      <c r="H80" s="36"/>
      <c r="I80" s="36"/>
      <c r="J80" s="14"/>
    </row>
    <row r="81" spans="2:10" ht="15.75" customHeight="1">
      <c r="B81" s="32"/>
      <c r="C81" s="38"/>
      <c r="D81" s="34"/>
      <c r="E81" s="35"/>
      <c r="F81" s="35"/>
      <c r="G81" s="36"/>
      <c r="H81" s="36"/>
      <c r="I81" s="36"/>
      <c r="J81" s="14"/>
    </row>
    <row r="82" spans="2:10" ht="15.75" customHeight="1">
      <c r="B82" s="32"/>
      <c r="C82" s="38"/>
      <c r="D82" s="34"/>
      <c r="E82" s="35"/>
      <c r="F82" s="35"/>
      <c r="G82" s="36"/>
      <c r="H82" s="36"/>
      <c r="I82" s="36"/>
      <c r="J82" s="14"/>
    </row>
    <row r="83" spans="2:10" ht="15.75" customHeight="1">
      <c r="B83" s="32"/>
      <c r="C83" s="38"/>
      <c r="D83" s="34"/>
      <c r="E83" s="35"/>
      <c r="F83" s="35"/>
      <c r="G83" s="36"/>
      <c r="H83" s="36"/>
      <c r="I83" s="36"/>
      <c r="J83" s="14"/>
    </row>
    <row r="84" spans="2:10" ht="15.75" customHeight="1">
      <c r="B84" s="32"/>
      <c r="C84" s="38"/>
      <c r="D84" s="34"/>
      <c r="E84" s="35"/>
      <c r="F84" s="35"/>
      <c r="G84" s="36"/>
      <c r="H84" s="36"/>
      <c r="I84" s="36"/>
      <c r="J84" s="14"/>
    </row>
    <row r="85" spans="2:10" ht="15.75" customHeight="1">
      <c r="B85" s="32"/>
      <c r="C85" s="38"/>
      <c r="D85" s="34"/>
      <c r="E85" s="35"/>
      <c r="F85" s="35"/>
      <c r="G85" s="36"/>
      <c r="H85" s="36"/>
      <c r="I85" s="36"/>
      <c r="J85" s="14"/>
    </row>
    <row r="86" spans="2:10" ht="15.75" customHeight="1">
      <c r="B86" s="32"/>
      <c r="C86" s="38"/>
      <c r="D86" s="34"/>
      <c r="E86" s="35"/>
      <c r="F86" s="35"/>
      <c r="G86" s="36"/>
      <c r="H86" s="36"/>
      <c r="I86" s="36"/>
      <c r="J86" s="14"/>
    </row>
    <row r="87" spans="2:10" ht="15.75" customHeight="1">
      <c r="B87" s="32"/>
      <c r="C87" s="38"/>
      <c r="D87" s="34"/>
      <c r="E87" s="35"/>
      <c r="F87" s="35"/>
      <c r="G87" s="36"/>
      <c r="H87" s="36"/>
      <c r="I87" s="36"/>
      <c r="J87" s="14"/>
    </row>
    <row r="88" spans="2:10" ht="15.75" customHeight="1">
      <c r="B88" s="32"/>
      <c r="C88" s="38"/>
      <c r="D88" s="34"/>
      <c r="E88" s="35"/>
      <c r="F88" s="35"/>
      <c r="G88" s="36"/>
      <c r="H88" s="36"/>
      <c r="I88" s="36"/>
      <c r="J88" s="14"/>
    </row>
    <row r="89" spans="2:10" ht="15.75" customHeight="1">
      <c r="B89" s="32"/>
      <c r="C89" s="38"/>
      <c r="D89" s="34"/>
      <c r="E89" s="35"/>
      <c r="F89" s="35"/>
      <c r="G89" s="36"/>
      <c r="H89" s="36"/>
      <c r="I89" s="36"/>
      <c r="J89" s="14"/>
    </row>
    <row r="90" spans="2:10" ht="15.75" customHeight="1">
      <c r="B90" s="32"/>
      <c r="C90" s="38"/>
      <c r="D90" s="34"/>
      <c r="E90" s="35"/>
      <c r="F90" s="35"/>
      <c r="G90" s="36"/>
      <c r="H90" s="36"/>
      <c r="I90" s="36"/>
      <c r="J90" s="14"/>
    </row>
    <row r="91" spans="2:10" ht="15.75" customHeight="1">
      <c r="B91" s="32"/>
      <c r="C91" s="38"/>
      <c r="D91" s="34"/>
      <c r="E91" s="35"/>
      <c r="F91" s="35"/>
      <c r="G91" s="36"/>
      <c r="H91" s="36"/>
      <c r="I91" s="36"/>
      <c r="J91" s="14"/>
    </row>
    <row r="92" spans="2:10" ht="15.75" customHeight="1">
      <c r="B92" s="32"/>
      <c r="C92" s="38"/>
      <c r="D92" s="34"/>
      <c r="E92" s="35"/>
      <c r="F92" s="35"/>
      <c r="G92" s="36"/>
      <c r="H92" s="36"/>
      <c r="I92" s="36"/>
      <c r="J92" s="14"/>
    </row>
    <row r="93" spans="2:10" ht="15.75" customHeight="1">
      <c r="B93" s="32"/>
      <c r="C93" s="38"/>
      <c r="D93" s="34"/>
      <c r="E93" s="35"/>
      <c r="F93" s="35"/>
      <c r="G93" s="36"/>
      <c r="H93" s="36"/>
      <c r="I93" s="36"/>
      <c r="J93" s="14"/>
    </row>
    <row r="94" spans="2:10" ht="15.75" customHeight="1">
      <c r="B94" s="32"/>
      <c r="C94" s="38"/>
      <c r="D94" s="34"/>
      <c r="E94" s="35"/>
      <c r="F94" s="35"/>
      <c r="G94" s="36"/>
      <c r="H94" s="36"/>
      <c r="I94" s="36"/>
      <c r="J94" s="14"/>
    </row>
    <row r="95" spans="2:10" ht="15.75" customHeight="1">
      <c r="B95" s="32"/>
      <c r="C95" s="38"/>
      <c r="D95" s="34"/>
      <c r="E95" s="35"/>
      <c r="F95" s="35"/>
      <c r="G95" s="36"/>
      <c r="H95" s="36"/>
      <c r="I95" s="36"/>
      <c r="J95" s="14"/>
    </row>
    <row r="96" spans="2:10" ht="15.75" customHeight="1">
      <c r="B96" s="32"/>
      <c r="C96" s="38"/>
      <c r="D96" s="34"/>
      <c r="E96" s="35"/>
      <c r="F96" s="35"/>
      <c r="G96" s="36"/>
      <c r="H96" s="36"/>
      <c r="I96" s="36"/>
      <c r="J96" s="14"/>
    </row>
    <row r="97" spans="2:10" ht="15.75" customHeight="1">
      <c r="B97" s="32"/>
      <c r="C97" s="38"/>
      <c r="D97" s="34"/>
      <c r="E97" s="35"/>
      <c r="F97" s="35"/>
      <c r="G97" s="36"/>
      <c r="H97" s="36"/>
      <c r="I97" s="36"/>
      <c r="J97" s="14"/>
    </row>
    <row r="98" spans="2:10" ht="15.75" customHeight="1">
      <c r="B98" s="32"/>
      <c r="C98" s="38"/>
      <c r="D98" s="34"/>
      <c r="E98" s="35"/>
      <c r="F98" s="35"/>
      <c r="G98" s="36"/>
      <c r="H98" s="36"/>
      <c r="I98" s="36"/>
      <c r="J98" s="14"/>
    </row>
    <row r="99" spans="2:10" ht="15.75" customHeight="1">
      <c r="B99" s="32"/>
      <c r="C99" s="38"/>
      <c r="D99" s="34"/>
      <c r="E99" s="35"/>
      <c r="F99" s="35"/>
      <c r="G99" s="36"/>
      <c r="H99" s="36"/>
      <c r="I99" s="36"/>
      <c r="J99" s="14"/>
    </row>
    <row r="100" spans="2:10" ht="15.75" customHeight="1">
      <c r="B100" s="32"/>
      <c r="C100" s="38"/>
      <c r="D100" s="34"/>
      <c r="E100" s="35"/>
      <c r="F100" s="35"/>
      <c r="G100" s="36"/>
      <c r="H100" s="36"/>
      <c r="I100" s="36"/>
      <c r="J100" s="14"/>
    </row>
    <row r="101" spans="2:10" ht="15.75" customHeight="1">
      <c r="B101" s="32"/>
      <c r="C101" s="38"/>
      <c r="D101" s="34"/>
      <c r="E101" s="35"/>
      <c r="F101" s="35"/>
      <c r="G101" s="36"/>
      <c r="H101" s="36"/>
      <c r="I101" s="36"/>
      <c r="J101" s="14"/>
    </row>
    <row r="102" spans="2:10" ht="15.75" customHeight="1">
      <c r="B102" s="32"/>
      <c r="C102" s="38"/>
      <c r="D102" s="34"/>
      <c r="E102" s="35"/>
      <c r="F102" s="35"/>
      <c r="G102" s="36"/>
      <c r="H102" s="36"/>
      <c r="I102" s="36"/>
      <c r="J102" s="14"/>
    </row>
    <row r="103" spans="2:10" ht="15.75" customHeight="1">
      <c r="B103" s="32"/>
      <c r="C103" s="38"/>
      <c r="D103" s="34"/>
      <c r="E103" s="35"/>
      <c r="F103" s="35"/>
      <c r="G103" s="36"/>
      <c r="H103" s="36"/>
      <c r="I103" s="36"/>
      <c r="J103" s="14"/>
    </row>
    <row r="104" spans="2:10" ht="15.75" customHeight="1">
      <c r="B104" s="32"/>
      <c r="C104" s="38"/>
      <c r="D104" s="34"/>
      <c r="E104" s="35"/>
      <c r="F104" s="35"/>
      <c r="G104" s="36"/>
      <c r="H104" s="36"/>
      <c r="I104" s="36"/>
      <c r="J104" s="14"/>
    </row>
    <row r="105" spans="2:10" ht="15.75" customHeight="1">
      <c r="B105" s="32"/>
      <c r="C105" s="38"/>
      <c r="D105" s="34"/>
      <c r="E105" s="35"/>
      <c r="F105" s="35"/>
      <c r="G105" s="36"/>
      <c r="H105" s="36"/>
      <c r="I105" s="36"/>
      <c r="J105" s="14"/>
    </row>
    <row r="106" spans="2:10" ht="15.75" customHeight="1">
      <c r="B106" s="32"/>
      <c r="C106" s="38"/>
      <c r="D106" s="34"/>
      <c r="E106" s="35"/>
      <c r="F106" s="35"/>
      <c r="G106" s="36"/>
      <c r="H106" s="36"/>
      <c r="I106" s="36"/>
      <c r="J106" s="14"/>
    </row>
    <row r="107" spans="2:10" ht="15.75" customHeight="1">
      <c r="B107" s="32"/>
      <c r="C107" s="38"/>
      <c r="D107" s="34"/>
      <c r="E107" s="35"/>
      <c r="F107" s="35"/>
      <c r="G107" s="36"/>
      <c r="H107" s="36"/>
      <c r="I107" s="36"/>
      <c r="J107" s="14"/>
    </row>
    <row r="108" spans="2:10" ht="15.75" customHeight="1">
      <c r="B108" s="32"/>
      <c r="C108" s="38"/>
      <c r="D108" s="34"/>
      <c r="E108" s="35"/>
      <c r="F108" s="35"/>
      <c r="G108" s="36"/>
      <c r="H108" s="36"/>
      <c r="I108" s="36"/>
      <c r="J108" s="14"/>
    </row>
    <row r="109" spans="2:10" ht="15.75" customHeight="1">
      <c r="B109" s="32"/>
      <c r="C109" s="38"/>
      <c r="D109" s="34"/>
      <c r="E109" s="35"/>
      <c r="F109" s="35"/>
      <c r="G109" s="36"/>
      <c r="H109" s="36"/>
      <c r="I109" s="36"/>
      <c r="J109" s="14"/>
    </row>
    <row r="110" spans="2:10" ht="15.75" customHeight="1">
      <c r="B110" s="32"/>
      <c r="C110" s="38"/>
      <c r="D110" s="34"/>
      <c r="E110" s="35"/>
      <c r="F110" s="35"/>
      <c r="G110" s="36"/>
      <c r="H110" s="36"/>
      <c r="I110" s="36"/>
      <c r="J110" s="14"/>
    </row>
    <row r="111" spans="2:10" ht="15.75" customHeight="1">
      <c r="B111" s="32"/>
      <c r="C111" s="38"/>
      <c r="D111" s="34"/>
      <c r="E111" s="35"/>
      <c r="F111" s="35"/>
      <c r="G111" s="36"/>
      <c r="H111" s="36"/>
      <c r="I111" s="36"/>
      <c r="J111" s="14"/>
    </row>
    <row r="112" spans="2:10" ht="15.75" customHeight="1">
      <c r="B112" s="32"/>
      <c r="C112" s="38"/>
      <c r="D112" s="34"/>
      <c r="E112" s="35"/>
      <c r="F112" s="35"/>
      <c r="G112" s="36"/>
      <c r="H112" s="36"/>
      <c r="I112" s="36"/>
      <c r="J112" s="14"/>
    </row>
    <row r="113" spans="2:10" ht="15.75" customHeight="1">
      <c r="B113" s="32"/>
      <c r="C113" s="38"/>
      <c r="D113" s="34"/>
      <c r="E113" s="35"/>
      <c r="F113" s="35"/>
      <c r="G113" s="36"/>
      <c r="H113" s="36"/>
      <c r="I113" s="36"/>
      <c r="J113" s="14"/>
    </row>
    <row r="114" spans="2:10" ht="15.75" customHeight="1">
      <c r="B114" s="32"/>
      <c r="C114" s="38"/>
      <c r="D114" s="34"/>
      <c r="E114" s="35"/>
      <c r="F114" s="35"/>
      <c r="G114" s="36"/>
      <c r="H114" s="36"/>
      <c r="I114" s="36"/>
      <c r="J114" s="14"/>
    </row>
    <row r="115" spans="2:10" ht="15.75" customHeight="1">
      <c r="B115" s="32"/>
      <c r="C115" s="38"/>
      <c r="D115" s="34"/>
      <c r="E115" s="35"/>
      <c r="F115" s="35"/>
      <c r="G115" s="36"/>
      <c r="H115" s="36"/>
      <c r="I115" s="36"/>
      <c r="J115" s="14"/>
    </row>
    <row r="116" spans="2:10" ht="15.75" customHeight="1">
      <c r="B116" s="32"/>
      <c r="C116" s="38"/>
      <c r="D116" s="34"/>
      <c r="E116" s="35"/>
      <c r="F116" s="35"/>
      <c r="G116" s="36"/>
      <c r="H116" s="36"/>
      <c r="I116" s="36"/>
      <c r="J116" s="14"/>
    </row>
    <row r="117" spans="2:10" ht="15.75" customHeight="1">
      <c r="B117" s="32"/>
      <c r="C117" s="38"/>
      <c r="D117" s="34"/>
      <c r="E117" s="35"/>
      <c r="F117" s="35"/>
      <c r="G117" s="36"/>
      <c r="H117" s="36"/>
      <c r="I117" s="36"/>
      <c r="J117" s="14"/>
    </row>
    <row r="118" spans="2:10" ht="15.75" customHeight="1">
      <c r="B118" s="32"/>
      <c r="C118" s="38"/>
      <c r="D118" s="34"/>
      <c r="E118" s="35"/>
      <c r="F118" s="35"/>
      <c r="G118" s="36"/>
      <c r="H118" s="36"/>
      <c r="I118" s="36"/>
      <c r="J118" s="14"/>
    </row>
    <row r="119" spans="2:10" ht="15.75" customHeight="1">
      <c r="B119" s="32"/>
      <c r="C119" s="38"/>
      <c r="D119" s="34"/>
      <c r="E119" s="35"/>
      <c r="F119" s="35"/>
      <c r="G119" s="36"/>
      <c r="H119" s="36"/>
      <c r="I119" s="36"/>
      <c r="J119" s="14"/>
    </row>
    <row r="120" spans="2:10" ht="15.75" customHeight="1">
      <c r="B120" s="32"/>
      <c r="C120" s="38"/>
      <c r="D120" s="34"/>
      <c r="E120" s="35"/>
      <c r="F120" s="35"/>
      <c r="G120" s="36"/>
      <c r="H120" s="36"/>
      <c r="I120" s="36"/>
      <c r="J120" s="14"/>
    </row>
    <row r="121" spans="2:10" ht="15.75" customHeight="1">
      <c r="B121" s="32"/>
      <c r="C121" s="38"/>
      <c r="D121" s="34"/>
      <c r="E121" s="35"/>
      <c r="F121" s="35"/>
      <c r="G121" s="36"/>
      <c r="H121" s="36"/>
      <c r="I121" s="36"/>
      <c r="J121" s="14"/>
    </row>
    <row r="122" spans="2:10" ht="15.75" customHeight="1">
      <c r="B122" s="32"/>
      <c r="C122" s="38"/>
      <c r="D122" s="34"/>
      <c r="E122" s="35"/>
      <c r="F122" s="35"/>
      <c r="G122" s="36"/>
      <c r="H122" s="36"/>
      <c r="I122" s="36"/>
      <c r="J122" s="14"/>
    </row>
    <row r="123" spans="2:10" ht="15.75" customHeight="1">
      <c r="B123" s="32"/>
      <c r="C123" s="38"/>
      <c r="D123" s="34"/>
      <c r="E123" s="35"/>
      <c r="F123" s="35"/>
      <c r="G123" s="36"/>
      <c r="H123" s="36"/>
      <c r="I123" s="36"/>
      <c r="J123" s="14"/>
    </row>
    <row r="124" spans="2:10" ht="15.75" customHeight="1">
      <c r="B124" s="32"/>
      <c r="C124" s="38"/>
      <c r="D124" s="34"/>
      <c r="E124" s="35"/>
      <c r="F124" s="35"/>
      <c r="G124" s="36"/>
      <c r="H124" s="36"/>
      <c r="I124" s="36"/>
      <c r="J124" s="14"/>
    </row>
    <row r="125" spans="2:10" ht="15.75" customHeight="1">
      <c r="B125" s="32"/>
      <c r="C125" s="38"/>
      <c r="D125" s="34"/>
      <c r="E125" s="35"/>
      <c r="F125" s="35"/>
      <c r="G125" s="36"/>
      <c r="H125" s="36"/>
      <c r="I125" s="36"/>
      <c r="J125" s="14"/>
    </row>
    <row r="126" spans="2:10" ht="15.75" customHeight="1">
      <c r="B126" s="32"/>
      <c r="C126" s="38"/>
      <c r="D126" s="34"/>
      <c r="E126" s="35"/>
      <c r="F126" s="35"/>
      <c r="G126" s="36"/>
      <c r="H126" s="36"/>
      <c r="I126" s="36"/>
      <c r="J126" s="14"/>
    </row>
    <row r="127" spans="2:10" ht="15.75" customHeight="1">
      <c r="B127" s="32"/>
      <c r="C127" s="38"/>
      <c r="D127" s="34"/>
      <c r="E127" s="35"/>
      <c r="F127" s="35"/>
      <c r="G127" s="36"/>
      <c r="H127" s="36"/>
      <c r="I127" s="36"/>
      <c r="J127" s="14"/>
    </row>
    <row r="128" spans="2:10" ht="15.75" customHeight="1">
      <c r="B128" s="32"/>
      <c r="C128" s="38"/>
      <c r="D128" s="34"/>
      <c r="E128" s="35"/>
      <c r="F128" s="35"/>
      <c r="G128" s="36"/>
      <c r="H128" s="36"/>
      <c r="I128" s="36"/>
      <c r="J128" s="14"/>
    </row>
    <row r="129" spans="2:10" ht="15.75" customHeight="1">
      <c r="B129" s="32"/>
      <c r="C129" s="38"/>
      <c r="D129" s="34"/>
      <c r="E129" s="35"/>
      <c r="F129" s="35"/>
      <c r="G129" s="36"/>
      <c r="H129" s="36"/>
      <c r="I129" s="36"/>
      <c r="J129" s="14"/>
    </row>
    <row r="130" spans="2:10" ht="15.75" customHeight="1">
      <c r="B130" s="32"/>
      <c r="C130" s="38"/>
      <c r="D130" s="34"/>
      <c r="E130" s="35"/>
      <c r="F130" s="35"/>
      <c r="G130" s="36"/>
      <c r="H130" s="36"/>
      <c r="I130" s="36"/>
      <c r="J130" s="14"/>
    </row>
    <row r="131" spans="2:10" ht="15.75" customHeight="1">
      <c r="B131" s="32"/>
      <c r="C131" s="38"/>
      <c r="D131" s="34"/>
      <c r="E131" s="35"/>
      <c r="F131" s="35"/>
      <c r="G131" s="36"/>
      <c r="H131" s="36"/>
      <c r="I131" s="36"/>
      <c r="J131" s="14"/>
    </row>
    <row r="132" spans="2:10" ht="15.75" customHeight="1">
      <c r="B132" s="32"/>
      <c r="C132" s="38"/>
      <c r="D132" s="34"/>
      <c r="E132" s="35"/>
      <c r="F132" s="35"/>
      <c r="G132" s="36"/>
      <c r="H132" s="36"/>
      <c r="I132" s="36"/>
      <c r="J132" s="14"/>
    </row>
    <row r="133" spans="2:10" ht="15.75" customHeight="1">
      <c r="B133" s="32"/>
      <c r="C133" s="38"/>
      <c r="D133" s="34"/>
      <c r="E133" s="35"/>
      <c r="F133" s="35"/>
      <c r="G133" s="36"/>
      <c r="H133" s="36"/>
      <c r="I133" s="36"/>
      <c r="J133" s="14"/>
    </row>
    <row r="134" spans="2:10" ht="15.75" customHeight="1">
      <c r="B134" s="32"/>
      <c r="C134" s="38"/>
      <c r="D134" s="34"/>
      <c r="E134" s="35"/>
      <c r="F134" s="35"/>
      <c r="G134" s="36"/>
      <c r="H134" s="36"/>
      <c r="I134" s="36"/>
      <c r="J134" s="14"/>
    </row>
    <row r="135" spans="2:10" ht="15.75" customHeight="1">
      <c r="B135" s="32"/>
      <c r="C135" s="38"/>
      <c r="D135" s="34"/>
      <c r="E135" s="35"/>
      <c r="F135" s="35"/>
      <c r="G135" s="36"/>
      <c r="H135" s="36"/>
      <c r="I135" s="36"/>
      <c r="J135" s="14"/>
    </row>
    <row r="136" spans="2:10" ht="15.75" customHeight="1">
      <c r="B136" s="32"/>
      <c r="C136" s="38"/>
      <c r="D136" s="34"/>
      <c r="E136" s="35"/>
      <c r="F136" s="35"/>
      <c r="G136" s="36"/>
      <c r="H136" s="36"/>
      <c r="I136" s="36"/>
      <c r="J136" s="14"/>
    </row>
    <row r="137" spans="2:10" ht="15.75" customHeight="1">
      <c r="B137" s="32"/>
      <c r="C137" s="38"/>
      <c r="D137" s="34"/>
      <c r="E137" s="35"/>
      <c r="F137" s="35"/>
      <c r="G137" s="36"/>
      <c r="H137" s="36"/>
      <c r="I137" s="36"/>
      <c r="J137" s="14"/>
    </row>
    <row r="138" spans="2:10" ht="15.75" customHeight="1">
      <c r="B138" s="32"/>
      <c r="C138" s="38"/>
      <c r="D138" s="34"/>
      <c r="E138" s="35"/>
      <c r="F138" s="35"/>
      <c r="G138" s="36"/>
      <c r="H138" s="36"/>
      <c r="I138" s="36"/>
      <c r="J138" s="14"/>
    </row>
    <row r="139" spans="2:10" ht="15.75" customHeight="1">
      <c r="B139" s="32"/>
      <c r="C139" s="38"/>
      <c r="D139" s="34"/>
      <c r="E139" s="35"/>
      <c r="F139" s="35"/>
      <c r="G139" s="36"/>
      <c r="H139" s="36"/>
      <c r="I139" s="36"/>
      <c r="J139" s="14"/>
    </row>
    <row r="140" spans="2:10" ht="15.75" customHeight="1">
      <c r="B140" s="32"/>
      <c r="C140" s="38"/>
      <c r="D140" s="34"/>
      <c r="E140" s="35"/>
      <c r="F140" s="35"/>
      <c r="G140" s="36"/>
      <c r="H140" s="36"/>
      <c r="I140" s="36"/>
      <c r="J140" s="14"/>
    </row>
    <row r="141" spans="2:10" ht="15.75" customHeight="1">
      <c r="B141" s="32"/>
      <c r="C141" s="38"/>
      <c r="D141" s="34"/>
      <c r="E141" s="35"/>
      <c r="F141" s="35"/>
      <c r="G141" s="36"/>
      <c r="H141" s="36"/>
      <c r="I141" s="36"/>
      <c r="J141" s="14"/>
    </row>
    <row r="142" spans="2:10" ht="15.75" customHeight="1">
      <c r="B142" s="32"/>
      <c r="C142" s="38"/>
      <c r="D142" s="34"/>
      <c r="E142" s="35"/>
      <c r="F142" s="35"/>
      <c r="G142" s="36"/>
      <c r="H142" s="36"/>
      <c r="I142" s="36"/>
      <c r="J142" s="14"/>
    </row>
    <row r="143" spans="2:10" ht="15.75" customHeight="1">
      <c r="B143" s="32"/>
      <c r="C143" s="38"/>
      <c r="D143" s="34"/>
      <c r="E143" s="35"/>
      <c r="F143" s="35"/>
      <c r="G143" s="36"/>
      <c r="H143" s="36"/>
      <c r="I143" s="36"/>
      <c r="J143" s="14"/>
    </row>
    <row r="144" spans="2:10" ht="15.75" customHeight="1">
      <c r="B144" s="32"/>
      <c r="C144" s="38"/>
      <c r="D144" s="34"/>
      <c r="E144" s="35"/>
      <c r="F144" s="35"/>
      <c r="G144" s="36"/>
      <c r="H144" s="36"/>
      <c r="I144" s="36"/>
      <c r="J144" s="14"/>
    </row>
    <row r="145" spans="2:10" ht="15.75" customHeight="1">
      <c r="B145" s="32"/>
      <c r="C145" s="38"/>
      <c r="D145" s="34"/>
      <c r="E145" s="35"/>
      <c r="F145" s="35"/>
      <c r="G145" s="36"/>
      <c r="H145" s="36"/>
      <c r="I145" s="36"/>
      <c r="J145" s="14"/>
    </row>
    <row r="146" spans="2:10" ht="15.75" customHeight="1">
      <c r="B146" s="32"/>
      <c r="C146" s="38"/>
      <c r="D146" s="34"/>
      <c r="E146" s="35"/>
      <c r="F146" s="35"/>
      <c r="G146" s="36"/>
      <c r="H146" s="36"/>
      <c r="I146" s="36"/>
      <c r="J146" s="14"/>
    </row>
    <row r="147" spans="2:10" ht="15.75" customHeight="1">
      <c r="B147" s="32"/>
      <c r="C147" s="38"/>
      <c r="D147" s="34"/>
      <c r="E147" s="35"/>
      <c r="F147" s="35"/>
      <c r="G147" s="36"/>
      <c r="H147" s="36"/>
      <c r="I147" s="36"/>
      <c r="J147" s="14"/>
    </row>
    <row r="148" spans="2:10" ht="15.75" customHeight="1">
      <c r="B148" s="32"/>
      <c r="C148" s="38"/>
      <c r="D148" s="34"/>
      <c r="E148" s="35"/>
      <c r="F148" s="35"/>
      <c r="G148" s="36"/>
      <c r="H148" s="36"/>
      <c r="I148" s="36"/>
      <c r="J148" s="14"/>
    </row>
    <row r="149" spans="2:10" ht="15.75" customHeight="1">
      <c r="B149" s="32"/>
      <c r="C149" s="38"/>
      <c r="D149" s="34"/>
      <c r="E149" s="35"/>
      <c r="F149" s="35"/>
      <c r="G149" s="36"/>
      <c r="H149" s="36"/>
      <c r="I149" s="36"/>
      <c r="J149" s="14"/>
    </row>
    <row r="150" spans="2:10" ht="15.75" customHeight="1">
      <c r="B150" s="32"/>
      <c r="C150" s="38"/>
      <c r="D150" s="34"/>
      <c r="E150" s="35"/>
      <c r="F150" s="35"/>
      <c r="G150" s="36"/>
      <c r="H150" s="36"/>
      <c r="I150" s="36"/>
      <c r="J150" s="14"/>
    </row>
    <row r="151" spans="2:10" ht="15.75" customHeight="1">
      <c r="B151" s="32"/>
      <c r="C151" s="38"/>
      <c r="D151" s="34"/>
      <c r="E151" s="35"/>
      <c r="F151" s="35"/>
      <c r="G151" s="36"/>
      <c r="H151" s="36"/>
      <c r="I151" s="36"/>
      <c r="J151" s="14"/>
    </row>
    <row r="152" spans="2:10" ht="15.75" customHeight="1">
      <c r="B152" s="32"/>
      <c r="C152" s="38"/>
      <c r="D152" s="34"/>
      <c r="E152" s="35"/>
      <c r="F152" s="35"/>
      <c r="G152" s="36"/>
      <c r="H152" s="36"/>
      <c r="I152" s="36"/>
      <c r="J152" s="14"/>
    </row>
    <row r="153" spans="2:10" ht="15.75" customHeight="1">
      <c r="B153" s="32"/>
      <c r="C153" s="38"/>
      <c r="D153" s="34"/>
      <c r="E153" s="35"/>
      <c r="F153" s="35"/>
      <c r="G153" s="36"/>
      <c r="H153" s="36"/>
      <c r="I153" s="36"/>
      <c r="J153" s="14"/>
    </row>
    <row r="154" spans="2:10" ht="15.75" customHeight="1">
      <c r="B154" s="32"/>
      <c r="C154" s="38"/>
      <c r="D154" s="34"/>
      <c r="E154" s="35"/>
      <c r="F154" s="35"/>
      <c r="G154" s="36"/>
      <c r="H154" s="36"/>
      <c r="I154" s="36"/>
      <c r="J154" s="14"/>
    </row>
    <row r="155" spans="2:10" ht="15.75" customHeight="1">
      <c r="B155" s="32"/>
      <c r="C155" s="38"/>
      <c r="D155" s="34"/>
      <c r="E155" s="35"/>
      <c r="F155" s="35"/>
      <c r="G155" s="36"/>
      <c r="H155" s="36"/>
      <c r="I155" s="36"/>
      <c r="J155" s="14"/>
    </row>
    <row r="156" spans="2:10" ht="15.75" customHeight="1">
      <c r="B156" s="32"/>
      <c r="C156" s="38"/>
      <c r="D156" s="34"/>
      <c r="E156" s="35"/>
      <c r="F156" s="35"/>
      <c r="G156" s="36"/>
      <c r="H156" s="36"/>
      <c r="I156" s="36"/>
      <c r="J156" s="14"/>
    </row>
    <row r="157" spans="2:10" ht="15.75" customHeight="1">
      <c r="B157" s="32"/>
      <c r="C157" s="38"/>
      <c r="D157" s="34"/>
      <c r="E157" s="35"/>
      <c r="F157" s="35"/>
      <c r="G157" s="36"/>
      <c r="H157" s="36"/>
      <c r="I157" s="36"/>
      <c r="J157" s="14"/>
    </row>
    <row r="158" spans="2:10" ht="15.75" customHeight="1">
      <c r="B158" s="32"/>
      <c r="C158" s="38"/>
      <c r="D158" s="34"/>
      <c r="E158" s="35"/>
      <c r="F158" s="35"/>
      <c r="G158" s="36"/>
      <c r="H158" s="36"/>
      <c r="I158" s="36"/>
      <c r="J158" s="14"/>
    </row>
    <row r="159" spans="2:10" ht="15.75" customHeight="1">
      <c r="B159" s="32"/>
      <c r="C159" s="38"/>
      <c r="D159" s="34"/>
      <c r="E159" s="35"/>
      <c r="F159" s="35"/>
      <c r="G159" s="36"/>
      <c r="H159" s="36"/>
      <c r="I159" s="36"/>
      <c r="J159" s="14"/>
    </row>
    <row r="160" spans="2:10" ht="15.75" customHeight="1">
      <c r="B160" s="32"/>
      <c r="C160" s="38"/>
      <c r="D160" s="34"/>
      <c r="E160" s="35"/>
      <c r="F160" s="35"/>
      <c r="G160" s="36"/>
      <c r="H160" s="36"/>
      <c r="I160" s="36"/>
      <c r="J160" s="14"/>
    </row>
    <row r="161" spans="2:10" ht="15.75" customHeight="1">
      <c r="B161" s="32"/>
      <c r="C161" s="38"/>
      <c r="D161" s="34"/>
      <c r="E161" s="35"/>
      <c r="F161" s="35"/>
      <c r="G161" s="36"/>
      <c r="H161" s="36"/>
      <c r="I161" s="36"/>
      <c r="J161" s="14"/>
    </row>
    <row r="162" spans="2:10" ht="15.75" customHeight="1">
      <c r="B162" s="32"/>
      <c r="C162" s="38"/>
      <c r="D162" s="34"/>
      <c r="E162" s="35"/>
      <c r="F162" s="35"/>
      <c r="G162" s="36"/>
      <c r="H162" s="36"/>
      <c r="I162" s="36"/>
      <c r="J162" s="14"/>
    </row>
    <row r="163" spans="2:10" ht="15.75" customHeight="1">
      <c r="B163" s="32"/>
      <c r="C163" s="38"/>
      <c r="D163" s="34"/>
      <c r="E163" s="35"/>
      <c r="F163" s="35"/>
      <c r="G163" s="36"/>
      <c r="H163" s="36"/>
      <c r="I163" s="36"/>
      <c r="J163" s="14"/>
    </row>
    <row r="164" spans="2:10" ht="15.75" customHeight="1">
      <c r="B164" s="32"/>
      <c r="C164" s="38"/>
      <c r="D164" s="34"/>
      <c r="E164" s="35"/>
      <c r="F164" s="35"/>
      <c r="G164" s="36"/>
      <c r="H164" s="36"/>
      <c r="I164" s="36"/>
      <c r="J164" s="14"/>
    </row>
    <row r="165" spans="2:10" ht="15.75" customHeight="1">
      <c r="B165" s="32"/>
      <c r="C165" s="38"/>
      <c r="D165" s="34"/>
      <c r="E165" s="35"/>
      <c r="F165" s="35"/>
      <c r="G165" s="36"/>
      <c r="H165" s="36"/>
      <c r="I165" s="36"/>
      <c r="J165" s="14"/>
    </row>
    <row r="166" spans="2:10" ht="15.75" customHeight="1">
      <c r="B166" s="32"/>
      <c r="C166" s="38"/>
      <c r="D166" s="34"/>
      <c r="E166" s="35"/>
      <c r="F166" s="35"/>
      <c r="G166" s="36"/>
      <c r="H166" s="36"/>
      <c r="I166" s="36"/>
      <c r="J166" s="14"/>
    </row>
    <row r="167" spans="2:10" ht="15.75" customHeight="1">
      <c r="B167" s="32"/>
      <c r="C167" s="38"/>
      <c r="D167" s="34"/>
      <c r="E167" s="35"/>
      <c r="F167" s="35"/>
      <c r="G167" s="36"/>
      <c r="H167" s="36"/>
      <c r="I167" s="36"/>
      <c r="J167" s="14"/>
    </row>
    <row r="168" spans="2:10" ht="15.75" customHeight="1">
      <c r="B168" s="32"/>
      <c r="C168" s="38"/>
      <c r="D168" s="34"/>
      <c r="E168" s="35"/>
      <c r="F168" s="35"/>
      <c r="G168" s="36"/>
      <c r="H168" s="36"/>
      <c r="I168" s="36"/>
      <c r="J168" s="14"/>
    </row>
    <row r="169" spans="2:10" ht="15.75" customHeight="1">
      <c r="B169" s="32"/>
      <c r="C169" s="38"/>
      <c r="D169" s="34"/>
      <c r="E169" s="35"/>
      <c r="F169" s="35"/>
      <c r="G169" s="36"/>
      <c r="H169" s="36"/>
      <c r="I169" s="36"/>
      <c r="J169" s="14"/>
    </row>
    <row r="170" spans="2:10" ht="15.75" customHeight="1">
      <c r="B170" s="32"/>
      <c r="C170" s="38"/>
      <c r="D170" s="34"/>
      <c r="E170" s="35"/>
      <c r="F170" s="35"/>
      <c r="G170" s="36"/>
      <c r="H170" s="36"/>
      <c r="I170" s="36"/>
      <c r="J170" s="14"/>
    </row>
    <row r="171" spans="2:10" ht="15.75" customHeight="1">
      <c r="B171" s="32"/>
      <c r="C171" s="38"/>
      <c r="D171" s="34"/>
      <c r="E171" s="35"/>
      <c r="F171" s="35"/>
      <c r="G171" s="36"/>
      <c r="H171" s="36"/>
      <c r="I171" s="36"/>
      <c r="J171" s="14"/>
    </row>
    <row r="172" spans="2:10" ht="15.75" customHeight="1">
      <c r="B172" s="32"/>
      <c r="C172" s="38"/>
      <c r="D172" s="34"/>
      <c r="E172" s="35"/>
      <c r="F172" s="35"/>
      <c r="G172" s="36"/>
      <c r="H172" s="36"/>
      <c r="I172" s="36"/>
      <c r="J172" s="14"/>
    </row>
    <row r="173" spans="2:10" ht="15.75" customHeight="1">
      <c r="B173" s="32"/>
      <c r="C173" s="38"/>
      <c r="D173" s="34"/>
      <c r="E173" s="35"/>
      <c r="F173" s="35"/>
      <c r="G173" s="36"/>
      <c r="H173" s="36"/>
      <c r="I173" s="36"/>
      <c r="J173" s="14"/>
    </row>
    <row r="174" spans="2:10" ht="15.75" customHeight="1">
      <c r="B174" s="32"/>
      <c r="C174" s="38"/>
      <c r="D174" s="34"/>
      <c r="E174" s="35"/>
      <c r="F174" s="35"/>
      <c r="G174" s="36"/>
      <c r="H174" s="36"/>
      <c r="I174" s="36"/>
      <c r="J174" s="14"/>
    </row>
    <row r="175" spans="2:10" ht="15.75" customHeight="1">
      <c r="B175" s="32"/>
      <c r="C175" s="38"/>
      <c r="D175" s="34"/>
      <c r="E175" s="35"/>
      <c r="F175" s="35"/>
      <c r="G175" s="36"/>
      <c r="H175" s="36"/>
      <c r="I175" s="36"/>
      <c r="J175" s="14"/>
    </row>
    <row r="176" spans="2:10" ht="15.75" customHeight="1">
      <c r="B176" s="32"/>
      <c r="C176" s="38"/>
      <c r="D176" s="34"/>
      <c r="E176" s="35"/>
      <c r="F176" s="35"/>
      <c r="G176" s="36"/>
      <c r="H176" s="36"/>
      <c r="I176" s="36"/>
      <c r="J176" s="14"/>
    </row>
    <row r="177" spans="2:10" ht="15.75" customHeight="1">
      <c r="B177" s="32"/>
      <c r="C177" s="38"/>
      <c r="D177" s="34"/>
      <c r="E177" s="35"/>
      <c r="F177" s="35"/>
      <c r="G177" s="36"/>
      <c r="H177" s="36"/>
      <c r="I177" s="36"/>
      <c r="J177" s="14"/>
    </row>
    <row r="178" spans="2:10" ht="15.75" customHeight="1">
      <c r="B178" s="32"/>
      <c r="C178" s="38"/>
      <c r="D178" s="34"/>
      <c r="E178" s="35"/>
      <c r="F178" s="35"/>
      <c r="G178" s="36"/>
      <c r="H178" s="36"/>
      <c r="I178" s="36"/>
      <c r="J178" s="14"/>
    </row>
    <row r="179" spans="2:10" ht="15.75" customHeight="1">
      <c r="B179" s="32"/>
      <c r="C179" s="38"/>
      <c r="D179" s="34"/>
      <c r="E179" s="35"/>
      <c r="F179" s="35"/>
      <c r="G179" s="36"/>
      <c r="H179" s="36"/>
      <c r="I179" s="36"/>
      <c r="J179" s="14"/>
    </row>
    <row r="180" spans="2:10" ht="15.75" customHeight="1">
      <c r="B180" s="32"/>
      <c r="C180" s="38"/>
      <c r="D180" s="34"/>
      <c r="E180" s="35"/>
      <c r="F180" s="35"/>
      <c r="G180" s="36"/>
      <c r="H180" s="36"/>
      <c r="I180" s="36"/>
      <c r="J180" s="14"/>
    </row>
    <row r="181" spans="2:10" ht="15.75" customHeight="1">
      <c r="B181" s="32"/>
      <c r="C181" s="38"/>
      <c r="D181" s="34"/>
      <c r="E181" s="35"/>
      <c r="F181" s="35"/>
      <c r="G181" s="36"/>
      <c r="H181" s="36"/>
      <c r="I181" s="36"/>
      <c r="J181" s="14"/>
    </row>
    <row r="182" spans="2:10" ht="15.75" customHeight="1">
      <c r="B182" s="32"/>
      <c r="C182" s="38"/>
      <c r="D182" s="34"/>
      <c r="E182" s="35"/>
      <c r="F182" s="35"/>
      <c r="G182" s="36"/>
      <c r="H182" s="36"/>
      <c r="I182" s="36"/>
      <c r="J182" s="14"/>
    </row>
    <row r="183" spans="2:10" ht="15.75" customHeight="1">
      <c r="B183" s="32"/>
      <c r="C183" s="38"/>
      <c r="D183" s="34"/>
      <c r="E183" s="35"/>
      <c r="F183" s="35"/>
      <c r="G183" s="36"/>
      <c r="H183" s="36"/>
      <c r="I183" s="36"/>
      <c r="J183" s="14"/>
    </row>
    <row r="184" spans="2:10" ht="15.75" customHeight="1">
      <c r="B184" s="32"/>
      <c r="C184" s="38"/>
      <c r="D184" s="34"/>
      <c r="E184" s="35"/>
      <c r="F184" s="35"/>
      <c r="G184" s="36"/>
      <c r="H184" s="36"/>
      <c r="I184" s="36"/>
      <c r="J184" s="14"/>
    </row>
    <row r="185" spans="2:10" ht="15.75" customHeight="1">
      <c r="B185" s="32"/>
      <c r="C185" s="38"/>
      <c r="D185" s="34"/>
      <c r="E185" s="35"/>
      <c r="F185" s="35"/>
      <c r="G185" s="36"/>
      <c r="H185" s="36"/>
      <c r="I185" s="36"/>
      <c r="J185" s="14"/>
    </row>
    <row r="186" spans="2:10" ht="15.75" customHeight="1">
      <c r="B186" s="32"/>
      <c r="C186" s="38"/>
      <c r="D186" s="34"/>
      <c r="E186" s="35"/>
      <c r="F186" s="35"/>
      <c r="G186" s="36"/>
      <c r="H186" s="36"/>
      <c r="I186" s="36"/>
      <c r="J186" s="14"/>
    </row>
    <row r="187" spans="2:10" ht="15.75" customHeight="1">
      <c r="B187" s="32"/>
      <c r="C187" s="38"/>
      <c r="D187" s="34"/>
      <c r="E187" s="35"/>
      <c r="F187" s="35"/>
      <c r="G187" s="36"/>
      <c r="H187" s="36"/>
      <c r="I187" s="36"/>
      <c r="J187" s="14"/>
    </row>
    <row r="188" spans="2:10" ht="15.75" customHeight="1">
      <c r="B188" s="32"/>
      <c r="C188" s="38"/>
      <c r="D188" s="34"/>
      <c r="E188" s="35"/>
      <c r="F188" s="35"/>
      <c r="G188" s="36"/>
      <c r="H188" s="36"/>
      <c r="I188" s="36"/>
      <c r="J188" s="14"/>
    </row>
    <row r="189" spans="2:10" ht="15.75" customHeight="1">
      <c r="B189" s="32"/>
      <c r="C189" s="38"/>
      <c r="D189" s="34"/>
      <c r="E189" s="35"/>
      <c r="F189" s="35"/>
      <c r="G189" s="36"/>
      <c r="H189" s="36"/>
      <c r="I189" s="36"/>
      <c r="J189" s="14"/>
    </row>
    <row r="190" spans="2:10" ht="15.75" customHeight="1">
      <c r="B190" s="32"/>
      <c r="C190" s="38"/>
      <c r="D190" s="34"/>
      <c r="E190" s="35"/>
      <c r="F190" s="35"/>
      <c r="G190" s="36"/>
      <c r="H190" s="36"/>
      <c r="I190" s="36"/>
      <c r="J190" s="14"/>
    </row>
    <row r="191" spans="2:10" ht="15.75" customHeight="1">
      <c r="B191" s="32"/>
      <c r="C191" s="38"/>
      <c r="D191" s="34"/>
      <c r="E191" s="35"/>
      <c r="F191" s="35"/>
      <c r="G191" s="36"/>
      <c r="H191" s="36"/>
      <c r="I191" s="36"/>
      <c r="J191" s="14"/>
    </row>
    <row r="192" spans="2:10" ht="15.75" customHeight="1">
      <c r="B192" s="32"/>
      <c r="C192" s="38"/>
      <c r="D192" s="34"/>
      <c r="E192" s="35"/>
      <c r="F192" s="35"/>
      <c r="G192" s="36"/>
      <c r="H192" s="36"/>
      <c r="I192" s="36"/>
      <c r="J192" s="14"/>
    </row>
    <row r="193" spans="2:10" ht="15.75" customHeight="1">
      <c r="B193" s="32"/>
      <c r="C193" s="38"/>
      <c r="D193" s="34"/>
      <c r="E193" s="35"/>
      <c r="F193" s="35"/>
      <c r="G193" s="36"/>
      <c r="H193" s="36"/>
      <c r="I193" s="36"/>
      <c r="J193" s="14"/>
    </row>
    <row r="194" spans="2:10" ht="15.75" customHeight="1">
      <c r="B194" s="32"/>
      <c r="C194" s="38"/>
      <c r="D194" s="34"/>
      <c r="E194" s="35"/>
      <c r="F194" s="35"/>
      <c r="G194" s="36"/>
      <c r="H194" s="36"/>
      <c r="I194" s="36"/>
      <c r="J194" s="14"/>
    </row>
    <row r="195" spans="2:10" ht="15.75" customHeight="1">
      <c r="B195" s="32"/>
      <c r="C195" s="38"/>
      <c r="D195" s="34"/>
      <c r="E195" s="35"/>
      <c r="F195" s="35"/>
      <c r="G195" s="36"/>
      <c r="H195" s="36"/>
      <c r="I195" s="36"/>
      <c r="J195" s="14"/>
    </row>
    <row r="196" spans="2:10" ht="15.75" customHeight="1">
      <c r="B196" s="32"/>
      <c r="C196" s="38"/>
      <c r="D196" s="34"/>
      <c r="E196" s="35"/>
      <c r="F196" s="35"/>
      <c r="G196" s="36"/>
      <c r="H196" s="36"/>
      <c r="I196" s="36"/>
      <c r="J196" s="14"/>
    </row>
    <row r="197" spans="2:10" ht="15.75" customHeight="1">
      <c r="B197" s="32"/>
      <c r="C197" s="38"/>
      <c r="D197" s="34"/>
      <c r="E197" s="35"/>
      <c r="F197" s="35"/>
      <c r="G197" s="36"/>
      <c r="H197" s="36"/>
      <c r="I197" s="36"/>
      <c r="J197" s="14"/>
    </row>
    <row r="198" spans="2:10" ht="15.75" customHeight="1">
      <c r="B198" s="32"/>
      <c r="C198" s="38"/>
      <c r="D198" s="34"/>
      <c r="E198" s="35"/>
      <c r="F198" s="35"/>
      <c r="G198" s="36"/>
      <c r="H198" s="36"/>
      <c r="I198" s="36"/>
      <c r="J198" s="14"/>
    </row>
    <row r="199" spans="2:10" ht="15.75" customHeight="1">
      <c r="B199" s="32"/>
      <c r="C199" s="38"/>
      <c r="D199" s="34"/>
      <c r="E199" s="35"/>
      <c r="F199" s="35"/>
      <c r="G199" s="36"/>
      <c r="H199" s="36"/>
      <c r="I199" s="36"/>
      <c r="J199" s="14"/>
    </row>
    <row r="200" spans="2:10" ht="15.75" customHeight="1">
      <c r="B200" s="32"/>
      <c r="C200" s="38"/>
      <c r="D200" s="34"/>
      <c r="E200" s="35"/>
      <c r="F200" s="35"/>
      <c r="G200" s="36"/>
      <c r="H200" s="36"/>
      <c r="I200" s="36"/>
      <c r="J200" s="14"/>
    </row>
    <row r="201" spans="2:10" ht="15.75" customHeight="1">
      <c r="B201" s="32"/>
      <c r="C201" s="38"/>
      <c r="D201" s="34"/>
      <c r="E201" s="35"/>
      <c r="F201" s="35"/>
      <c r="G201" s="36"/>
      <c r="H201" s="36"/>
      <c r="I201" s="36"/>
      <c r="J201" s="14"/>
    </row>
    <row r="202" spans="2:10" ht="15.75" customHeight="1">
      <c r="B202" s="32"/>
      <c r="C202" s="38"/>
      <c r="D202" s="34"/>
      <c r="E202" s="35"/>
      <c r="F202" s="35"/>
      <c r="G202" s="36"/>
      <c r="H202" s="36"/>
      <c r="I202" s="36"/>
      <c r="J202" s="14"/>
    </row>
    <row r="203" spans="2:10" ht="15.75" customHeight="1">
      <c r="B203" s="32"/>
      <c r="C203" s="38"/>
      <c r="D203" s="34"/>
      <c r="E203" s="35"/>
      <c r="F203" s="35"/>
      <c r="G203" s="36"/>
      <c r="H203" s="36"/>
      <c r="I203" s="36"/>
      <c r="J203" s="14"/>
    </row>
    <row r="204" spans="2:10" ht="15.75" customHeight="1">
      <c r="B204" s="32"/>
      <c r="C204" s="38"/>
      <c r="D204" s="34"/>
      <c r="E204" s="35"/>
      <c r="F204" s="35"/>
      <c r="G204" s="36"/>
      <c r="H204" s="36"/>
      <c r="I204" s="36"/>
      <c r="J204" s="14"/>
    </row>
    <row r="205" spans="2:10" ht="15.75" customHeight="1">
      <c r="B205" s="32"/>
      <c r="C205" s="38"/>
      <c r="D205" s="34"/>
      <c r="E205" s="35"/>
      <c r="F205" s="35"/>
      <c r="G205" s="36"/>
      <c r="H205" s="36"/>
      <c r="I205" s="36"/>
      <c r="J205" s="14"/>
    </row>
    <row r="206" spans="2:10" ht="15.75" customHeight="1">
      <c r="B206" s="32"/>
      <c r="C206" s="38"/>
      <c r="D206" s="34"/>
      <c r="E206" s="35"/>
      <c r="F206" s="35"/>
      <c r="G206" s="36"/>
      <c r="H206" s="36"/>
      <c r="I206" s="36"/>
      <c r="J206" s="14"/>
    </row>
    <row r="207" spans="2:10" ht="15.75" customHeight="1">
      <c r="B207" s="32"/>
      <c r="C207" s="38"/>
      <c r="D207" s="34"/>
      <c r="E207" s="35"/>
      <c r="F207" s="35"/>
      <c r="G207" s="36"/>
      <c r="H207" s="36"/>
      <c r="I207" s="36"/>
      <c r="J207" s="14"/>
    </row>
    <row r="208" spans="2:10" ht="15.75" customHeight="1">
      <c r="B208" s="32"/>
      <c r="C208" s="38"/>
      <c r="D208" s="34"/>
      <c r="E208" s="35"/>
      <c r="F208" s="35"/>
      <c r="G208" s="36"/>
      <c r="H208" s="36"/>
      <c r="I208" s="36"/>
      <c r="J208" s="14"/>
    </row>
    <row r="209" spans="2:10" ht="15.75" customHeight="1">
      <c r="B209" s="32"/>
      <c r="C209" s="38"/>
      <c r="D209" s="34"/>
      <c r="E209" s="35"/>
      <c r="F209" s="35"/>
      <c r="G209" s="36"/>
      <c r="H209" s="36"/>
      <c r="I209" s="36"/>
      <c r="J209" s="14"/>
    </row>
    <row r="210" spans="2:10" ht="15.75" customHeight="1">
      <c r="B210" s="32"/>
      <c r="C210" s="38"/>
      <c r="D210" s="34"/>
      <c r="E210" s="35"/>
      <c r="F210" s="35"/>
      <c r="G210" s="36"/>
      <c r="H210" s="36"/>
      <c r="I210" s="36"/>
      <c r="J210" s="14"/>
    </row>
    <row r="211" spans="2:10" ht="15.75" customHeight="1">
      <c r="B211" s="32"/>
      <c r="C211" s="38"/>
      <c r="D211" s="34"/>
      <c r="E211" s="35"/>
      <c r="F211" s="35"/>
      <c r="G211" s="36"/>
      <c r="H211" s="36"/>
      <c r="I211" s="36"/>
      <c r="J211" s="14"/>
    </row>
    <row r="212" spans="2:10" ht="15.75" customHeight="1">
      <c r="B212" s="32"/>
      <c r="C212" s="38"/>
      <c r="D212" s="34"/>
      <c r="E212" s="35"/>
      <c r="F212" s="35"/>
      <c r="G212" s="36"/>
      <c r="H212" s="36"/>
      <c r="I212" s="36"/>
      <c r="J212" s="14"/>
    </row>
    <row r="213" spans="2:10" ht="15.75" customHeight="1">
      <c r="B213" s="32"/>
      <c r="C213" s="38"/>
      <c r="D213" s="34"/>
      <c r="E213" s="35"/>
      <c r="F213" s="35"/>
      <c r="G213" s="36"/>
      <c r="H213" s="36"/>
      <c r="I213" s="36"/>
      <c r="J213" s="14"/>
    </row>
    <row r="214" spans="2:10" ht="15.75" customHeight="1">
      <c r="B214" s="32"/>
      <c r="C214" s="38"/>
      <c r="D214" s="34"/>
      <c r="E214" s="35"/>
      <c r="F214" s="35"/>
      <c r="G214" s="36"/>
      <c r="H214" s="36"/>
      <c r="I214" s="36"/>
      <c r="J214" s="14"/>
    </row>
    <row r="215" spans="2:10" ht="15.75" customHeight="1">
      <c r="B215" s="32"/>
      <c r="C215" s="38"/>
      <c r="D215" s="34"/>
      <c r="E215" s="35"/>
      <c r="F215" s="35"/>
      <c r="G215" s="36"/>
      <c r="H215" s="36"/>
      <c r="I215" s="36"/>
      <c r="J215" s="14"/>
    </row>
    <row r="216" spans="2:10" ht="15.75" customHeight="1">
      <c r="B216" s="32"/>
      <c r="C216" s="38"/>
      <c r="D216" s="34"/>
      <c r="E216" s="35"/>
      <c r="F216" s="35"/>
      <c r="G216" s="36"/>
      <c r="H216" s="36"/>
      <c r="I216" s="36"/>
      <c r="J216" s="14"/>
    </row>
    <row r="217" spans="2:10" ht="15.75" customHeight="1">
      <c r="B217" s="32"/>
      <c r="C217" s="38"/>
      <c r="D217" s="34"/>
      <c r="E217" s="35"/>
      <c r="F217" s="35"/>
      <c r="G217" s="36"/>
      <c r="H217" s="36"/>
      <c r="I217" s="36"/>
      <c r="J217" s="14"/>
    </row>
    <row r="218" spans="2:10" ht="15.75" customHeight="1">
      <c r="B218" s="32"/>
      <c r="C218" s="38"/>
      <c r="D218" s="34"/>
      <c r="E218" s="35"/>
      <c r="F218" s="35"/>
      <c r="G218" s="36"/>
      <c r="H218" s="36"/>
      <c r="I218" s="36"/>
      <c r="J218" s="14"/>
    </row>
    <row r="219" spans="2:10" ht="15.75" customHeight="1">
      <c r="B219" s="32"/>
      <c r="C219" s="38"/>
      <c r="D219" s="34"/>
      <c r="E219" s="35"/>
      <c r="F219" s="35"/>
      <c r="G219" s="36"/>
      <c r="H219" s="36"/>
      <c r="I219" s="36"/>
      <c r="J219" s="14"/>
    </row>
    <row r="220" spans="2:10" ht="15.75" customHeight="1">
      <c r="B220" s="32"/>
      <c r="C220" s="38"/>
      <c r="D220" s="34"/>
      <c r="E220" s="35"/>
      <c r="F220" s="35"/>
      <c r="G220" s="36"/>
      <c r="H220" s="36"/>
      <c r="I220" s="36"/>
      <c r="J220" s="14"/>
    </row>
    <row r="221" spans="2:10" ht="15.75" customHeight="1">
      <c r="B221" s="32"/>
      <c r="C221" s="38"/>
      <c r="D221" s="34"/>
      <c r="E221" s="35"/>
      <c r="F221" s="35"/>
      <c r="G221" s="36"/>
      <c r="H221" s="36"/>
      <c r="I221" s="36"/>
      <c r="J221" s="14"/>
    </row>
    <row r="222" spans="2:10" ht="15.75" customHeight="1">
      <c r="B222" s="32"/>
      <c r="C222" s="38"/>
      <c r="D222" s="34"/>
      <c r="E222" s="35"/>
      <c r="F222" s="35"/>
      <c r="G222" s="36"/>
      <c r="H222" s="36"/>
      <c r="I222" s="36"/>
      <c r="J222" s="14"/>
    </row>
    <row r="223" spans="2:10" ht="15.75" customHeight="1">
      <c r="B223" s="32"/>
      <c r="C223" s="38"/>
      <c r="D223" s="34"/>
      <c r="E223" s="35"/>
      <c r="F223" s="35"/>
      <c r="G223" s="36"/>
      <c r="H223" s="36"/>
      <c r="I223" s="36"/>
      <c r="J223" s="14"/>
    </row>
    <row r="224" spans="2:10" ht="15.75" customHeight="1">
      <c r="B224" s="32"/>
      <c r="C224" s="38"/>
      <c r="D224" s="34"/>
      <c r="E224" s="35"/>
      <c r="F224" s="35"/>
      <c r="G224" s="36"/>
      <c r="H224" s="36"/>
      <c r="I224" s="36"/>
      <c r="J224" s="14"/>
    </row>
    <row r="225" spans="2:10" ht="15.75" customHeight="1">
      <c r="B225" s="32"/>
      <c r="C225" s="38"/>
      <c r="D225" s="34"/>
      <c r="E225" s="35"/>
      <c r="F225" s="35"/>
      <c r="G225" s="36"/>
      <c r="H225" s="36"/>
      <c r="I225" s="36"/>
      <c r="J225" s="14"/>
    </row>
    <row r="226" spans="2:10" ht="15.75" customHeight="1">
      <c r="B226" s="32"/>
      <c r="C226" s="38"/>
      <c r="D226" s="34"/>
      <c r="E226" s="35"/>
      <c r="F226" s="35"/>
      <c r="G226" s="36"/>
      <c r="H226" s="36"/>
      <c r="I226" s="36"/>
      <c r="J226" s="14"/>
    </row>
    <row r="227" spans="2:10" ht="15.75" customHeight="1">
      <c r="B227" s="32"/>
      <c r="C227" s="38"/>
      <c r="D227" s="34"/>
      <c r="E227" s="35"/>
      <c r="F227" s="35"/>
      <c r="G227" s="36"/>
      <c r="H227" s="36"/>
      <c r="I227" s="36"/>
      <c r="J227" s="14"/>
    </row>
    <row r="228" spans="2:10" ht="15.75" customHeight="1">
      <c r="B228" s="32"/>
      <c r="C228" s="38"/>
      <c r="D228" s="34"/>
      <c r="E228" s="35"/>
      <c r="F228" s="35"/>
      <c r="G228" s="36"/>
      <c r="H228" s="36"/>
      <c r="I228" s="36"/>
      <c r="J228" s="14"/>
    </row>
    <row r="229" spans="2:10" ht="15.75" customHeight="1">
      <c r="B229" s="32"/>
      <c r="C229" s="38"/>
      <c r="D229" s="34"/>
      <c r="E229" s="35"/>
      <c r="F229" s="35"/>
      <c r="G229" s="36"/>
      <c r="H229" s="36"/>
      <c r="I229" s="36"/>
      <c r="J229" s="14"/>
    </row>
    <row r="230" spans="2:10" ht="15.75" customHeight="1">
      <c r="B230" s="32"/>
      <c r="C230" s="38"/>
      <c r="D230" s="34"/>
      <c r="E230" s="35"/>
      <c r="F230" s="35"/>
      <c r="G230" s="36"/>
      <c r="H230" s="36"/>
      <c r="I230" s="36"/>
      <c r="J230" s="14"/>
    </row>
    <row r="231" spans="2:10" ht="15.75" customHeight="1">
      <c r="B231" s="32"/>
      <c r="C231" s="38"/>
      <c r="D231" s="34"/>
      <c r="E231" s="35"/>
      <c r="F231" s="35"/>
      <c r="G231" s="36"/>
      <c r="H231" s="36"/>
      <c r="I231" s="36"/>
      <c r="J231" s="14"/>
    </row>
    <row r="232" spans="2:10" ht="15.75" customHeight="1">
      <c r="B232" s="32"/>
      <c r="C232" s="38"/>
      <c r="D232" s="34"/>
      <c r="E232" s="35"/>
      <c r="F232" s="35"/>
      <c r="G232" s="36"/>
      <c r="H232" s="36"/>
      <c r="I232" s="36"/>
      <c r="J232" s="14"/>
    </row>
    <row r="233" spans="2:10" ht="15.75" customHeight="1">
      <c r="B233" s="32"/>
      <c r="C233" s="38"/>
      <c r="D233" s="34"/>
      <c r="E233" s="35"/>
      <c r="F233" s="35"/>
      <c r="G233" s="36"/>
      <c r="H233" s="36"/>
      <c r="I233" s="36"/>
      <c r="J233" s="14"/>
    </row>
    <row r="234" spans="2:10" ht="15.75" customHeight="1">
      <c r="B234" s="32"/>
      <c r="C234" s="38"/>
      <c r="D234" s="34"/>
      <c r="E234" s="35"/>
      <c r="F234" s="35"/>
      <c r="G234" s="36"/>
      <c r="H234" s="36"/>
      <c r="I234" s="36"/>
      <c r="J234" s="14"/>
    </row>
    <row r="235" spans="2:10" ht="15.75" customHeight="1">
      <c r="B235" s="32"/>
      <c r="C235" s="38"/>
      <c r="D235" s="34"/>
      <c r="E235" s="35"/>
      <c r="F235" s="35"/>
      <c r="G235" s="36"/>
      <c r="H235" s="36"/>
      <c r="I235" s="36"/>
      <c r="J235" s="14"/>
    </row>
    <row r="236" spans="2:10" ht="15.75" customHeight="1">
      <c r="B236" s="32"/>
      <c r="C236" s="38"/>
      <c r="D236" s="34"/>
      <c r="E236" s="35"/>
      <c r="F236" s="35"/>
      <c r="G236" s="36"/>
      <c r="H236" s="36"/>
      <c r="I236" s="36"/>
      <c r="J236" s="14"/>
    </row>
    <row r="237" spans="2:10" ht="15.75" customHeight="1">
      <c r="B237" s="32"/>
      <c r="C237" s="38"/>
      <c r="D237" s="34"/>
      <c r="E237" s="35"/>
      <c r="F237" s="35"/>
      <c r="G237" s="36"/>
      <c r="H237" s="36"/>
      <c r="I237" s="36"/>
      <c r="J237" s="14"/>
    </row>
    <row r="238" spans="2:10" ht="15.75" customHeight="1">
      <c r="B238" s="32"/>
      <c r="C238" s="38"/>
      <c r="D238" s="34"/>
      <c r="E238" s="35"/>
      <c r="F238" s="35"/>
      <c r="G238" s="36"/>
      <c r="H238" s="36"/>
      <c r="I238" s="36"/>
      <c r="J238" s="14"/>
    </row>
    <row r="239" spans="2:10" ht="15.75" customHeight="1">
      <c r="B239" s="32"/>
      <c r="C239" s="38"/>
      <c r="D239" s="34"/>
      <c r="E239" s="35"/>
      <c r="F239" s="35"/>
      <c r="G239" s="36"/>
      <c r="H239" s="36"/>
      <c r="I239" s="36"/>
      <c r="J239" s="14"/>
    </row>
    <row r="240" spans="2:10" ht="15.75" customHeight="1">
      <c r="B240" s="32"/>
      <c r="C240" s="38"/>
      <c r="D240" s="34"/>
      <c r="E240" s="35"/>
      <c r="F240" s="35"/>
      <c r="G240" s="36"/>
      <c r="H240" s="36"/>
      <c r="I240" s="36"/>
      <c r="J240" s="14"/>
    </row>
    <row r="241" spans="2:10" ht="15.75" customHeight="1">
      <c r="B241" s="32"/>
      <c r="C241" s="38"/>
      <c r="D241" s="34"/>
      <c r="E241" s="35"/>
      <c r="F241" s="35"/>
      <c r="G241" s="36"/>
      <c r="H241" s="36"/>
      <c r="I241" s="36"/>
      <c r="J241" s="14"/>
    </row>
    <row r="242" spans="2:10" ht="15.75" customHeight="1">
      <c r="B242" s="32"/>
      <c r="C242" s="38"/>
      <c r="D242" s="34"/>
      <c r="E242" s="35"/>
      <c r="F242" s="35"/>
      <c r="G242" s="36"/>
      <c r="H242" s="36"/>
      <c r="I242" s="36"/>
      <c r="J242" s="14"/>
    </row>
    <row r="243" spans="2:10" ht="15.75" customHeight="1">
      <c r="B243" s="32"/>
      <c r="C243" s="38"/>
      <c r="D243" s="34"/>
      <c r="E243" s="35"/>
      <c r="F243" s="35"/>
      <c r="G243" s="36"/>
      <c r="H243" s="36"/>
      <c r="I243" s="36"/>
      <c r="J243" s="14"/>
    </row>
    <row r="244" spans="2:10" ht="15.75" customHeight="1">
      <c r="B244" s="32"/>
      <c r="C244" s="38"/>
      <c r="D244" s="34"/>
      <c r="E244" s="35"/>
      <c r="F244" s="35"/>
      <c r="G244" s="36"/>
      <c r="H244" s="36"/>
      <c r="I244" s="36"/>
      <c r="J244" s="14"/>
    </row>
    <row r="245" spans="2:10" ht="15.75" customHeight="1">
      <c r="B245" s="32"/>
      <c r="C245" s="38"/>
      <c r="D245" s="34"/>
      <c r="E245" s="35"/>
      <c r="F245" s="35"/>
      <c r="G245" s="36"/>
      <c r="H245" s="36"/>
      <c r="I245" s="36"/>
      <c r="J245" s="14"/>
    </row>
    <row r="246" spans="2:10" ht="15.75" customHeight="1">
      <c r="B246" s="32"/>
      <c r="C246" s="38"/>
      <c r="D246" s="34"/>
      <c r="E246" s="35"/>
      <c r="F246" s="35"/>
      <c r="G246" s="36"/>
      <c r="H246" s="36"/>
      <c r="I246" s="36"/>
      <c r="J246" s="14"/>
    </row>
    <row r="247" spans="2:10" ht="15.75" customHeight="1">
      <c r="B247" s="32"/>
      <c r="C247" s="38"/>
      <c r="D247" s="34"/>
      <c r="E247" s="35"/>
      <c r="F247" s="35"/>
      <c r="G247" s="36"/>
      <c r="H247" s="36"/>
      <c r="I247" s="36"/>
      <c r="J247" s="14"/>
    </row>
    <row r="248" spans="2:10" ht="15.75" customHeight="1">
      <c r="B248" s="32"/>
      <c r="C248" s="38"/>
      <c r="D248" s="34"/>
      <c r="E248" s="35"/>
      <c r="F248" s="35"/>
      <c r="G248" s="36"/>
      <c r="H248" s="36"/>
      <c r="I248" s="36"/>
      <c r="J248" s="14"/>
    </row>
    <row r="249" spans="2:10" ht="15.75" customHeight="1">
      <c r="B249" s="32"/>
      <c r="C249" s="38"/>
      <c r="D249" s="34"/>
      <c r="E249" s="35"/>
      <c r="F249" s="35"/>
      <c r="G249" s="36"/>
      <c r="H249" s="36"/>
      <c r="I249" s="36"/>
      <c r="J249" s="14"/>
    </row>
    <row r="250" spans="2:10" ht="15.75" customHeight="1">
      <c r="B250" s="32"/>
      <c r="C250" s="38"/>
      <c r="D250" s="34"/>
      <c r="E250" s="35"/>
      <c r="F250" s="35"/>
      <c r="G250" s="36"/>
      <c r="H250" s="36"/>
      <c r="I250" s="36"/>
      <c r="J250" s="14"/>
    </row>
    <row r="251" spans="2:10" ht="15.75" customHeight="1">
      <c r="B251" s="32"/>
      <c r="C251" s="38"/>
      <c r="D251" s="34"/>
      <c r="E251" s="35"/>
      <c r="F251" s="35"/>
      <c r="G251" s="36"/>
      <c r="H251" s="36"/>
      <c r="I251" s="36"/>
      <c r="J251" s="14"/>
    </row>
    <row r="252" spans="2:10" ht="15.75" customHeight="1">
      <c r="B252" s="32"/>
      <c r="C252" s="38"/>
      <c r="D252" s="34"/>
      <c r="E252" s="35"/>
      <c r="F252" s="35"/>
      <c r="G252" s="36"/>
      <c r="H252" s="36"/>
      <c r="I252" s="36"/>
      <c r="J252" s="14"/>
    </row>
    <row r="253" spans="2:10" ht="15.75" customHeight="1">
      <c r="B253" s="32"/>
      <c r="C253" s="38"/>
      <c r="D253" s="34"/>
      <c r="E253" s="35"/>
      <c r="F253" s="35"/>
      <c r="G253" s="36"/>
      <c r="H253" s="36"/>
      <c r="I253" s="36"/>
      <c r="J253" s="14"/>
    </row>
    <row r="254" spans="2:10" ht="15.75" customHeight="1">
      <c r="B254" s="32"/>
      <c r="C254" s="38"/>
      <c r="D254" s="34"/>
      <c r="E254" s="35"/>
      <c r="F254" s="35"/>
      <c r="G254" s="36"/>
      <c r="H254" s="36"/>
      <c r="I254" s="36"/>
      <c r="J254" s="14"/>
    </row>
    <row r="255" spans="2:10" ht="15.75" customHeight="1">
      <c r="B255" s="32"/>
      <c r="C255" s="38"/>
      <c r="D255" s="34"/>
      <c r="E255" s="35"/>
      <c r="F255" s="35"/>
      <c r="G255" s="36"/>
      <c r="H255" s="36"/>
      <c r="I255" s="36"/>
      <c r="J255" s="14"/>
    </row>
    <row r="256" spans="2:10" ht="15.75" customHeight="1">
      <c r="B256" s="32"/>
      <c r="C256" s="38"/>
      <c r="D256" s="34"/>
      <c r="E256" s="35"/>
      <c r="F256" s="35"/>
      <c r="G256" s="36"/>
      <c r="H256" s="36"/>
      <c r="I256" s="36"/>
      <c r="J256" s="14"/>
    </row>
    <row r="257" spans="2:10" ht="15.75" customHeight="1">
      <c r="B257" s="32"/>
      <c r="C257" s="38"/>
      <c r="D257" s="34"/>
      <c r="E257" s="35"/>
      <c r="F257" s="35"/>
      <c r="G257" s="36"/>
      <c r="H257" s="36"/>
      <c r="I257" s="36"/>
      <c r="J257" s="14"/>
    </row>
    <row r="258" spans="2:10" ht="15.75" customHeight="1">
      <c r="B258" s="32"/>
      <c r="C258" s="38"/>
      <c r="D258" s="34"/>
      <c r="E258" s="35"/>
      <c r="F258" s="35"/>
      <c r="G258" s="36"/>
      <c r="H258" s="36"/>
      <c r="I258" s="36"/>
      <c r="J258" s="14"/>
    </row>
    <row r="259" spans="2:10" ht="15.75" customHeight="1">
      <c r="B259" s="32"/>
      <c r="C259" s="38"/>
      <c r="D259" s="34"/>
      <c r="E259" s="35"/>
      <c r="F259" s="35"/>
      <c r="G259" s="36"/>
      <c r="H259" s="36"/>
      <c r="I259" s="36"/>
      <c r="J259" s="14"/>
    </row>
    <row r="260" spans="2:10" ht="15.75" customHeight="1">
      <c r="B260" s="32"/>
      <c r="C260" s="38"/>
      <c r="D260" s="34"/>
      <c r="E260" s="35"/>
      <c r="F260" s="35"/>
      <c r="G260" s="36"/>
      <c r="H260" s="36"/>
      <c r="I260" s="36"/>
      <c r="J260" s="14"/>
    </row>
    <row r="261" spans="2:10" ht="15.75" customHeight="1">
      <c r="B261" s="32"/>
      <c r="C261" s="38"/>
      <c r="D261" s="34"/>
      <c r="E261" s="35"/>
      <c r="F261" s="35"/>
      <c r="G261" s="36"/>
      <c r="H261" s="36"/>
      <c r="I261" s="36"/>
      <c r="J261" s="14"/>
    </row>
    <row r="262" spans="2:10" ht="15.75" customHeight="1">
      <c r="B262" s="32"/>
      <c r="C262" s="38"/>
      <c r="D262" s="34"/>
      <c r="E262" s="35"/>
      <c r="F262" s="35"/>
      <c r="G262" s="36"/>
      <c r="H262" s="36"/>
      <c r="I262" s="36"/>
      <c r="J262" s="14"/>
    </row>
    <row r="263" spans="2:10" ht="15.75" customHeight="1">
      <c r="B263" s="32"/>
      <c r="C263" s="38"/>
      <c r="D263" s="34"/>
      <c r="E263" s="35"/>
      <c r="F263" s="35"/>
      <c r="G263" s="36"/>
      <c r="H263" s="36"/>
      <c r="I263" s="36"/>
      <c r="J263" s="14"/>
    </row>
    <row r="264" spans="2:10" ht="15.75" customHeight="1">
      <c r="B264" s="32"/>
      <c r="C264" s="38"/>
      <c r="D264" s="34"/>
      <c r="E264" s="35"/>
      <c r="F264" s="35"/>
      <c r="G264" s="36"/>
      <c r="H264" s="36"/>
      <c r="I264" s="36"/>
      <c r="J264" s="14"/>
    </row>
    <row r="265" spans="2:10" ht="15.75" customHeight="1">
      <c r="B265" s="32"/>
      <c r="C265" s="38"/>
      <c r="D265" s="34"/>
      <c r="E265" s="35"/>
      <c r="F265" s="35"/>
      <c r="G265" s="36"/>
      <c r="H265" s="36"/>
      <c r="I265" s="36"/>
      <c r="J265" s="14"/>
    </row>
    <row r="266" spans="2:10" ht="15.75" customHeight="1">
      <c r="B266" s="32"/>
      <c r="C266" s="38"/>
      <c r="D266" s="34"/>
      <c r="E266" s="35"/>
      <c r="F266" s="35"/>
      <c r="G266" s="36"/>
      <c r="H266" s="36"/>
      <c r="I266" s="36"/>
      <c r="J266" s="14"/>
    </row>
    <row r="267" spans="2:10" ht="15.75" customHeight="1">
      <c r="B267" s="32"/>
      <c r="C267" s="38"/>
      <c r="D267" s="34"/>
      <c r="E267" s="35"/>
      <c r="F267" s="35"/>
      <c r="G267" s="36"/>
      <c r="H267" s="36"/>
      <c r="I267" s="36"/>
      <c r="J267" s="14"/>
    </row>
    <row r="268" spans="2:10" ht="15.75" customHeight="1">
      <c r="B268" s="32"/>
      <c r="C268" s="38"/>
      <c r="D268" s="34"/>
      <c r="E268" s="35"/>
      <c r="F268" s="35"/>
      <c r="G268" s="36"/>
      <c r="H268" s="36"/>
      <c r="I268" s="36"/>
      <c r="J268" s="14"/>
    </row>
    <row r="269" spans="2:10" ht="15.75" customHeight="1">
      <c r="B269" s="32"/>
      <c r="C269" s="38"/>
      <c r="D269" s="34"/>
      <c r="E269" s="35"/>
      <c r="F269" s="35"/>
      <c r="G269" s="36"/>
      <c r="H269" s="36"/>
      <c r="I269" s="36"/>
      <c r="J269" s="14"/>
    </row>
    <row r="270" spans="2:10" ht="15.75" customHeight="1">
      <c r="B270" s="32"/>
      <c r="C270" s="38"/>
      <c r="D270" s="34"/>
      <c r="E270" s="35"/>
      <c r="F270" s="35"/>
      <c r="G270" s="36"/>
      <c r="H270" s="36"/>
      <c r="I270" s="36"/>
      <c r="J270" s="14"/>
    </row>
    <row r="271" spans="2:10" ht="15.75" customHeight="1">
      <c r="B271" s="32"/>
      <c r="C271" s="38"/>
      <c r="D271" s="34"/>
      <c r="E271" s="35"/>
      <c r="F271" s="35"/>
      <c r="G271" s="36"/>
      <c r="H271" s="36"/>
      <c r="I271" s="36"/>
      <c r="J271" s="14"/>
    </row>
    <row r="272" spans="2:10" ht="15.75" customHeight="1">
      <c r="B272" s="32"/>
      <c r="C272" s="38"/>
      <c r="D272" s="34"/>
      <c r="E272" s="35"/>
      <c r="F272" s="35"/>
      <c r="G272" s="36"/>
      <c r="H272" s="36"/>
      <c r="I272" s="36"/>
      <c r="J272" s="14"/>
    </row>
    <row r="273" spans="2:10" ht="15.75" customHeight="1">
      <c r="B273" s="32"/>
      <c r="C273" s="38"/>
      <c r="D273" s="34"/>
      <c r="E273" s="35"/>
      <c r="F273" s="35"/>
      <c r="G273" s="36"/>
      <c r="H273" s="36"/>
      <c r="I273" s="36"/>
      <c r="J273" s="14"/>
    </row>
    <row r="274" spans="2:10" ht="15.75" customHeight="1">
      <c r="B274" s="32"/>
      <c r="C274" s="38"/>
      <c r="D274" s="34"/>
      <c r="E274" s="35"/>
      <c r="F274" s="35"/>
      <c r="G274" s="36"/>
      <c r="H274" s="36"/>
      <c r="I274" s="36"/>
      <c r="J274" s="14"/>
    </row>
    <row r="275" spans="2:10" ht="15.75" customHeight="1">
      <c r="B275" s="32"/>
      <c r="C275" s="38"/>
      <c r="D275" s="34"/>
      <c r="E275" s="35"/>
      <c r="F275" s="35"/>
      <c r="G275" s="36"/>
      <c r="H275" s="36"/>
      <c r="I275" s="36"/>
      <c r="J275" s="14"/>
    </row>
    <row r="276" spans="2:10" ht="15.75" customHeight="1">
      <c r="B276" s="32"/>
      <c r="C276" s="38"/>
      <c r="D276" s="34"/>
      <c r="E276" s="35"/>
      <c r="F276" s="35"/>
      <c r="G276" s="36"/>
      <c r="H276" s="36"/>
      <c r="I276" s="36"/>
      <c r="J276" s="14"/>
    </row>
    <row r="277" spans="2:10" ht="15.75" customHeight="1">
      <c r="B277" s="32"/>
      <c r="C277" s="38"/>
      <c r="D277" s="34"/>
      <c r="E277" s="35"/>
      <c r="F277" s="35"/>
      <c r="G277" s="36"/>
      <c r="H277" s="36"/>
      <c r="I277" s="36"/>
      <c r="J277" s="14"/>
    </row>
    <row r="278" spans="2:10" ht="15.75" customHeight="1">
      <c r="B278" s="32"/>
      <c r="C278" s="38"/>
      <c r="D278" s="34"/>
      <c r="E278" s="35"/>
      <c r="F278" s="35"/>
      <c r="G278" s="36"/>
      <c r="H278" s="36"/>
      <c r="I278" s="36"/>
      <c r="J278" s="14"/>
    </row>
    <row r="279" spans="2:10" ht="15.75" customHeight="1">
      <c r="B279" s="32"/>
      <c r="C279" s="38"/>
      <c r="D279" s="34"/>
      <c r="E279" s="35"/>
      <c r="F279" s="35"/>
      <c r="G279" s="36"/>
      <c r="H279" s="36"/>
      <c r="I279" s="36"/>
      <c r="J279" s="14"/>
    </row>
    <row r="280" spans="2:10" ht="15.75" customHeight="1">
      <c r="B280" s="32"/>
      <c r="C280" s="38"/>
      <c r="D280" s="34"/>
      <c r="E280" s="35"/>
      <c r="F280" s="35"/>
      <c r="G280" s="36"/>
      <c r="H280" s="36"/>
      <c r="I280" s="36"/>
      <c r="J280" s="14"/>
    </row>
    <row r="281" spans="2:10" ht="15.75" customHeight="1">
      <c r="B281" s="32"/>
      <c r="C281" s="38"/>
      <c r="D281" s="34"/>
      <c r="E281" s="35"/>
      <c r="F281" s="35"/>
      <c r="G281" s="36"/>
      <c r="H281" s="36"/>
      <c r="I281" s="36"/>
      <c r="J281" s="14"/>
    </row>
    <row r="282" spans="2:10" ht="15.75" customHeight="1">
      <c r="B282" s="32"/>
      <c r="C282" s="38"/>
      <c r="D282" s="34"/>
      <c r="E282" s="35"/>
      <c r="F282" s="35"/>
      <c r="G282" s="36"/>
      <c r="H282" s="36"/>
      <c r="I282" s="36"/>
      <c r="J282" s="14"/>
    </row>
    <row r="283" spans="2:10" ht="15.75" customHeight="1">
      <c r="B283" s="32"/>
      <c r="C283" s="38"/>
      <c r="D283" s="34"/>
      <c r="E283" s="35"/>
      <c r="F283" s="35"/>
      <c r="G283" s="36"/>
      <c r="H283" s="36"/>
      <c r="I283" s="36"/>
      <c r="J283" s="14"/>
    </row>
    <row r="284" spans="2:10" ht="15.75" customHeight="1">
      <c r="B284" s="32"/>
      <c r="C284" s="38"/>
      <c r="D284" s="34"/>
      <c r="E284" s="35"/>
      <c r="F284" s="35"/>
      <c r="G284" s="36"/>
      <c r="H284" s="36"/>
      <c r="I284" s="36"/>
      <c r="J284" s="14"/>
    </row>
    <row r="285" spans="2:10" ht="15.75" customHeight="1">
      <c r="B285" s="32"/>
      <c r="C285" s="38"/>
      <c r="D285" s="34"/>
      <c r="E285" s="35"/>
      <c r="F285" s="35"/>
      <c r="G285" s="36"/>
      <c r="H285" s="36"/>
      <c r="I285" s="36"/>
      <c r="J285" s="14"/>
    </row>
    <row r="286" spans="2:10" ht="15.75" customHeight="1">
      <c r="B286" s="32"/>
      <c r="C286" s="38"/>
      <c r="D286" s="34"/>
      <c r="E286" s="35"/>
      <c r="F286" s="35"/>
      <c r="G286" s="36"/>
      <c r="H286" s="36"/>
      <c r="I286" s="36"/>
      <c r="J286" s="14"/>
    </row>
    <row r="287" spans="2:10" ht="15.75" customHeight="1">
      <c r="B287" s="32"/>
      <c r="C287" s="38"/>
      <c r="D287" s="34"/>
      <c r="E287" s="35"/>
      <c r="F287" s="35"/>
      <c r="G287" s="36"/>
      <c r="H287" s="36"/>
      <c r="I287" s="36"/>
      <c r="J287" s="14"/>
    </row>
    <row r="288" spans="2:10" ht="15.75" customHeight="1">
      <c r="B288" s="32"/>
      <c r="C288" s="38"/>
      <c r="D288" s="34"/>
      <c r="E288" s="35"/>
      <c r="F288" s="35"/>
      <c r="G288" s="36"/>
      <c r="H288" s="36"/>
      <c r="I288" s="36"/>
      <c r="J288" s="14"/>
    </row>
    <row r="289" spans="2:10" ht="15.75" customHeight="1">
      <c r="B289" s="32"/>
      <c r="C289" s="38"/>
      <c r="D289" s="34"/>
      <c r="E289" s="35"/>
      <c r="F289" s="35"/>
      <c r="G289" s="36"/>
      <c r="H289" s="36"/>
      <c r="I289" s="36"/>
      <c r="J289" s="14"/>
    </row>
    <row r="290" spans="2:10" ht="15.75" customHeight="1">
      <c r="B290" s="32"/>
      <c r="C290" s="38"/>
      <c r="D290" s="34"/>
      <c r="E290" s="35"/>
      <c r="F290" s="35"/>
      <c r="G290" s="36"/>
      <c r="H290" s="36"/>
      <c r="I290" s="36"/>
      <c r="J290" s="14"/>
    </row>
    <row r="291" spans="2:10" ht="15.75" customHeight="1">
      <c r="B291" s="32"/>
      <c r="C291" s="38"/>
      <c r="D291" s="34"/>
      <c r="E291" s="35"/>
      <c r="F291" s="35"/>
      <c r="G291" s="36"/>
      <c r="H291" s="36"/>
      <c r="I291" s="36"/>
      <c r="J291" s="14"/>
    </row>
    <row r="292" spans="2:10" ht="15.75" customHeight="1">
      <c r="B292" s="32"/>
      <c r="C292" s="38"/>
      <c r="D292" s="34"/>
      <c r="E292" s="35"/>
      <c r="F292" s="35"/>
      <c r="G292" s="36"/>
      <c r="H292" s="36"/>
      <c r="I292" s="36"/>
      <c r="J292" s="14"/>
    </row>
    <row r="293" spans="2:10" ht="15.75" customHeight="1">
      <c r="B293" s="32"/>
      <c r="C293" s="38"/>
      <c r="D293" s="34"/>
      <c r="E293" s="35"/>
      <c r="F293" s="35"/>
      <c r="G293" s="36"/>
      <c r="H293" s="36"/>
      <c r="I293" s="36"/>
      <c r="J293" s="14"/>
    </row>
    <row r="294" spans="2:10" ht="15.75" customHeight="1">
      <c r="B294" s="32"/>
      <c r="C294" s="38"/>
      <c r="D294" s="34"/>
      <c r="E294" s="35"/>
      <c r="F294" s="35"/>
      <c r="G294" s="36"/>
      <c r="H294" s="36"/>
      <c r="I294" s="36"/>
      <c r="J294" s="14"/>
    </row>
    <row r="295" spans="2:10" ht="15.75" customHeight="1">
      <c r="B295" s="32"/>
      <c r="C295" s="38"/>
      <c r="D295" s="34"/>
      <c r="E295" s="35"/>
      <c r="F295" s="35"/>
      <c r="G295" s="36"/>
      <c r="H295" s="36"/>
      <c r="I295" s="36"/>
      <c r="J295" s="14"/>
    </row>
    <row r="296" spans="2:10" ht="15.75" customHeight="1">
      <c r="B296" s="32"/>
      <c r="C296" s="38"/>
      <c r="D296" s="34"/>
      <c r="E296" s="35"/>
      <c r="F296" s="35"/>
      <c r="G296" s="36"/>
      <c r="H296" s="36"/>
      <c r="I296" s="36"/>
      <c r="J296" s="14"/>
    </row>
    <row r="297" spans="2:10" ht="15.75" customHeight="1">
      <c r="B297" s="32"/>
      <c r="C297" s="38"/>
      <c r="D297" s="34"/>
      <c r="E297" s="35"/>
      <c r="F297" s="35"/>
      <c r="G297" s="36"/>
      <c r="H297" s="36"/>
      <c r="I297" s="36"/>
      <c r="J297" s="14"/>
    </row>
    <row r="298" spans="2:10" ht="15.75" customHeight="1">
      <c r="B298" s="32"/>
      <c r="C298" s="38"/>
      <c r="D298" s="34"/>
      <c r="E298" s="35"/>
      <c r="F298" s="35"/>
      <c r="G298" s="36"/>
      <c r="H298" s="36"/>
      <c r="I298" s="36"/>
      <c r="J298" s="14"/>
    </row>
    <row r="299" spans="2:10" ht="15.75" customHeight="1">
      <c r="B299" s="32"/>
      <c r="C299" s="38"/>
      <c r="D299" s="34"/>
      <c r="E299" s="35"/>
      <c r="F299" s="35"/>
      <c r="G299" s="36"/>
      <c r="H299" s="36"/>
      <c r="I299" s="36"/>
      <c r="J299" s="14"/>
    </row>
    <row r="300" spans="2:10" ht="15.75" customHeight="1">
      <c r="B300" s="32"/>
      <c r="C300" s="38"/>
      <c r="D300" s="34"/>
      <c r="E300" s="35"/>
      <c r="F300" s="35"/>
      <c r="G300" s="36"/>
      <c r="H300" s="36"/>
      <c r="I300" s="36"/>
      <c r="J300" s="14"/>
    </row>
    <row r="301" spans="2:10" ht="15.75" customHeight="1">
      <c r="B301" s="32"/>
      <c r="C301" s="38"/>
      <c r="D301" s="34"/>
      <c r="E301" s="35"/>
      <c r="F301" s="35"/>
      <c r="G301" s="36"/>
      <c r="H301" s="36"/>
      <c r="I301" s="36"/>
      <c r="J301" s="14"/>
    </row>
    <row r="302" spans="2:10" ht="15.75" customHeight="1">
      <c r="B302" s="32"/>
      <c r="C302" s="38"/>
      <c r="D302" s="34"/>
      <c r="E302" s="35"/>
      <c r="F302" s="35"/>
      <c r="G302" s="36"/>
      <c r="H302" s="36"/>
      <c r="I302" s="36"/>
      <c r="J302" s="14"/>
    </row>
    <row r="303" spans="2:10" ht="15.75" customHeight="1">
      <c r="B303" s="32"/>
      <c r="C303" s="38"/>
      <c r="D303" s="34"/>
      <c r="E303" s="35"/>
      <c r="F303" s="35"/>
      <c r="G303" s="36"/>
      <c r="H303" s="36"/>
      <c r="I303" s="36"/>
      <c r="J303" s="14"/>
    </row>
    <row r="304" spans="2:10" ht="15.75" customHeight="1">
      <c r="B304" s="32"/>
      <c r="C304" s="38"/>
      <c r="D304" s="34"/>
      <c r="E304" s="35"/>
      <c r="F304" s="35"/>
      <c r="G304" s="36"/>
      <c r="H304" s="36"/>
      <c r="I304" s="36"/>
      <c r="J304" s="14"/>
    </row>
    <row r="305" spans="2:10" ht="15.75" customHeight="1">
      <c r="B305" s="32"/>
      <c r="C305" s="38"/>
      <c r="D305" s="34"/>
      <c r="E305" s="35"/>
      <c r="F305" s="35"/>
      <c r="G305" s="36"/>
      <c r="H305" s="36"/>
      <c r="I305" s="36"/>
      <c r="J305" s="14"/>
    </row>
    <row r="306" spans="2:10" ht="15.75" customHeight="1">
      <c r="B306" s="32"/>
      <c r="C306" s="38"/>
      <c r="D306" s="34"/>
      <c r="E306" s="35"/>
      <c r="F306" s="35"/>
      <c r="G306" s="36"/>
      <c r="H306" s="36"/>
      <c r="I306" s="36"/>
      <c r="J306" s="14"/>
    </row>
    <row r="307" spans="2:10" ht="15.75" customHeight="1">
      <c r="B307" s="32"/>
      <c r="C307" s="38"/>
      <c r="D307" s="34"/>
      <c r="E307" s="35"/>
      <c r="F307" s="35"/>
      <c r="G307" s="36"/>
      <c r="H307" s="36"/>
      <c r="I307" s="36"/>
      <c r="J307" s="14"/>
    </row>
    <row r="308" spans="2:10" ht="15.75" customHeight="1">
      <c r="B308" s="32"/>
      <c r="C308" s="38"/>
      <c r="D308" s="34"/>
      <c r="E308" s="35"/>
      <c r="F308" s="35"/>
      <c r="G308" s="36"/>
      <c r="H308" s="36"/>
      <c r="I308" s="36"/>
      <c r="J308" s="14"/>
    </row>
    <row r="309" spans="2:10" ht="15.75" customHeight="1">
      <c r="B309" s="32"/>
      <c r="C309" s="38"/>
      <c r="D309" s="34"/>
      <c r="E309" s="35"/>
      <c r="F309" s="35"/>
      <c r="G309" s="36"/>
      <c r="H309" s="36"/>
      <c r="I309" s="36"/>
      <c r="J309" s="14"/>
    </row>
    <row r="310" spans="2:10" ht="15.75" customHeight="1">
      <c r="B310" s="32"/>
      <c r="C310" s="38"/>
      <c r="D310" s="34"/>
      <c r="E310" s="35"/>
      <c r="F310" s="35"/>
      <c r="G310" s="36"/>
      <c r="H310" s="36"/>
      <c r="I310" s="36"/>
      <c r="J310" s="14"/>
    </row>
    <row r="311" spans="2:10" ht="15.75" customHeight="1">
      <c r="B311" s="32"/>
      <c r="C311" s="38"/>
      <c r="D311" s="34"/>
      <c r="E311" s="35"/>
      <c r="F311" s="35"/>
      <c r="G311" s="36"/>
      <c r="H311" s="36"/>
      <c r="I311" s="36"/>
      <c r="J311" s="14"/>
    </row>
    <row r="312" spans="2:10" ht="15.75" customHeight="1">
      <c r="B312" s="32"/>
      <c r="C312" s="38"/>
      <c r="D312" s="34"/>
      <c r="E312" s="35"/>
      <c r="F312" s="35"/>
      <c r="G312" s="36"/>
      <c r="H312" s="36"/>
      <c r="I312" s="36"/>
      <c r="J312" s="14"/>
    </row>
    <row r="313" spans="2:10" ht="15.75" customHeight="1">
      <c r="B313" s="32"/>
      <c r="C313" s="38"/>
      <c r="D313" s="34"/>
      <c r="E313" s="35"/>
      <c r="F313" s="35"/>
      <c r="G313" s="36"/>
      <c r="H313" s="36"/>
      <c r="I313" s="36"/>
      <c r="J313" s="14"/>
    </row>
    <row r="314" spans="2:10" ht="15.75" customHeight="1">
      <c r="B314" s="32"/>
      <c r="C314" s="38"/>
      <c r="D314" s="34"/>
      <c r="E314" s="35"/>
      <c r="F314" s="35"/>
      <c r="G314" s="36"/>
      <c r="H314" s="36"/>
      <c r="I314" s="36"/>
      <c r="J314" s="14"/>
    </row>
    <row r="315" spans="2:10" ht="15.75" customHeight="1">
      <c r="B315" s="32"/>
      <c r="C315" s="38"/>
      <c r="D315" s="34"/>
      <c r="E315" s="35"/>
      <c r="F315" s="35"/>
      <c r="G315" s="36"/>
      <c r="H315" s="36"/>
      <c r="I315" s="36"/>
      <c r="J315" s="14"/>
    </row>
    <row r="316" spans="2:10" ht="15.75" customHeight="1">
      <c r="B316" s="32"/>
      <c r="C316" s="38"/>
      <c r="D316" s="34"/>
      <c r="E316" s="35"/>
      <c r="F316" s="35"/>
      <c r="G316" s="36"/>
      <c r="H316" s="36"/>
      <c r="I316" s="36"/>
      <c r="J316" s="14"/>
    </row>
    <row r="317" spans="2:10" ht="15.75" customHeight="1">
      <c r="B317" s="32"/>
      <c r="C317" s="38"/>
      <c r="D317" s="34"/>
      <c r="E317" s="35"/>
      <c r="F317" s="35"/>
      <c r="G317" s="36"/>
      <c r="H317" s="36"/>
      <c r="I317" s="36"/>
      <c r="J317" s="14"/>
    </row>
    <row r="318" spans="2:10" ht="15.75" customHeight="1">
      <c r="B318" s="32"/>
      <c r="C318" s="38"/>
      <c r="D318" s="34"/>
      <c r="E318" s="35"/>
      <c r="F318" s="35"/>
      <c r="G318" s="36"/>
      <c r="H318" s="36"/>
      <c r="I318" s="36"/>
      <c r="J318" s="14"/>
    </row>
    <row r="319" spans="2:10" ht="15.75" customHeight="1">
      <c r="B319" s="32"/>
      <c r="C319" s="38"/>
      <c r="D319" s="34"/>
      <c r="E319" s="35"/>
      <c r="F319" s="35"/>
      <c r="G319" s="36"/>
      <c r="H319" s="36"/>
      <c r="I319" s="36"/>
      <c r="J319" s="14"/>
    </row>
    <row r="320" spans="2:10" ht="15.75" customHeight="1">
      <c r="B320" s="32"/>
      <c r="C320" s="38"/>
      <c r="D320" s="34"/>
      <c r="E320" s="35"/>
      <c r="F320" s="35"/>
      <c r="G320" s="36"/>
      <c r="H320" s="36"/>
      <c r="I320" s="36"/>
      <c r="J320" s="14"/>
    </row>
    <row r="321" spans="2:10" ht="15.75" customHeight="1">
      <c r="B321" s="32"/>
      <c r="C321" s="38"/>
      <c r="D321" s="34"/>
      <c r="E321" s="35"/>
      <c r="F321" s="35"/>
      <c r="G321" s="36"/>
      <c r="H321" s="36"/>
      <c r="I321" s="36"/>
      <c r="J321" s="14"/>
    </row>
    <row r="322" spans="2:10" ht="15.75" customHeight="1">
      <c r="B322" s="32"/>
      <c r="C322" s="38"/>
      <c r="D322" s="34"/>
      <c r="E322" s="35"/>
      <c r="F322" s="35"/>
      <c r="G322" s="36"/>
      <c r="H322" s="36"/>
      <c r="I322" s="36"/>
      <c r="J322" s="14"/>
    </row>
    <row r="323" spans="2:10" ht="15.75" customHeight="1">
      <c r="B323" s="32"/>
      <c r="C323" s="38"/>
      <c r="D323" s="34"/>
      <c r="E323" s="35"/>
      <c r="F323" s="35"/>
      <c r="G323" s="36"/>
      <c r="H323" s="36"/>
      <c r="I323" s="36"/>
      <c r="J323" s="14"/>
    </row>
    <row r="324" spans="2:10" ht="15.75" customHeight="1">
      <c r="B324" s="32"/>
      <c r="C324" s="38"/>
      <c r="D324" s="34"/>
      <c r="E324" s="35"/>
      <c r="F324" s="35"/>
      <c r="G324" s="36"/>
      <c r="H324" s="36"/>
      <c r="I324" s="36"/>
      <c r="J324" s="14"/>
    </row>
    <row r="325" spans="2:10" ht="15.75" customHeight="1">
      <c r="B325" s="32"/>
      <c r="C325" s="38"/>
      <c r="D325" s="34"/>
      <c r="E325" s="35"/>
      <c r="F325" s="35"/>
      <c r="G325" s="36"/>
      <c r="H325" s="36"/>
      <c r="I325" s="36"/>
      <c r="J325" s="14"/>
    </row>
    <row r="326" spans="2:10" ht="15.75" customHeight="1">
      <c r="B326" s="32"/>
      <c r="C326" s="38"/>
      <c r="D326" s="34"/>
      <c r="E326" s="35"/>
      <c r="F326" s="35"/>
      <c r="G326" s="36"/>
      <c r="H326" s="36"/>
      <c r="I326" s="36"/>
      <c r="J326" s="14"/>
    </row>
    <row r="327" spans="2:10" ht="15.75" customHeight="1">
      <c r="B327" s="32"/>
      <c r="C327" s="38"/>
      <c r="D327" s="34"/>
      <c r="E327" s="35"/>
      <c r="F327" s="35"/>
      <c r="G327" s="36"/>
      <c r="H327" s="36"/>
      <c r="I327" s="36"/>
      <c r="J327" s="14"/>
    </row>
    <row r="328" spans="2:10" ht="15.75" customHeight="1">
      <c r="B328" s="32"/>
      <c r="C328" s="38"/>
      <c r="D328" s="34"/>
      <c r="E328" s="35"/>
      <c r="F328" s="35"/>
      <c r="G328" s="36"/>
      <c r="H328" s="36"/>
      <c r="I328" s="36"/>
      <c r="J328" s="14"/>
    </row>
    <row r="329" spans="2:10" ht="15.75" customHeight="1">
      <c r="B329" s="32"/>
      <c r="C329" s="38"/>
      <c r="D329" s="34"/>
      <c r="E329" s="35"/>
      <c r="F329" s="35"/>
      <c r="G329" s="36"/>
      <c r="H329" s="36"/>
      <c r="I329" s="36"/>
      <c r="J329" s="14"/>
    </row>
    <row r="330" spans="2:10" ht="15.75" customHeight="1">
      <c r="B330" s="32"/>
      <c r="C330" s="38"/>
      <c r="D330" s="34"/>
      <c r="E330" s="35"/>
      <c r="F330" s="35"/>
      <c r="G330" s="36"/>
      <c r="H330" s="36"/>
      <c r="I330" s="36"/>
      <c r="J330" s="14"/>
    </row>
    <row r="331" spans="2:10" ht="15.75" customHeight="1">
      <c r="B331" s="32"/>
      <c r="C331" s="38"/>
      <c r="D331" s="34"/>
      <c r="E331" s="35"/>
      <c r="F331" s="35"/>
      <c r="G331" s="36"/>
      <c r="H331" s="36"/>
      <c r="I331" s="36"/>
      <c r="J331" s="14"/>
    </row>
    <row r="332" spans="2:10" ht="15.75" customHeight="1">
      <c r="B332" s="32"/>
      <c r="C332" s="38"/>
      <c r="D332" s="34"/>
      <c r="E332" s="35"/>
      <c r="F332" s="35"/>
      <c r="G332" s="36"/>
      <c r="H332" s="36"/>
      <c r="I332" s="36"/>
      <c r="J332" s="14"/>
    </row>
    <row r="333" spans="2:10" ht="15.75" customHeight="1">
      <c r="B333" s="32"/>
      <c r="C333" s="38"/>
      <c r="D333" s="34"/>
      <c r="E333" s="35"/>
      <c r="F333" s="35"/>
      <c r="G333" s="36"/>
      <c r="H333" s="36"/>
      <c r="I333" s="36"/>
      <c r="J333" s="14"/>
    </row>
    <row r="334" spans="2:10" ht="15.75" customHeight="1">
      <c r="B334" s="32"/>
      <c r="C334" s="38"/>
      <c r="D334" s="34"/>
      <c r="E334" s="35"/>
      <c r="F334" s="35"/>
      <c r="G334" s="36"/>
      <c r="H334" s="36"/>
      <c r="I334" s="36"/>
      <c r="J334" s="14"/>
    </row>
    <row r="335" spans="2:10" ht="15.75" customHeight="1">
      <c r="B335" s="32"/>
      <c r="C335" s="38"/>
      <c r="D335" s="34"/>
      <c r="E335" s="35"/>
      <c r="F335" s="35"/>
      <c r="G335" s="36"/>
      <c r="H335" s="36"/>
      <c r="I335" s="36"/>
      <c r="J335" s="14"/>
    </row>
    <row r="336" spans="2:10" ht="15.75" customHeight="1">
      <c r="B336" s="32"/>
      <c r="C336" s="38"/>
      <c r="D336" s="34"/>
      <c r="E336" s="35"/>
      <c r="F336" s="35"/>
      <c r="G336" s="36"/>
      <c r="H336" s="36"/>
      <c r="I336" s="36"/>
      <c r="J336" s="14"/>
    </row>
    <row r="337" spans="2:10" ht="15.75" customHeight="1">
      <c r="B337" s="32"/>
      <c r="C337" s="38"/>
      <c r="D337" s="34"/>
      <c r="E337" s="35"/>
      <c r="F337" s="35"/>
      <c r="G337" s="36"/>
      <c r="H337" s="36"/>
      <c r="I337" s="36"/>
      <c r="J337" s="14"/>
    </row>
    <row r="338" spans="2:10" ht="15.75" customHeight="1">
      <c r="B338" s="32"/>
      <c r="C338" s="38"/>
      <c r="D338" s="34"/>
      <c r="E338" s="35"/>
      <c r="F338" s="35"/>
      <c r="G338" s="36"/>
      <c r="H338" s="36"/>
      <c r="I338" s="36"/>
      <c r="J338" s="14"/>
    </row>
    <row r="339" spans="2:10" ht="15.75" customHeight="1">
      <c r="B339" s="32"/>
      <c r="C339" s="38"/>
      <c r="D339" s="34"/>
      <c r="E339" s="35"/>
      <c r="F339" s="35"/>
      <c r="G339" s="36"/>
      <c r="H339" s="36"/>
      <c r="I339" s="36"/>
      <c r="J339" s="14"/>
    </row>
    <row r="340" spans="2:10" ht="15.75" customHeight="1">
      <c r="B340" s="32"/>
      <c r="C340" s="38"/>
      <c r="D340" s="34"/>
      <c r="E340" s="35"/>
      <c r="F340" s="35"/>
      <c r="G340" s="36"/>
      <c r="H340" s="36"/>
      <c r="I340" s="36"/>
      <c r="J340" s="14"/>
    </row>
    <row r="341" spans="2:10" ht="15.75" customHeight="1">
      <c r="B341" s="32"/>
      <c r="C341" s="38"/>
      <c r="D341" s="34"/>
      <c r="E341" s="35"/>
      <c r="F341" s="35"/>
      <c r="G341" s="36"/>
      <c r="H341" s="36"/>
      <c r="I341" s="36"/>
      <c r="J341" s="14"/>
    </row>
    <row r="342" spans="2:10" ht="15.75" customHeight="1">
      <c r="B342" s="32"/>
      <c r="C342" s="38"/>
      <c r="D342" s="34"/>
      <c r="E342" s="35"/>
      <c r="F342" s="35"/>
      <c r="G342" s="36"/>
      <c r="H342" s="36"/>
      <c r="I342" s="36"/>
      <c r="J342" s="14"/>
    </row>
    <row r="343" spans="2:10" ht="15.75" customHeight="1">
      <c r="B343" s="32"/>
      <c r="C343" s="38"/>
      <c r="D343" s="34"/>
      <c r="E343" s="35"/>
      <c r="F343" s="35"/>
      <c r="G343" s="36"/>
      <c r="H343" s="36"/>
      <c r="I343" s="36"/>
      <c r="J343" s="14"/>
    </row>
    <row r="344" spans="2:10" ht="15.75" customHeight="1">
      <c r="B344" s="32"/>
      <c r="C344" s="38"/>
      <c r="D344" s="34"/>
      <c r="E344" s="35"/>
      <c r="F344" s="35"/>
      <c r="G344" s="36"/>
      <c r="H344" s="36"/>
      <c r="I344" s="36"/>
      <c r="J344" s="14"/>
    </row>
    <row r="345" spans="2:10" ht="15.75" customHeight="1">
      <c r="B345" s="32"/>
      <c r="C345" s="38"/>
      <c r="D345" s="34"/>
      <c r="E345" s="35"/>
      <c r="F345" s="35"/>
      <c r="G345" s="36"/>
      <c r="H345" s="36"/>
      <c r="I345" s="36"/>
      <c r="J345" s="14"/>
    </row>
    <row r="346" spans="2:10" ht="15.75" customHeight="1">
      <c r="B346" s="32"/>
      <c r="C346" s="38"/>
      <c r="D346" s="34"/>
      <c r="E346" s="35"/>
      <c r="F346" s="35"/>
      <c r="G346" s="36"/>
      <c r="H346" s="36"/>
      <c r="I346" s="36"/>
      <c r="J346" s="14"/>
    </row>
    <row r="347" spans="2:10" ht="15.75" customHeight="1">
      <c r="B347" s="32"/>
      <c r="C347" s="38"/>
      <c r="D347" s="34"/>
      <c r="E347" s="35"/>
      <c r="F347" s="35"/>
      <c r="G347" s="36"/>
      <c r="H347" s="36"/>
      <c r="I347" s="36"/>
      <c r="J347" s="14"/>
    </row>
    <row r="348" spans="2:10" ht="15.75" customHeight="1">
      <c r="B348" s="32"/>
      <c r="C348" s="38"/>
      <c r="D348" s="34"/>
      <c r="E348" s="35"/>
      <c r="F348" s="35"/>
      <c r="G348" s="36"/>
      <c r="H348" s="36"/>
      <c r="I348" s="36"/>
      <c r="J348" s="14"/>
    </row>
    <row r="349" spans="2:10" ht="15.75" customHeight="1">
      <c r="B349" s="32"/>
      <c r="C349" s="38"/>
      <c r="D349" s="34"/>
      <c r="E349" s="35"/>
      <c r="F349" s="35"/>
      <c r="G349" s="36"/>
      <c r="H349" s="36"/>
      <c r="I349" s="36"/>
      <c r="J349" s="14"/>
    </row>
    <row r="350" spans="2:10" ht="15.75" customHeight="1">
      <c r="B350" s="32"/>
      <c r="C350" s="38"/>
      <c r="D350" s="34"/>
      <c r="E350" s="35"/>
      <c r="F350" s="35"/>
      <c r="G350" s="36"/>
      <c r="H350" s="36"/>
      <c r="I350" s="36"/>
      <c r="J350" s="14"/>
    </row>
    <row r="351" spans="2:10" ht="15.75" customHeight="1">
      <c r="B351" s="32"/>
      <c r="C351" s="38"/>
      <c r="D351" s="34"/>
      <c r="E351" s="35"/>
      <c r="F351" s="35"/>
      <c r="G351" s="36"/>
      <c r="H351" s="36"/>
      <c r="I351" s="36"/>
      <c r="J351" s="14"/>
    </row>
    <row r="352" spans="2:10" ht="15.75" customHeight="1">
      <c r="B352" s="32"/>
      <c r="C352" s="38"/>
      <c r="D352" s="34"/>
      <c r="E352" s="35"/>
      <c r="F352" s="35"/>
      <c r="G352" s="36"/>
      <c r="H352" s="36"/>
      <c r="I352" s="36"/>
      <c r="J352" s="14"/>
    </row>
    <row r="353" spans="2:10" ht="15.75" customHeight="1">
      <c r="B353" s="32"/>
      <c r="C353" s="38"/>
      <c r="D353" s="34"/>
      <c r="E353" s="35"/>
      <c r="F353" s="35"/>
      <c r="G353" s="36"/>
      <c r="H353" s="36"/>
      <c r="I353" s="36"/>
      <c r="J353" s="14"/>
    </row>
    <row r="354" spans="2:10" ht="15.75" customHeight="1">
      <c r="B354" s="32"/>
      <c r="C354" s="38"/>
      <c r="D354" s="34"/>
      <c r="E354" s="35"/>
      <c r="F354" s="35"/>
      <c r="G354" s="36"/>
      <c r="H354" s="36"/>
      <c r="I354" s="36"/>
      <c r="J354" s="14"/>
    </row>
    <row r="355" spans="2:10" ht="15.75" customHeight="1">
      <c r="B355" s="32"/>
      <c r="C355" s="38"/>
      <c r="D355" s="34"/>
      <c r="E355" s="35"/>
      <c r="F355" s="35"/>
      <c r="G355" s="36"/>
      <c r="H355" s="36"/>
      <c r="I355" s="36"/>
      <c r="J355" s="14"/>
    </row>
    <row r="356" spans="2:10" ht="15.75" customHeight="1">
      <c r="B356" s="32"/>
      <c r="C356" s="38"/>
      <c r="D356" s="34"/>
      <c r="E356" s="35"/>
      <c r="F356" s="35"/>
      <c r="G356" s="36"/>
      <c r="H356" s="36"/>
      <c r="I356" s="36"/>
      <c r="J356" s="14"/>
    </row>
    <row r="357" spans="2:10" ht="15.75" customHeight="1">
      <c r="B357" s="32"/>
      <c r="C357" s="38"/>
      <c r="D357" s="34"/>
      <c r="E357" s="35"/>
      <c r="F357" s="35"/>
      <c r="G357" s="36"/>
      <c r="H357" s="36"/>
      <c r="I357" s="36"/>
      <c r="J357" s="14"/>
    </row>
    <row r="358" spans="2:10" ht="15.75" customHeight="1">
      <c r="B358" s="32"/>
      <c r="C358" s="38"/>
      <c r="D358" s="34"/>
      <c r="E358" s="35"/>
      <c r="F358" s="35"/>
      <c r="G358" s="36"/>
      <c r="H358" s="36"/>
      <c r="I358" s="36"/>
      <c r="J358" s="14"/>
    </row>
    <row r="359" spans="2:10" ht="15.75" customHeight="1">
      <c r="B359" s="32"/>
      <c r="C359" s="38"/>
      <c r="D359" s="34"/>
      <c r="E359" s="35"/>
      <c r="F359" s="35"/>
      <c r="G359" s="36"/>
      <c r="H359" s="36"/>
      <c r="I359" s="36"/>
      <c r="J359" s="14"/>
    </row>
    <row r="360" spans="2:10" ht="15.75" customHeight="1">
      <c r="B360" s="32"/>
      <c r="C360" s="38"/>
      <c r="D360" s="34"/>
      <c r="E360" s="35"/>
      <c r="F360" s="35"/>
      <c r="G360" s="36"/>
      <c r="H360" s="36"/>
      <c r="I360" s="36"/>
      <c r="J360" s="14"/>
    </row>
    <row r="361" spans="2:10" ht="15.75" customHeight="1">
      <c r="B361" s="32"/>
      <c r="C361" s="38"/>
      <c r="D361" s="34"/>
      <c r="E361" s="35"/>
      <c r="F361" s="35"/>
      <c r="G361" s="36"/>
      <c r="H361" s="36"/>
      <c r="I361" s="36"/>
      <c r="J361" s="14"/>
    </row>
    <row r="362" spans="2:10" ht="15.75" customHeight="1">
      <c r="B362" s="32"/>
      <c r="C362" s="38"/>
      <c r="D362" s="34"/>
      <c r="E362" s="35"/>
      <c r="F362" s="35"/>
      <c r="G362" s="36"/>
      <c r="H362" s="36"/>
      <c r="I362" s="36"/>
      <c r="J362" s="14"/>
    </row>
    <row r="363" spans="2:10" ht="15.75" customHeight="1">
      <c r="B363" s="32"/>
      <c r="C363" s="38"/>
      <c r="D363" s="34"/>
      <c r="E363" s="35"/>
      <c r="F363" s="35"/>
      <c r="G363" s="36"/>
      <c r="H363" s="36"/>
      <c r="I363" s="36"/>
      <c r="J363" s="14"/>
    </row>
    <row r="364" spans="2:10" ht="15.75" customHeight="1">
      <c r="B364" s="32"/>
      <c r="C364" s="38"/>
      <c r="D364" s="34"/>
      <c r="E364" s="35"/>
      <c r="F364" s="35"/>
      <c r="G364" s="36"/>
      <c r="H364" s="36"/>
      <c r="I364" s="36"/>
      <c r="J364" s="14"/>
    </row>
    <row r="365" spans="2:10" ht="15.75" customHeight="1">
      <c r="B365" s="32"/>
      <c r="C365" s="38"/>
      <c r="D365" s="34"/>
      <c r="E365" s="35"/>
      <c r="F365" s="35"/>
      <c r="G365" s="36"/>
      <c r="H365" s="36"/>
      <c r="I365" s="36"/>
      <c r="J365" s="14"/>
    </row>
    <row r="366" spans="2:10" ht="15.75" customHeight="1">
      <c r="B366" s="32"/>
      <c r="C366" s="38"/>
      <c r="D366" s="34"/>
      <c r="E366" s="35"/>
      <c r="F366" s="35"/>
      <c r="G366" s="36"/>
      <c r="H366" s="36"/>
      <c r="I366" s="36"/>
      <c r="J366" s="14"/>
    </row>
    <row r="367" spans="2:10" ht="15.75" customHeight="1">
      <c r="B367" s="32"/>
      <c r="C367" s="38"/>
      <c r="D367" s="34"/>
      <c r="E367" s="35"/>
      <c r="F367" s="35"/>
      <c r="G367" s="36"/>
      <c r="H367" s="36"/>
      <c r="I367" s="36"/>
      <c r="J367" s="14"/>
    </row>
    <row r="368" spans="2:10" ht="15.75" customHeight="1">
      <c r="B368" s="32"/>
      <c r="C368" s="38"/>
      <c r="D368" s="34"/>
      <c r="E368" s="35"/>
      <c r="F368" s="35"/>
      <c r="G368" s="36"/>
      <c r="H368" s="36"/>
      <c r="I368" s="36"/>
      <c r="J368" s="14"/>
    </row>
    <row r="369" spans="2:10" ht="15.75" customHeight="1">
      <c r="B369" s="32"/>
      <c r="C369" s="38"/>
      <c r="D369" s="34"/>
      <c r="E369" s="35"/>
      <c r="F369" s="35"/>
      <c r="G369" s="36"/>
      <c r="H369" s="36"/>
      <c r="I369" s="36"/>
      <c r="J369" s="14"/>
    </row>
    <row r="370" spans="2:10" ht="15.75" customHeight="1">
      <c r="B370" s="32"/>
      <c r="C370" s="38"/>
      <c r="D370" s="34"/>
      <c r="E370" s="35"/>
      <c r="F370" s="35"/>
      <c r="G370" s="36"/>
      <c r="H370" s="36"/>
      <c r="I370" s="36"/>
      <c r="J370" s="14"/>
    </row>
    <row r="371" spans="2:10" ht="15.75" customHeight="1">
      <c r="B371" s="32"/>
      <c r="C371" s="38"/>
      <c r="D371" s="34"/>
      <c r="E371" s="35"/>
      <c r="F371" s="35"/>
      <c r="G371" s="36"/>
      <c r="H371" s="36"/>
      <c r="I371" s="36"/>
      <c r="J371" s="14"/>
    </row>
    <row r="372" spans="2:10" ht="15.75" customHeight="1">
      <c r="B372" s="32"/>
      <c r="C372" s="38"/>
      <c r="D372" s="34"/>
      <c r="E372" s="35"/>
      <c r="F372" s="35"/>
      <c r="G372" s="36"/>
      <c r="H372" s="36"/>
      <c r="I372" s="36"/>
      <c r="J372" s="14"/>
    </row>
    <row r="373" spans="2:10" ht="15.75" customHeight="1">
      <c r="B373" s="32"/>
      <c r="C373" s="38"/>
      <c r="D373" s="34"/>
      <c r="E373" s="35"/>
      <c r="F373" s="35"/>
      <c r="G373" s="36"/>
      <c r="H373" s="36"/>
      <c r="I373" s="36"/>
      <c r="J373" s="14"/>
    </row>
    <row r="374" spans="2:10" ht="15.75" customHeight="1">
      <c r="B374" s="32"/>
      <c r="C374" s="38"/>
      <c r="D374" s="34"/>
      <c r="E374" s="35"/>
      <c r="F374" s="35"/>
      <c r="G374" s="36"/>
      <c r="H374" s="36"/>
      <c r="I374" s="36"/>
      <c r="J374" s="14"/>
    </row>
    <row r="375" spans="2:10" ht="15.75" customHeight="1">
      <c r="B375" s="32"/>
      <c r="C375" s="38"/>
      <c r="D375" s="34"/>
      <c r="E375" s="35"/>
      <c r="F375" s="35"/>
      <c r="G375" s="36"/>
      <c r="H375" s="36"/>
      <c r="I375" s="36"/>
      <c r="J375" s="14"/>
    </row>
    <row r="376" spans="2:10" ht="15.75" customHeight="1">
      <c r="B376" s="32"/>
      <c r="C376" s="38"/>
      <c r="D376" s="34"/>
      <c r="E376" s="35"/>
      <c r="F376" s="35"/>
      <c r="G376" s="36"/>
      <c r="H376" s="36"/>
      <c r="I376" s="36"/>
      <c r="J376" s="14"/>
    </row>
    <row r="377" spans="2:10" ht="15.75" customHeight="1">
      <c r="B377" s="32"/>
      <c r="C377" s="38"/>
      <c r="D377" s="34"/>
      <c r="E377" s="35"/>
      <c r="F377" s="35"/>
      <c r="G377" s="36"/>
      <c r="H377" s="36"/>
      <c r="I377" s="36"/>
      <c r="J377" s="14"/>
    </row>
    <row r="378" spans="2:10" ht="15.75" customHeight="1">
      <c r="B378" s="32"/>
      <c r="C378" s="38"/>
      <c r="D378" s="34"/>
      <c r="E378" s="35"/>
      <c r="F378" s="35"/>
      <c r="G378" s="36"/>
      <c r="H378" s="36"/>
      <c r="I378" s="36"/>
      <c r="J378" s="14"/>
    </row>
    <row r="379" spans="2:10" ht="15.75" customHeight="1">
      <c r="B379" s="32"/>
      <c r="C379" s="38"/>
      <c r="D379" s="34"/>
      <c r="E379" s="35"/>
      <c r="F379" s="35"/>
      <c r="G379" s="36"/>
      <c r="H379" s="36"/>
      <c r="I379" s="36"/>
      <c r="J379" s="14"/>
    </row>
    <row r="380" spans="2:10" ht="15.75" customHeight="1">
      <c r="B380" s="32"/>
      <c r="C380" s="38"/>
      <c r="D380" s="34"/>
      <c r="E380" s="35"/>
      <c r="F380" s="35"/>
      <c r="G380" s="36"/>
      <c r="H380" s="36"/>
      <c r="I380" s="36"/>
      <c r="J380" s="14"/>
    </row>
    <row r="381" spans="2:10" ht="15.75" customHeight="1">
      <c r="B381" s="32"/>
      <c r="C381" s="38"/>
      <c r="D381" s="34"/>
      <c r="E381" s="35"/>
      <c r="F381" s="35"/>
      <c r="G381" s="36"/>
      <c r="H381" s="36"/>
      <c r="I381" s="36"/>
      <c r="J381" s="14"/>
    </row>
    <row r="382" spans="2:10" ht="15.75" customHeight="1">
      <c r="B382" s="32"/>
      <c r="C382" s="38"/>
      <c r="D382" s="34"/>
      <c r="E382" s="35"/>
      <c r="F382" s="35"/>
      <c r="G382" s="36"/>
      <c r="H382" s="36"/>
      <c r="I382" s="36"/>
      <c r="J382" s="14"/>
    </row>
    <row r="383" spans="2:10" ht="15.75" customHeight="1">
      <c r="B383" s="32"/>
      <c r="C383" s="38"/>
      <c r="D383" s="34"/>
      <c r="E383" s="35"/>
      <c r="F383" s="35"/>
      <c r="G383" s="36"/>
      <c r="H383" s="36"/>
      <c r="I383" s="36"/>
      <c r="J383" s="14"/>
    </row>
    <row r="384" spans="2:10" ht="15.75" customHeight="1">
      <c r="B384" s="32"/>
      <c r="C384" s="38"/>
      <c r="D384" s="34"/>
      <c r="E384" s="35"/>
      <c r="F384" s="35"/>
      <c r="G384" s="36"/>
      <c r="H384" s="36"/>
      <c r="I384" s="36"/>
      <c r="J384" s="14"/>
    </row>
    <row r="385" spans="2:10" ht="15.75" customHeight="1">
      <c r="B385" s="32"/>
      <c r="C385" s="38"/>
      <c r="D385" s="34"/>
      <c r="E385" s="35"/>
      <c r="F385" s="35"/>
      <c r="G385" s="36"/>
      <c r="H385" s="36"/>
      <c r="I385" s="36"/>
      <c r="J385" s="14"/>
    </row>
    <row r="386" spans="2:10" ht="15.75" customHeight="1">
      <c r="B386" s="32"/>
      <c r="C386" s="38"/>
      <c r="D386" s="34"/>
      <c r="E386" s="35"/>
      <c r="F386" s="35"/>
      <c r="G386" s="36"/>
      <c r="H386" s="36"/>
      <c r="I386" s="36"/>
      <c r="J386" s="14"/>
    </row>
    <row r="387" spans="2:10" ht="15.75" customHeight="1">
      <c r="B387" s="32"/>
      <c r="C387" s="38"/>
      <c r="D387" s="34"/>
      <c r="E387" s="35"/>
      <c r="F387" s="35"/>
      <c r="G387" s="36"/>
      <c r="H387" s="36"/>
      <c r="I387" s="36"/>
      <c r="J387" s="14"/>
    </row>
    <row r="388" spans="2:10" ht="15.75" customHeight="1">
      <c r="B388" s="32"/>
      <c r="C388" s="38"/>
      <c r="D388" s="34"/>
      <c r="E388" s="35"/>
      <c r="F388" s="35"/>
      <c r="G388" s="36"/>
      <c r="H388" s="36"/>
      <c r="I388" s="36"/>
      <c r="J388" s="14"/>
    </row>
    <row r="389" spans="2:10" ht="15.75" customHeight="1">
      <c r="B389" s="32"/>
      <c r="C389" s="38"/>
      <c r="D389" s="34"/>
      <c r="E389" s="35"/>
      <c r="F389" s="35"/>
      <c r="G389" s="36"/>
      <c r="H389" s="36"/>
      <c r="I389" s="36"/>
      <c r="J389" s="14"/>
    </row>
    <row r="390" spans="2:10" ht="15.75" customHeight="1">
      <c r="B390" s="32"/>
      <c r="C390" s="38"/>
      <c r="D390" s="34"/>
      <c r="E390" s="35"/>
      <c r="F390" s="35"/>
      <c r="G390" s="36"/>
      <c r="H390" s="36"/>
      <c r="I390" s="36"/>
      <c r="J390" s="14"/>
    </row>
    <row r="391" spans="2:10" ht="15.75" customHeight="1">
      <c r="B391" s="32"/>
      <c r="C391" s="38"/>
      <c r="D391" s="34"/>
      <c r="E391" s="35"/>
      <c r="F391" s="35"/>
      <c r="G391" s="36"/>
      <c r="H391" s="36"/>
      <c r="I391" s="36"/>
      <c r="J391" s="14"/>
    </row>
    <row r="392" spans="2:10" ht="15.75" customHeight="1">
      <c r="B392" s="32"/>
      <c r="C392" s="38"/>
      <c r="D392" s="34"/>
      <c r="E392" s="35"/>
      <c r="F392" s="35"/>
      <c r="G392" s="36"/>
      <c r="H392" s="36"/>
      <c r="I392" s="36"/>
      <c r="J392" s="14"/>
    </row>
    <row r="393" spans="2:10" ht="15.75" customHeight="1">
      <c r="B393" s="32"/>
      <c r="C393" s="38"/>
      <c r="D393" s="34"/>
      <c r="E393" s="35"/>
      <c r="F393" s="35"/>
      <c r="G393" s="36"/>
      <c r="H393" s="36"/>
      <c r="I393" s="36"/>
      <c r="J393" s="14"/>
    </row>
    <row r="394" spans="2:10" ht="15.75" customHeight="1">
      <c r="B394" s="32"/>
      <c r="C394" s="38"/>
      <c r="D394" s="34"/>
      <c r="E394" s="35"/>
      <c r="F394" s="35"/>
      <c r="G394" s="36"/>
      <c r="H394" s="36"/>
      <c r="I394" s="36"/>
      <c r="J394" s="14"/>
    </row>
    <row r="395" spans="2:10" ht="15.75" customHeight="1">
      <c r="B395" s="32"/>
      <c r="C395" s="38"/>
      <c r="D395" s="34"/>
      <c r="E395" s="35"/>
      <c r="F395" s="35"/>
      <c r="G395" s="36"/>
      <c r="H395" s="36"/>
      <c r="I395" s="36"/>
      <c r="J395" s="14"/>
    </row>
    <row r="396" spans="2:10" ht="15.75" customHeight="1">
      <c r="B396" s="32"/>
      <c r="C396" s="38"/>
      <c r="D396" s="34"/>
      <c r="E396" s="35"/>
      <c r="F396" s="35"/>
      <c r="G396" s="36"/>
      <c r="H396" s="36"/>
      <c r="I396" s="36"/>
      <c r="J396" s="14"/>
    </row>
    <row r="397" spans="2:10" ht="15.75" customHeight="1">
      <c r="B397" s="32"/>
      <c r="C397" s="38"/>
      <c r="D397" s="34"/>
      <c r="E397" s="35"/>
      <c r="F397" s="35"/>
      <c r="G397" s="36"/>
      <c r="H397" s="36"/>
      <c r="I397" s="36"/>
      <c r="J397" s="14"/>
    </row>
    <row r="398" spans="2:10" ht="15.75" customHeight="1">
      <c r="B398" s="32"/>
      <c r="C398" s="38"/>
      <c r="D398" s="34"/>
      <c r="E398" s="35"/>
      <c r="F398" s="35"/>
      <c r="G398" s="36"/>
      <c r="H398" s="36"/>
      <c r="I398" s="36"/>
      <c r="J398" s="14"/>
    </row>
    <row r="399" spans="2:10" ht="15.75" customHeight="1">
      <c r="B399" s="32"/>
      <c r="C399" s="38"/>
      <c r="D399" s="34"/>
      <c r="E399" s="35"/>
      <c r="F399" s="35"/>
      <c r="G399" s="36"/>
      <c r="H399" s="36"/>
      <c r="I399" s="36"/>
      <c r="J399" s="14"/>
    </row>
    <row r="400" spans="2:10" ht="15.75" customHeight="1">
      <c r="B400" s="32"/>
      <c r="C400" s="38"/>
      <c r="D400" s="34"/>
      <c r="E400" s="35"/>
      <c r="F400" s="35"/>
      <c r="G400" s="36"/>
      <c r="H400" s="36"/>
      <c r="I400" s="36"/>
      <c r="J400" s="14"/>
    </row>
    <row r="401" spans="2:10" ht="15.75" customHeight="1">
      <c r="B401" s="32"/>
      <c r="C401" s="38"/>
      <c r="D401" s="34"/>
      <c r="E401" s="35"/>
      <c r="F401" s="35"/>
      <c r="G401" s="36"/>
      <c r="H401" s="36"/>
      <c r="I401" s="36"/>
      <c r="J401" s="14"/>
    </row>
    <row r="402" spans="2:10" ht="15.75" customHeight="1">
      <c r="B402" s="32"/>
      <c r="C402" s="38"/>
      <c r="D402" s="34"/>
      <c r="E402" s="35"/>
      <c r="F402" s="35"/>
      <c r="G402" s="36"/>
      <c r="H402" s="36"/>
      <c r="I402" s="36"/>
      <c r="J402" s="14"/>
    </row>
    <row r="403" spans="2:10" ht="15.75" customHeight="1">
      <c r="B403" s="32"/>
      <c r="C403" s="38"/>
      <c r="D403" s="34"/>
      <c r="E403" s="35"/>
      <c r="F403" s="35"/>
      <c r="G403" s="36"/>
      <c r="H403" s="36"/>
      <c r="I403" s="36"/>
      <c r="J403" s="14"/>
    </row>
    <row r="404" spans="2:10" ht="15.75" customHeight="1">
      <c r="B404" s="32"/>
      <c r="C404" s="38"/>
      <c r="D404" s="34"/>
      <c r="E404" s="35"/>
      <c r="F404" s="35"/>
      <c r="G404" s="36"/>
      <c r="H404" s="36"/>
      <c r="I404" s="36"/>
      <c r="J404" s="14"/>
    </row>
    <row r="405" spans="2:10" ht="15.75" customHeight="1">
      <c r="B405" s="32"/>
      <c r="C405" s="38"/>
      <c r="D405" s="34"/>
      <c r="E405" s="35"/>
      <c r="F405" s="35"/>
      <c r="G405" s="36"/>
      <c r="H405" s="36"/>
      <c r="I405" s="36"/>
      <c r="J405" s="14"/>
    </row>
    <row r="406" spans="2:10" ht="15.75" customHeight="1">
      <c r="B406" s="32"/>
      <c r="C406" s="38"/>
      <c r="D406" s="34"/>
      <c r="E406" s="35"/>
      <c r="F406" s="35"/>
      <c r="G406" s="36"/>
      <c r="H406" s="36"/>
      <c r="I406" s="36"/>
      <c r="J406" s="14"/>
    </row>
    <row r="407" spans="2:10" ht="15.75" customHeight="1">
      <c r="B407" s="32"/>
      <c r="C407" s="38"/>
      <c r="D407" s="34"/>
      <c r="E407" s="35"/>
      <c r="F407" s="35"/>
      <c r="G407" s="36"/>
      <c r="H407" s="36"/>
      <c r="I407" s="36"/>
      <c r="J407" s="14"/>
    </row>
    <row r="408" spans="2:10" ht="15.75" customHeight="1">
      <c r="B408" s="32"/>
      <c r="C408" s="38"/>
      <c r="D408" s="34"/>
      <c r="E408" s="35"/>
      <c r="F408" s="35"/>
      <c r="G408" s="36"/>
      <c r="H408" s="36"/>
      <c r="I408" s="36"/>
      <c r="J408" s="14"/>
    </row>
    <row r="409" spans="2:10" ht="15.75" customHeight="1">
      <c r="B409" s="32"/>
      <c r="C409" s="38"/>
      <c r="D409" s="34"/>
      <c r="E409" s="35"/>
      <c r="F409" s="35"/>
      <c r="G409" s="36"/>
      <c r="H409" s="36"/>
      <c r="I409" s="36"/>
      <c r="J409" s="14"/>
    </row>
    <row r="410" spans="2:10" ht="15.75" customHeight="1">
      <c r="B410" s="32"/>
      <c r="C410" s="38"/>
      <c r="D410" s="34"/>
      <c r="E410" s="35"/>
      <c r="F410" s="35"/>
      <c r="G410" s="36"/>
      <c r="H410" s="36"/>
      <c r="I410" s="36"/>
      <c r="J410" s="14"/>
    </row>
    <row r="411" spans="2:10" ht="15.75" customHeight="1">
      <c r="B411" s="32"/>
      <c r="C411" s="38"/>
      <c r="D411" s="34"/>
      <c r="E411" s="35"/>
      <c r="F411" s="35"/>
      <c r="G411" s="36"/>
      <c r="H411" s="36"/>
      <c r="I411" s="36"/>
      <c r="J411" s="14"/>
    </row>
    <row r="412" spans="2:10" ht="15.75" customHeight="1">
      <c r="B412" s="32"/>
      <c r="C412" s="38"/>
      <c r="D412" s="34"/>
      <c r="E412" s="35"/>
      <c r="F412" s="35"/>
      <c r="G412" s="36"/>
      <c r="H412" s="36"/>
      <c r="I412" s="36"/>
      <c r="J412" s="14"/>
    </row>
    <row r="413" spans="2:10" ht="15.75" customHeight="1">
      <c r="B413" s="32"/>
      <c r="C413" s="38"/>
      <c r="D413" s="34"/>
      <c r="E413" s="35"/>
      <c r="F413" s="35"/>
      <c r="G413" s="36"/>
      <c r="H413" s="36"/>
      <c r="I413" s="36"/>
      <c r="J413" s="14"/>
    </row>
    <row r="414" spans="2:10" ht="15.75" customHeight="1">
      <c r="B414" s="32"/>
      <c r="C414" s="38"/>
      <c r="D414" s="34"/>
      <c r="E414" s="35"/>
      <c r="F414" s="35"/>
      <c r="G414" s="36"/>
      <c r="H414" s="36"/>
      <c r="I414" s="36"/>
      <c r="J414" s="14"/>
    </row>
    <row r="415" spans="2:10" ht="15.75" customHeight="1">
      <c r="B415" s="32"/>
      <c r="C415" s="38"/>
      <c r="D415" s="34"/>
      <c r="E415" s="35"/>
      <c r="F415" s="35"/>
      <c r="G415" s="36"/>
      <c r="H415" s="36"/>
      <c r="I415" s="36"/>
      <c r="J415" s="14"/>
    </row>
    <row r="416" spans="2:10" ht="15.75" customHeight="1">
      <c r="B416" s="32"/>
      <c r="C416" s="38"/>
      <c r="D416" s="34"/>
      <c r="E416" s="35"/>
      <c r="F416" s="35"/>
      <c r="G416" s="36"/>
      <c r="H416" s="36"/>
      <c r="I416" s="36"/>
      <c r="J416" s="14"/>
    </row>
    <row r="417" spans="2:10" ht="15.75" customHeight="1">
      <c r="B417" s="32"/>
      <c r="C417" s="38"/>
      <c r="D417" s="34"/>
      <c r="E417" s="35"/>
      <c r="F417" s="35"/>
      <c r="G417" s="36"/>
      <c r="H417" s="36"/>
      <c r="I417" s="36"/>
      <c r="J417" s="14"/>
    </row>
    <row r="418" spans="2:10" ht="15.75" customHeight="1">
      <c r="B418" s="32"/>
      <c r="C418" s="38"/>
      <c r="D418" s="34"/>
      <c r="E418" s="35"/>
      <c r="F418" s="35"/>
      <c r="G418" s="36"/>
      <c r="H418" s="36"/>
      <c r="I418" s="36"/>
      <c r="J418" s="14"/>
    </row>
    <row r="419" spans="2:10" ht="15.75" customHeight="1">
      <c r="B419" s="32"/>
      <c r="C419" s="38"/>
      <c r="D419" s="34"/>
      <c r="E419" s="35"/>
      <c r="F419" s="35"/>
      <c r="G419" s="36"/>
      <c r="H419" s="36"/>
      <c r="I419" s="36"/>
      <c r="J419" s="14"/>
    </row>
    <row r="420" spans="2:10" ht="15.75" customHeight="1">
      <c r="B420" s="32"/>
      <c r="C420" s="38"/>
      <c r="D420" s="34"/>
      <c r="E420" s="35"/>
      <c r="F420" s="35"/>
      <c r="G420" s="36"/>
      <c r="H420" s="36"/>
      <c r="I420" s="36"/>
      <c r="J420" s="14"/>
    </row>
    <row r="421" spans="2:10" ht="15.75" customHeight="1">
      <c r="B421" s="32"/>
      <c r="C421" s="38"/>
      <c r="D421" s="34"/>
      <c r="E421" s="35"/>
      <c r="F421" s="35"/>
      <c r="G421" s="36"/>
      <c r="H421" s="36"/>
      <c r="I421" s="36"/>
      <c r="J421" s="14"/>
    </row>
    <row r="422" spans="2:10" ht="15.75" customHeight="1">
      <c r="B422" s="32"/>
      <c r="C422" s="38"/>
      <c r="D422" s="34"/>
      <c r="E422" s="35"/>
      <c r="F422" s="35"/>
      <c r="G422" s="36"/>
      <c r="H422" s="36"/>
      <c r="I422" s="36"/>
      <c r="J422" s="14"/>
    </row>
    <row r="423" spans="2:10" ht="15.75" customHeight="1">
      <c r="B423" s="32"/>
      <c r="C423" s="38"/>
      <c r="D423" s="34"/>
      <c r="E423" s="35"/>
      <c r="F423" s="35"/>
      <c r="G423" s="36"/>
      <c r="H423" s="36"/>
      <c r="I423" s="36"/>
      <c r="J423" s="14"/>
    </row>
    <row r="424" spans="2:10" ht="15.75" customHeight="1">
      <c r="B424" s="32"/>
      <c r="C424" s="38"/>
      <c r="D424" s="34"/>
      <c r="E424" s="35"/>
      <c r="F424" s="35"/>
      <c r="G424" s="36"/>
      <c r="H424" s="36"/>
      <c r="I424" s="36"/>
      <c r="J424" s="14"/>
    </row>
    <row r="425" spans="2:10" ht="15.75" customHeight="1">
      <c r="B425" s="32"/>
      <c r="C425" s="38"/>
      <c r="D425" s="34"/>
      <c r="E425" s="35"/>
      <c r="F425" s="35"/>
      <c r="G425" s="36"/>
      <c r="H425" s="36"/>
      <c r="I425" s="36"/>
      <c r="J425" s="14"/>
    </row>
    <row r="426" spans="2:10" ht="15.75" customHeight="1">
      <c r="B426" s="32"/>
      <c r="C426" s="38"/>
      <c r="D426" s="34"/>
      <c r="E426" s="35"/>
      <c r="F426" s="35"/>
      <c r="G426" s="36"/>
      <c r="H426" s="36"/>
      <c r="I426" s="36"/>
      <c r="J426" s="14"/>
    </row>
    <row r="427" spans="2:10" ht="15.75" customHeight="1">
      <c r="B427" s="32"/>
      <c r="C427" s="38"/>
      <c r="D427" s="34"/>
      <c r="E427" s="35"/>
      <c r="F427" s="35"/>
      <c r="G427" s="36"/>
      <c r="H427" s="36"/>
      <c r="I427" s="36"/>
      <c r="J427" s="14"/>
    </row>
    <row r="428" spans="2:10" ht="15.75" customHeight="1">
      <c r="B428" s="32"/>
      <c r="C428" s="38"/>
      <c r="D428" s="34"/>
      <c r="E428" s="35"/>
      <c r="F428" s="35"/>
      <c r="G428" s="36"/>
      <c r="H428" s="36"/>
      <c r="I428" s="36"/>
      <c r="J428" s="14"/>
    </row>
    <row r="429" spans="2:10" ht="15.75" customHeight="1">
      <c r="B429" s="32"/>
      <c r="C429" s="38"/>
      <c r="D429" s="34"/>
      <c r="E429" s="35"/>
      <c r="F429" s="35"/>
      <c r="G429" s="36"/>
      <c r="H429" s="36"/>
      <c r="I429" s="36"/>
      <c r="J429" s="14"/>
    </row>
    <row r="430" spans="2:10" ht="15.75" customHeight="1">
      <c r="B430" s="32"/>
      <c r="C430" s="38"/>
      <c r="D430" s="34"/>
      <c r="E430" s="35"/>
      <c r="F430" s="35"/>
      <c r="G430" s="36"/>
      <c r="H430" s="36"/>
      <c r="I430" s="36"/>
      <c r="J430" s="14"/>
    </row>
    <row r="431" spans="2:10" ht="15.75" customHeight="1">
      <c r="B431" s="32"/>
      <c r="C431" s="38"/>
      <c r="D431" s="34"/>
      <c r="E431" s="35"/>
      <c r="F431" s="35"/>
      <c r="G431" s="36"/>
      <c r="H431" s="36"/>
      <c r="I431" s="36"/>
      <c r="J431" s="14"/>
    </row>
    <row r="432" spans="2:10" ht="15.75" customHeight="1">
      <c r="B432" s="32"/>
      <c r="C432" s="38"/>
      <c r="D432" s="34"/>
      <c r="E432" s="35"/>
      <c r="F432" s="35"/>
      <c r="G432" s="36"/>
      <c r="H432" s="36"/>
      <c r="I432" s="36"/>
      <c r="J432" s="14"/>
    </row>
    <row r="433" spans="2:10" ht="15.75" customHeight="1">
      <c r="B433" s="32"/>
      <c r="C433" s="38"/>
      <c r="D433" s="34"/>
      <c r="E433" s="35"/>
      <c r="F433" s="35"/>
      <c r="G433" s="36"/>
      <c r="H433" s="36"/>
      <c r="I433" s="36"/>
      <c r="J433" s="14"/>
    </row>
    <row r="434" spans="2:10" ht="15.75" customHeight="1">
      <c r="B434" s="32"/>
      <c r="C434" s="38"/>
      <c r="D434" s="34"/>
      <c r="E434" s="35"/>
      <c r="F434" s="35"/>
      <c r="G434" s="36"/>
      <c r="H434" s="36"/>
      <c r="I434" s="36"/>
      <c r="J434" s="14"/>
    </row>
    <row r="435" spans="2:10" ht="15.75" customHeight="1">
      <c r="B435" s="32"/>
      <c r="C435" s="38"/>
      <c r="D435" s="34"/>
      <c r="E435" s="35"/>
      <c r="F435" s="35"/>
      <c r="G435" s="36"/>
      <c r="H435" s="36"/>
      <c r="I435" s="36"/>
      <c r="J435" s="14"/>
    </row>
    <row r="436" spans="2:10" ht="15.75" customHeight="1">
      <c r="B436" s="32"/>
      <c r="C436" s="38"/>
      <c r="D436" s="34"/>
      <c r="E436" s="35"/>
      <c r="F436" s="35"/>
      <c r="G436" s="36"/>
      <c r="H436" s="36"/>
      <c r="I436" s="36"/>
      <c r="J436" s="14"/>
    </row>
    <row r="437" spans="2:10" ht="15.75" customHeight="1">
      <c r="B437" s="32"/>
      <c r="C437" s="38"/>
      <c r="D437" s="34"/>
      <c r="E437" s="35"/>
      <c r="F437" s="35"/>
      <c r="G437" s="36"/>
      <c r="H437" s="36"/>
      <c r="I437" s="36"/>
      <c r="J437" s="14"/>
    </row>
    <row r="438" spans="2:10" ht="15.75" customHeight="1">
      <c r="B438" s="32"/>
      <c r="C438" s="38"/>
      <c r="D438" s="34"/>
      <c r="E438" s="35"/>
      <c r="F438" s="35"/>
      <c r="G438" s="36"/>
      <c r="H438" s="36"/>
      <c r="I438" s="36"/>
      <c r="J438" s="14"/>
    </row>
    <row r="439" spans="2:10" ht="15.75" customHeight="1">
      <c r="B439" s="32"/>
      <c r="C439" s="38"/>
      <c r="D439" s="34"/>
      <c r="E439" s="35"/>
      <c r="F439" s="35"/>
      <c r="G439" s="36"/>
      <c r="H439" s="36"/>
      <c r="I439" s="36"/>
      <c r="J439" s="14"/>
    </row>
    <row r="440" spans="2:10" ht="15.75" customHeight="1">
      <c r="B440" s="32"/>
      <c r="C440" s="38"/>
      <c r="D440" s="34"/>
      <c r="E440" s="35"/>
      <c r="F440" s="35"/>
      <c r="G440" s="36"/>
      <c r="H440" s="36"/>
      <c r="I440" s="36"/>
      <c r="J440" s="14"/>
    </row>
    <row r="441" spans="2:10" ht="15.75" customHeight="1">
      <c r="B441" s="32"/>
      <c r="C441" s="38"/>
      <c r="D441" s="34"/>
      <c r="E441" s="35"/>
      <c r="F441" s="35"/>
      <c r="G441" s="36"/>
      <c r="H441" s="36"/>
      <c r="I441" s="36"/>
      <c r="J441" s="14"/>
    </row>
    <row r="442" spans="2:10" ht="15.75" customHeight="1">
      <c r="B442" s="32"/>
      <c r="C442" s="38"/>
      <c r="D442" s="34"/>
      <c r="E442" s="35"/>
      <c r="F442" s="35"/>
      <c r="G442" s="36"/>
      <c r="H442" s="36"/>
      <c r="I442" s="36"/>
      <c r="J442" s="14"/>
    </row>
    <row r="443" spans="2:10" ht="15.75" customHeight="1">
      <c r="B443" s="32"/>
      <c r="C443" s="38"/>
      <c r="D443" s="34"/>
      <c r="E443" s="35"/>
      <c r="F443" s="35"/>
      <c r="G443" s="36"/>
      <c r="H443" s="36"/>
      <c r="I443" s="36"/>
      <c r="J443" s="14"/>
    </row>
    <row r="444" spans="2:10" ht="15.75" customHeight="1">
      <c r="B444" s="32"/>
      <c r="C444" s="38"/>
      <c r="D444" s="34"/>
      <c r="E444" s="35"/>
      <c r="F444" s="35"/>
      <c r="G444" s="36"/>
      <c r="H444" s="36"/>
      <c r="I444" s="36"/>
      <c r="J444" s="14"/>
    </row>
    <row r="445" spans="2:10" ht="15.75" customHeight="1">
      <c r="B445" s="32"/>
      <c r="C445" s="38"/>
      <c r="D445" s="34"/>
      <c r="E445" s="35"/>
      <c r="F445" s="35"/>
      <c r="G445" s="36"/>
      <c r="H445" s="36"/>
      <c r="I445" s="36"/>
      <c r="J445" s="14"/>
    </row>
    <row r="446" spans="2:10" ht="15.75" customHeight="1">
      <c r="B446" s="32"/>
      <c r="C446" s="38"/>
      <c r="D446" s="34"/>
      <c r="E446" s="35"/>
      <c r="F446" s="35"/>
      <c r="G446" s="36"/>
      <c r="H446" s="36"/>
      <c r="I446" s="36"/>
      <c r="J446" s="14"/>
    </row>
    <row r="447" spans="2:10" ht="15.75" customHeight="1">
      <c r="B447" s="32"/>
      <c r="C447" s="38"/>
      <c r="D447" s="34"/>
      <c r="E447" s="35"/>
      <c r="F447" s="35"/>
      <c r="G447" s="36"/>
      <c r="H447" s="36"/>
      <c r="I447" s="36"/>
      <c r="J447" s="14"/>
    </row>
    <row r="448" spans="2:10" ht="15.75" customHeight="1">
      <c r="B448" s="32"/>
      <c r="C448" s="38"/>
      <c r="D448" s="34"/>
      <c r="E448" s="35"/>
      <c r="F448" s="35"/>
      <c r="G448" s="36"/>
      <c r="H448" s="36"/>
      <c r="I448" s="36"/>
      <c r="J448" s="14"/>
    </row>
    <row r="449" spans="2:10" ht="15.75" customHeight="1">
      <c r="B449" s="32"/>
      <c r="C449" s="38"/>
      <c r="D449" s="34"/>
      <c r="E449" s="35"/>
      <c r="F449" s="35"/>
      <c r="G449" s="36"/>
      <c r="H449" s="36"/>
      <c r="I449" s="36"/>
      <c r="J449" s="14"/>
    </row>
    <row r="450" spans="2:10" ht="15.75" customHeight="1">
      <c r="B450" s="32"/>
      <c r="C450" s="38"/>
      <c r="D450" s="34"/>
      <c r="E450" s="35"/>
      <c r="F450" s="35"/>
      <c r="G450" s="36"/>
      <c r="H450" s="36"/>
      <c r="I450" s="36"/>
      <c r="J450" s="14"/>
    </row>
    <row r="451" spans="2:10" ht="15.75" customHeight="1">
      <c r="B451" s="32"/>
      <c r="C451" s="38"/>
      <c r="D451" s="34"/>
      <c r="E451" s="35"/>
      <c r="F451" s="35"/>
      <c r="G451" s="36"/>
      <c r="H451" s="36"/>
      <c r="I451" s="36"/>
      <c r="J451" s="14"/>
    </row>
    <row r="452" spans="2:10" ht="15.75" customHeight="1">
      <c r="B452" s="32"/>
      <c r="C452" s="38"/>
      <c r="D452" s="34"/>
      <c r="E452" s="35"/>
      <c r="F452" s="35"/>
      <c r="G452" s="36"/>
      <c r="H452" s="36"/>
      <c r="I452" s="36"/>
      <c r="J452" s="14"/>
    </row>
    <row r="453" spans="2:10" ht="15.75" customHeight="1">
      <c r="B453" s="32"/>
      <c r="C453" s="38"/>
      <c r="D453" s="34"/>
      <c r="E453" s="35"/>
      <c r="F453" s="35"/>
      <c r="G453" s="36"/>
      <c r="H453" s="36"/>
      <c r="I453" s="36"/>
      <c r="J453" s="14"/>
    </row>
    <row r="454" spans="2:10" ht="15.75" customHeight="1">
      <c r="B454" s="32"/>
      <c r="C454" s="38"/>
      <c r="D454" s="34"/>
      <c r="E454" s="35"/>
      <c r="F454" s="35"/>
      <c r="G454" s="36"/>
      <c r="H454" s="36"/>
      <c r="I454" s="36"/>
      <c r="J454" s="14"/>
    </row>
    <row r="455" spans="2:10" ht="15.75" customHeight="1">
      <c r="B455" s="32"/>
      <c r="C455" s="38"/>
      <c r="D455" s="34"/>
      <c r="E455" s="35"/>
      <c r="F455" s="35"/>
      <c r="G455" s="36"/>
      <c r="H455" s="36"/>
      <c r="I455" s="36"/>
      <c r="J455" s="14"/>
    </row>
    <row r="456" spans="2:10" ht="15.75" customHeight="1">
      <c r="B456" s="32"/>
      <c r="C456" s="38"/>
      <c r="D456" s="34"/>
      <c r="E456" s="35"/>
      <c r="F456" s="35"/>
      <c r="G456" s="36"/>
      <c r="H456" s="36"/>
      <c r="I456" s="36"/>
      <c r="J456" s="14"/>
    </row>
    <row r="457" spans="2:10" ht="15.75" customHeight="1">
      <c r="B457" s="32"/>
      <c r="C457" s="38"/>
      <c r="D457" s="34"/>
      <c r="E457" s="35"/>
      <c r="F457" s="35"/>
      <c r="G457" s="36"/>
      <c r="H457" s="36"/>
      <c r="I457" s="36"/>
      <c r="J457" s="14"/>
    </row>
    <row r="458" spans="2:10" ht="15.75" customHeight="1">
      <c r="B458" s="32"/>
      <c r="C458" s="38"/>
      <c r="D458" s="34"/>
      <c r="E458" s="35"/>
      <c r="F458" s="35"/>
      <c r="G458" s="36"/>
      <c r="H458" s="36"/>
      <c r="I458" s="36"/>
      <c r="J458" s="14"/>
    </row>
    <row r="459" spans="2:10" ht="15.75" customHeight="1">
      <c r="B459" s="32"/>
      <c r="C459" s="38"/>
      <c r="D459" s="34"/>
      <c r="E459" s="35"/>
      <c r="F459" s="35"/>
      <c r="G459" s="36"/>
      <c r="H459" s="36"/>
      <c r="I459" s="36"/>
      <c r="J459" s="14"/>
    </row>
    <row r="460" spans="2:10" ht="15.75" customHeight="1">
      <c r="B460" s="32"/>
      <c r="C460" s="38"/>
      <c r="D460" s="34"/>
      <c r="E460" s="35"/>
      <c r="F460" s="35"/>
      <c r="G460" s="36"/>
      <c r="H460" s="36"/>
      <c r="I460" s="36"/>
      <c r="J460" s="14"/>
    </row>
    <row r="461" spans="2:10" ht="15.75" customHeight="1">
      <c r="B461" s="32"/>
      <c r="C461" s="38"/>
      <c r="D461" s="34"/>
      <c r="E461" s="35"/>
      <c r="F461" s="35"/>
      <c r="G461" s="36"/>
      <c r="H461" s="36"/>
      <c r="I461" s="36"/>
      <c r="J461" s="14"/>
    </row>
    <row r="462" spans="2:10" ht="15.75" customHeight="1">
      <c r="B462" s="32"/>
      <c r="C462" s="38"/>
      <c r="D462" s="34"/>
      <c r="E462" s="35"/>
      <c r="F462" s="35"/>
      <c r="G462" s="36"/>
      <c r="H462" s="36"/>
      <c r="I462" s="36"/>
      <c r="J462" s="14"/>
    </row>
    <row r="463" spans="2:10" ht="15.75" customHeight="1">
      <c r="B463" s="32"/>
      <c r="C463" s="38"/>
      <c r="D463" s="34"/>
      <c r="E463" s="35"/>
      <c r="F463" s="35"/>
      <c r="G463" s="36"/>
      <c r="H463" s="36"/>
      <c r="I463" s="36"/>
      <c r="J463" s="14"/>
    </row>
    <row r="464" spans="2:10" ht="15.75" customHeight="1">
      <c r="B464" s="32"/>
      <c r="C464" s="38"/>
      <c r="D464" s="34"/>
      <c r="E464" s="35"/>
      <c r="F464" s="35"/>
      <c r="G464" s="36"/>
      <c r="H464" s="36"/>
      <c r="I464" s="36"/>
      <c r="J464" s="14"/>
    </row>
    <row r="465" spans="2:10" ht="15.75" customHeight="1">
      <c r="B465" s="32"/>
      <c r="C465" s="38"/>
      <c r="D465" s="34"/>
      <c r="E465" s="35"/>
      <c r="F465" s="35"/>
      <c r="G465" s="36"/>
      <c r="H465" s="36"/>
      <c r="I465" s="36"/>
      <c r="J465" s="14"/>
    </row>
    <row r="466" spans="2:10" ht="15.75" customHeight="1">
      <c r="B466" s="32"/>
      <c r="C466" s="38"/>
      <c r="D466" s="34"/>
      <c r="E466" s="35"/>
      <c r="F466" s="35"/>
      <c r="G466" s="36"/>
      <c r="H466" s="36"/>
      <c r="I466" s="36"/>
      <c r="J466" s="14"/>
    </row>
    <row r="467" spans="2:10" ht="15.75" customHeight="1">
      <c r="B467" s="32"/>
      <c r="C467" s="38"/>
      <c r="D467" s="34"/>
      <c r="E467" s="35"/>
      <c r="F467" s="35"/>
      <c r="G467" s="36"/>
      <c r="H467" s="36"/>
      <c r="I467" s="36"/>
      <c r="J467" s="14"/>
    </row>
    <row r="468" spans="2:10" ht="15.75" customHeight="1">
      <c r="B468" s="32"/>
      <c r="C468" s="38"/>
      <c r="D468" s="34"/>
      <c r="E468" s="35"/>
      <c r="F468" s="35"/>
      <c r="G468" s="36"/>
      <c r="H468" s="36"/>
      <c r="I468" s="36"/>
      <c r="J468" s="14"/>
    </row>
    <row r="469" spans="2:10" ht="15.75" customHeight="1">
      <c r="B469" s="32"/>
      <c r="C469" s="38"/>
      <c r="D469" s="34"/>
      <c r="E469" s="35"/>
      <c r="F469" s="35"/>
      <c r="G469" s="36"/>
      <c r="H469" s="36"/>
      <c r="I469" s="36"/>
      <c r="J469" s="14"/>
    </row>
    <row r="470" spans="2:10" ht="15.75" customHeight="1">
      <c r="B470" s="32"/>
      <c r="C470" s="38"/>
      <c r="D470" s="34"/>
      <c r="E470" s="35"/>
      <c r="F470" s="35"/>
      <c r="G470" s="36"/>
      <c r="H470" s="36"/>
      <c r="I470" s="36"/>
      <c r="J470" s="14"/>
    </row>
    <row r="471" spans="2:10" ht="15.75" customHeight="1">
      <c r="B471" s="32"/>
      <c r="C471" s="38"/>
      <c r="D471" s="34"/>
      <c r="E471" s="35"/>
      <c r="F471" s="35"/>
      <c r="G471" s="36"/>
      <c r="H471" s="36"/>
      <c r="I471" s="36"/>
      <c r="J471" s="14"/>
    </row>
    <row r="472" spans="2:10" ht="15.75" customHeight="1">
      <c r="B472" s="32"/>
      <c r="C472" s="38"/>
      <c r="D472" s="34"/>
      <c r="E472" s="35"/>
      <c r="F472" s="35"/>
      <c r="G472" s="36"/>
      <c r="H472" s="36"/>
      <c r="I472" s="36"/>
      <c r="J472" s="14"/>
    </row>
    <row r="473" spans="2:10" ht="15.75" customHeight="1">
      <c r="B473" s="32"/>
      <c r="C473" s="38"/>
      <c r="D473" s="34"/>
      <c r="E473" s="35"/>
      <c r="F473" s="35"/>
      <c r="G473" s="36"/>
      <c r="H473" s="36"/>
      <c r="I473" s="36"/>
      <c r="J473" s="14"/>
    </row>
    <row r="474" spans="2:10" ht="15.75" customHeight="1">
      <c r="B474" s="32"/>
      <c r="C474" s="38"/>
      <c r="D474" s="34"/>
      <c r="E474" s="35"/>
      <c r="F474" s="35"/>
      <c r="G474" s="36"/>
      <c r="H474" s="36"/>
      <c r="I474" s="36"/>
      <c r="J474" s="14"/>
    </row>
    <row r="475" spans="2:10" ht="15.75" customHeight="1">
      <c r="B475" s="32"/>
      <c r="C475" s="38"/>
      <c r="D475" s="34"/>
      <c r="E475" s="35"/>
      <c r="F475" s="35"/>
      <c r="G475" s="36"/>
      <c r="H475" s="36"/>
      <c r="I475" s="36"/>
      <c r="J475" s="14"/>
    </row>
    <row r="476" spans="2:10" ht="15.75" customHeight="1">
      <c r="B476" s="32"/>
      <c r="C476" s="38"/>
      <c r="D476" s="34"/>
      <c r="E476" s="35"/>
      <c r="F476" s="35"/>
      <c r="G476" s="36"/>
      <c r="H476" s="36"/>
      <c r="I476" s="36"/>
      <c r="J476" s="14"/>
    </row>
    <row r="477" spans="2:10" ht="15.75" customHeight="1">
      <c r="B477" s="32"/>
      <c r="C477" s="38"/>
      <c r="D477" s="34"/>
      <c r="E477" s="35"/>
      <c r="F477" s="35"/>
      <c r="G477" s="36"/>
      <c r="H477" s="36"/>
      <c r="I477" s="36"/>
      <c r="J477" s="14"/>
    </row>
    <row r="478" spans="2:10" ht="15.75" customHeight="1">
      <c r="B478" s="32"/>
      <c r="C478" s="38"/>
      <c r="D478" s="34"/>
      <c r="E478" s="35"/>
      <c r="F478" s="35"/>
      <c r="G478" s="36"/>
      <c r="H478" s="36"/>
      <c r="I478" s="36"/>
      <c r="J478" s="14"/>
    </row>
    <row r="479" spans="2:10" ht="15.75" customHeight="1">
      <c r="B479" s="32"/>
      <c r="C479" s="38"/>
      <c r="D479" s="34"/>
      <c r="E479" s="35"/>
      <c r="F479" s="35"/>
      <c r="G479" s="36"/>
      <c r="H479" s="36"/>
      <c r="I479" s="36"/>
      <c r="J479" s="14"/>
    </row>
    <row r="480" spans="2:10" ht="15.75" customHeight="1">
      <c r="B480" s="32"/>
      <c r="C480" s="38"/>
      <c r="D480" s="34"/>
      <c r="E480" s="35"/>
      <c r="F480" s="35"/>
      <c r="G480" s="36"/>
      <c r="H480" s="36"/>
      <c r="I480" s="36"/>
      <c r="J480" s="14"/>
    </row>
    <row r="481" spans="2:10" ht="15.75" customHeight="1">
      <c r="B481" s="32"/>
      <c r="C481" s="38"/>
      <c r="D481" s="34"/>
      <c r="E481" s="35"/>
      <c r="F481" s="35"/>
      <c r="G481" s="36"/>
      <c r="H481" s="36"/>
      <c r="I481" s="36"/>
      <c r="J481" s="14"/>
    </row>
    <row r="482" spans="2:10" ht="15.75" customHeight="1">
      <c r="B482" s="32"/>
      <c r="C482" s="38"/>
      <c r="D482" s="34"/>
      <c r="E482" s="35"/>
      <c r="F482" s="35"/>
      <c r="G482" s="36"/>
      <c r="H482" s="36"/>
      <c r="I482" s="36"/>
      <c r="J482" s="14"/>
    </row>
    <row r="483" spans="2:10" ht="15.75" customHeight="1">
      <c r="B483" s="32"/>
      <c r="C483" s="38"/>
      <c r="D483" s="34"/>
      <c r="E483" s="35"/>
      <c r="F483" s="35"/>
      <c r="G483" s="36"/>
      <c r="H483" s="36"/>
      <c r="I483" s="36"/>
      <c r="J483" s="14"/>
    </row>
    <row r="484" spans="2:10" ht="15.75" customHeight="1">
      <c r="B484" s="32"/>
      <c r="C484" s="38"/>
      <c r="D484" s="34"/>
      <c r="E484" s="35"/>
      <c r="F484" s="35"/>
      <c r="G484" s="36"/>
      <c r="H484" s="36"/>
      <c r="I484" s="36"/>
      <c r="J484" s="14"/>
    </row>
    <row r="485" spans="2:10" ht="15.75" customHeight="1">
      <c r="B485" s="32"/>
      <c r="C485" s="38"/>
      <c r="D485" s="34"/>
      <c r="E485" s="35"/>
      <c r="F485" s="35"/>
      <c r="G485" s="36"/>
      <c r="H485" s="36"/>
      <c r="I485" s="36"/>
      <c r="J485" s="14"/>
    </row>
    <row r="486" spans="2:10" ht="15.75" customHeight="1">
      <c r="B486" s="32"/>
      <c r="C486" s="38"/>
      <c r="D486" s="34"/>
      <c r="E486" s="35"/>
      <c r="F486" s="35"/>
      <c r="G486" s="36"/>
      <c r="H486" s="36"/>
      <c r="I486" s="36"/>
      <c r="J486" s="14"/>
    </row>
    <row r="487" spans="2:10" ht="15.75" customHeight="1">
      <c r="B487" s="32"/>
      <c r="C487" s="38"/>
      <c r="D487" s="34"/>
      <c r="E487" s="35"/>
      <c r="F487" s="35"/>
      <c r="G487" s="36"/>
      <c r="H487" s="36"/>
      <c r="I487" s="36"/>
      <c r="J487" s="14"/>
    </row>
    <row r="488" spans="2:10" ht="15.75" customHeight="1">
      <c r="B488" s="32"/>
      <c r="C488" s="38"/>
      <c r="D488" s="34"/>
      <c r="E488" s="35"/>
      <c r="F488" s="35"/>
      <c r="G488" s="36"/>
      <c r="H488" s="36"/>
      <c r="I488" s="36"/>
      <c r="J488" s="14"/>
    </row>
    <row r="489" spans="2:10" ht="15.75" customHeight="1">
      <c r="B489" s="32"/>
      <c r="C489" s="38"/>
      <c r="D489" s="34"/>
      <c r="E489" s="35"/>
      <c r="F489" s="35"/>
      <c r="G489" s="36"/>
      <c r="H489" s="36"/>
      <c r="I489" s="36"/>
      <c r="J489" s="14"/>
    </row>
    <row r="490" spans="2:10" ht="15.75" customHeight="1">
      <c r="B490" s="32"/>
      <c r="C490" s="38"/>
      <c r="D490" s="34"/>
      <c r="E490" s="35"/>
      <c r="F490" s="35"/>
      <c r="G490" s="36"/>
      <c r="H490" s="36"/>
      <c r="I490" s="36"/>
      <c r="J490" s="14"/>
    </row>
    <row r="491" spans="2:10" ht="15.75" customHeight="1">
      <c r="B491" s="32"/>
      <c r="C491" s="38"/>
      <c r="D491" s="34"/>
      <c r="E491" s="35"/>
      <c r="F491" s="35"/>
      <c r="G491" s="36"/>
      <c r="H491" s="36"/>
      <c r="I491" s="36"/>
      <c r="J491" s="14"/>
    </row>
    <row r="492" spans="2:10" ht="15.75" customHeight="1">
      <c r="B492" s="32"/>
      <c r="C492" s="38"/>
      <c r="D492" s="34"/>
      <c r="E492" s="35"/>
      <c r="F492" s="35"/>
      <c r="G492" s="36"/>
      <c r="H492" s="36"/>
      <c r="I492" s="36"/>
      <c r="J492" s="14"/>
    </row>
    <row r="493" spans="2:10" ht="15.75" customHeight="1">
      <c r="B493" s="32"/>
      <c r="C493" s="38"/>
      <c r="D493" s="34"/>
      <c r="E493" s="35"/>
      <c r="F493" s="35"/>
      <c r="G493" s="36"/>
      <c r="H493" s="36"/>
      <c r="I493" s="36"/>
      <c r="J493" s="14"/>
    </row>
    <row r="494" spans="2:10" ht="15.75" customHeight="1">
      <c r="B494" s="32"/>
      <c r="C494" s="38"/>
      <c r="D494" s="34"/>
      <c r="E494" s="35"/>
      <c r="F494" s="35"/>
      <c r="G494" s="36"/>
      <c r="H494" s="36"/>
      <c r="I494" s="36"/>
      <c r="J494" s="14"/>
    </row>
    <row r="495" spans="2:10" ht="15.75" customHeight="1">
      <c r="B495" s="32"/>
      <c r="C495" s="38"/>
      <c r="D495" s="34"/>
      <c r="E495" s="35"/>
      <c r="F495" s="35"/>
      <c r="G495" s="36"/>
      <c r="H495" s="36"/>
      <c r="I495" s="36"/>
      <c r="J495" s="14"/>
    </row>
    <row r="496" spans="2:10" ht="15.75" customHeight="1">
      <c r="B496" s="32"/>
      <c r="C496" s="38"/>
      <c r="D496" s="34"/>
      <c r="E496" s="35"/>
      <c r="F496" s="35"/>
      <c r="G496" s="36"/>
      <c r="H496" s="36"/>
      <c r="I496" s="36"/>
      <c r="J496" s="14"/>
    </row>
    <row r="497" spans="2:10" ht="15.75" customHeight="1">
      <c r="B497" s="32"/>
      <c r="C497" s="38"/>
      <c r="D497" s="34"/>
      <c r="E497" s="35"/>
      <c r="F497" s="35"/>
      <c r="G497" s="36"/>
      <c r="H497" s="36"/>
      <c r="I497" s="36"/>
      <c r="J497" s="14"/>
    </row>
    <row r="498" spans="2:10" ht="15.75" customHeight="1">
      <c r="B498" s="32"/>
      <c r="C498" s="38"/>
      <c r="D498" s="34"/>
      <c r="E498" s="35"/>
      <c r="F498" s="35"/>
      <c r="G498" s="36"/>
      <c r="H498" s="36"/>
      <c r="I498" s="36"/>
      <c r="J498" s="14"/>
    </row>
    <row r="499" spans="2:10" ht="15.75" customHeight="1">
      <c r="B499" s="32"/>
      <c r="C499" s="38"/>
      <c r="D499" s="34"/>
      <c r="E499" s="35"/>
      <c r="F499" s="35"/>
      <c r="G499" s="36"/>
      <c r="H499" s="36"/>
      <c r="I499" s="36"/>
      <c r="J499" s="14"/>
    </row>
    <row r="500" spans="2:10" ht="15.75" customHeight="1">
      <c r="B500" s="32"/>
      <c r="C500" s="38"/>
      <c r="D500" s="34"/>
      <c r="E500" s="35"/>
      <c r="F500" s="35"/>
      <c r="G500" s="36"/>
      <c r="H500" s="36"/>
      <c r="I500" s="36"/>
      <c r="J500" s="14"/>
    </row>
    <row r="501" spans="2:10" ht="15.75" customHeight="1">
      <c r="B501" s="32"/>
      <c r="C501" s="38"/>
      <c r="D501" s="34"/>
      <c r="E501" s="35"/>
      <c r="F501" s="35"/>
      <c r="G501" s="36"/>
      <c r="H501" s="36"/>
      <c r="I501" s="36"/>
      <c r="J501" s="14"/>
    </row>
    <row r="502" spans="2:10" ht="15.75" customHeight="1">
      <c r="B502" s="32"/>
      <c r="C502" s="38"/>
      <c r="D502" s="34"/>
      <c r="E502" s="35"/>
      <c r="F502" s="35"/>
      <c r="G502" s="36"/>
      <c r="H502" s="36"/>
      <c r="I502" s="36"/>
      <c r="J502" s="14"/>
    </row>
    <row r="503" spans="2:10" ht="15.75" customHeight="1">
      <c r="B503" s="32"/>
      <c r="C503" s="38"/>
      <c r="D503" s="34"/>
      <c r="E503" s="35"/>
      <c r="F503" s="35"/>
      <c r="G503" s="36"/>
      <c r="H503" s="36"/>
      <c r="I503" s="36"/>
      <c r="J503" s="14"/>
    </row>
    <row r="504" spans="2:10" ht="15.75" customHeight="1">
      <c r="B504" s="32"/>
      <c r="C504" s="38"/>
      <c r="D504" s="34"/>
      <c r="E504" s="35"/>
      <c r="F504" s="35"/>
      <c r="G504" s="36"/>
      <c r="H504" s="36"/>
      <c r="I504" s="36"/>
      <c r="J504" s="14"/>
    </row>
    <row r="505" spans="2:10" ht="15.75" customHeight="1">
      <c r="B505" s="32"/>
      <c r="C505" s="38"/>
      <c r="D505" s="34"/>
      <c r="E505" s="35"/>
      <c r="F505" s="35"/>
      <c r="G505" s="36"/>
      <c r="H505" s="36"/>
      <c r="I505" s="36"/>
      <c r="J505" s="14"/>
    </row>
    <row r="506" spans="2:10" ht="15.75" customHeight="1">
      <c r="B506" s="32"/>
      <c r="C506" s="38"/>
      <c r="D506" s="34"/>
      <c r="E506" s="35"/>
      <c r="F506" s="35"/>
      <c r="G506" s="36"/>
      <c r="H506" s="36"/>
      <c r="I506" s="36"/>
      <c r="J506" s="14"/>
    </row>
    <row r="507" spans="2:10" ht="15.75" customHeight="1">
      <c r="B507" s="32"/>
      <c r="C507" s="38"/>
      <c r="D507" s="34"/>
      <c r="E507" s="35"/>
      <c r="F507" s="35"/>
      <c r="G507" s="36"/>
      <c r="H507" s="36"/>
      <c r="I507" s="36"/>
      <c r="J507" s="14"/>
    </row>
    <row r="508" spans="2:10" ht="15.75" customHeight="1">
      <c r="B508" s="32"/>
      <c r="C508" s="38"/>
      <c r="D508" s="34"/>
      <c r="E508" s="35"/>
      <c r="F508" s="35"/>
      <c r="G508" s="36"/>
      <c r="H508" s="36"/>
      <c r="I508" s="36"/>
      <c r="J508" s="14"/>
    </row>
    <row r="509" spans="2:10" ht="15.75" customHeight="1">
      <c r="B509" s="32"/>
      <c r="C509" s="38"/>
      <c r="D509" s="34"/>
      <c r="E509" s="35"/>
      <c r="F509" s="35"/>
      <c r="G509" s="36"/>
      <c r="H509" s="36"/>
      <c r="I509" s="36"/>
      <c r="J509" s="14"/>
    </row>
    <row r="510" spans="2:10" ht="15.75" customHeight="1">
      <c r="B510" s="32"/>
      <c r="C510" s="38"/>
      <c r="D510" s="34"/>
      <c r="E510" s="35"/>
      <c r="F510" s="35"/>
      <c r="G510" s="36"/>
      <c r="H510" s="36"/>
      <c r="I510" s="36"/>
      <c r="J510" s="14"/>
    </row>
    <row r="511" spans="2:10" ht="15.75" customHeight="1">
      <c r="B511" s="32"/>
      <c r="C511" s="38"/>
      <c r="D511" s="34"/>
      <c r="E511" s="35"/>
      <c r="F511" s="35"/>
      <c r="G511" s="36"/>
      <c r="H511" s="36"/>
      <c r="I511" s="36"/>
      <c r="J511" s="14"/>
    </row>
    <row r="512" spans="2:10" ht="15.75" customHeight="1">
      <c r="B512" s="32"/>
      <c r="C512" s="38"/>
      <c r="D512" s="34"/>
      <c r="E512" s="35"/>
      <c r="F512" s="35"/>
      <c r="G512" s="36"/>
      <c r="H512" s="36"/>
      <c r="I512" s="36"/>
      <c r="J512" s="14"/>
    </row>
    <row r="513" spans="2:10" ht="15.75" customHeight="1">
      <c r="B513" s="32"/>
      <c r="C513" s="38"/>
      <c r="D513" s="34"/>
      <c r="E513" s="35"/>
      <c r="F513" s="35"/>
      <c r="G513" s="36"/>
      <c r="H513" s="36"/>
      <c r="I513" s="36"/>
      <c r="J513" s="14"/>
    </row>
    <row r="514" spans="2:10" ht="15.75" customHeight="1">
      <c r="B514" s="32"/>
      <c r="C514" s="38"/>
      <c r="D514" s="34"/>
      <c r="E514" s="35"/>
      <c r="F514" s="35"/>
      <c r="G514" s="36"/>
      <c r="H514" s="36"/>
      <c r="I514" s="36"/>
      <c r="J514" s="14"/>
    </row>
    <row r="515" spans="2:10" ht="15.75" customHeight="1">
      <c r="B515" s="32"/>
      <c r="C515" s="38"/>
      <c r="D515" s="34"/>
      <c r="E515" s="35"/>
      <c r="F515" s="35"/>
      <c r="G515" s="36"/>
      <c r="H515" s="36"/>
      <c r="I515" s="36"/>
      <c r="J515" s="14"/>
    </row>
    <row r="516" spans="2:10" ht="15.75" customHeight="1">
      <c r="B516" s="32"/>
      <c r="C516" s="38"/>
      <c r="D516" s="34"/>
      <c r="E516" s="35"/>
      <c r="F516" s="35"/>
      <c r="G516" s="36"/>
      <c r="H516" s="36"/>
      <c r="I516" s="36"/>
      <c r="J516" s="14"/>
    </row>
    <row r="517" spans="2:10" ht="15.75" customHeight="1">
      <c r="B517" s="32"/>
      <c r="C517" s="38"/>
      <c r="D517" s="34"/>
      <c r="E517" s="35"/>
      <c r="F517" s="35"/>
      <c r="G517" s="36"/>
      <c r="H517" s="36"/>
      <c r="I517" s="36"/>
      <c r="J517" s="14"/>
    </row>
    <row r="518" spans="2:10" ht="15.75" customHeight="1">
      <c r="B518" s="32"/>
      <c r="C518" s="38"/>
      <c r="D518" s="34"/>
      <c r="E518" s="35"/>
      <c r="F518" s="35"/>
      <c r="G518" s="36"/>
      <c r="H518" s="36"/>
      <c r="I518" s="36"/>
      <c r="J518" s="14"/>
    </row>
    <row r="519" spans="2:10" ht="15.75" customHeight="1">
      <c r="B519" s="32"/>
      <c r="C519" s="38"/>
      <c r="D519" s="34"/>
      <c r="E519" s="35"/>
      <c r="F519" s="35"/>
      <c r="G519" s="36"/>
      <c r="H519" s="36"/>
      <c r="I519" s="36"/>
      <c r="J519" s="14"/>
    </row>
    <row r="520" spans="2:10" ht="15.75" customHeight="1">
      <c r="B520" s="32"/>
      <c r="C520" s="38"/>
      <c r="D520" s="34"/>
      <c r="E520" s="35"/>
      <c r="F520" s="35"/>
      <c r="G520" s="36"/>
      <c r="H520" s="36"/>
      <c r="I520" s="36"/>
      <c r="J520" s="14"/>
    </row>
    <row r="521" spans="2:10" ht="15.75" customHeight="1">
      <c r="B521" s="32"/>
      <c r="C521" s="38"/>
      <c r="D521" s="34"/>
      <c r="E521" s="35"/>
      <c r="F521" s="35"/>
      <c r="G521" s="36"/>
      <c r="H521" s="36"/>
      <c r="I521" s="36"/>
      <c r="J521" s="14"/>
    </row>
    <row r="522" spans="2:10" ht="15.75" customHeight="1">
      <c r="B522" s="32"/>
      <c r="C522" s="38"/>
      <c r="D522" s="34"/>
      <c r="E522" s="35"/>
      <c r="F522" s="35"/>
      <c r="G522" s="36"/>
      <c r="H522" s="36"/>
      <c r="I522" s="36"/>
      <c r="J522" s="14"/>
    </row>
    <row r="523" spans="2:10" ht="15.75" customHeight="1">
      <c r="B523" s="32"/>
      <c r="C523" s="38"/>
      <c r="D523" s="34"/>
      <c r="E523" s="35"/>
      <c r="F523" s="35"/>
      <c r="G523" s="36"/>
      <c r="H523" s="36"/>
      <c r="I523" s="36"/>
      <c r="J523" s="14"/>
    </row>
    <row r="524" spans="2:10" ht="15.75" customHeight="1">
      <c r="B524" s="32"/>
      <c r="C524" s="38"/>
      <c r="D524" s="34"/>
      <c r="E524" s="35"/>
      <c r="F524" s="35"/>
      <c r="G524" s="36"/>
      <c r="H524" s="36"/>
      <c r="I524" s="36"/>
      <c r="J524" s="14"/>
    </row>
    <row r="525" spans="2:10" ht="15.75" customHeight="1">
      <c r="B525" s="32"/>
      <c r="C525" s="38"/>
      <c r="D525" s="34"/>
      <c r="E525" s="35"/>
      <c r="F525" s="35"/>
      <c r="G525" s="36"/>
      <c r="H525" s="36"/>
      <c r="I525" s="36"/>
      <c r="J525" s="14"/>
    </row>
    <row r="526" spans="2:10" ht="15.75" customHeight="1">
      <c r="B526" s="32"/>
      <c r="C526" s="38"/>
      <c r="D526" s="34"/>
      <c r="E526" s="35"/>
      <c r="F526" s="35"/>
      <c r="G526" s="36"/>
      <c r="H526" s="36"/>
      <c r="I526" s="36"/>
      <c r="J526" s="14"/>
    </row>
    <row r="527" spans="2:10" ht="15.75" customHeight="1">
      <c r="B527" s="32"/>
      <c r="C527" s="38"/>
      <c r="D527" s="34"/>
      <c r="E527" s="35"/>
      <c r="F527" s="35"/>
      <c r="G527" s="36"/>
      <c r="H527" s="36"/>
      <c r="I527" s="36"/>
      <c r="J527" s="14"/>
    </row>
    <row r="528" spans="2:10" ht="15.75" customHeight="1">
      <c r="B528" s="32"/>
      <c r="C528" s="38"/>
      <c r="D528" s="34"/>
      <c r="E528" s="35"/>
      <c r="F528" s="35"/>
      <c r="G528" s="36"/>
      <c r="H528" s="36"/>
      <c r="I528" s="36"/>
      <c r="J528" s="14"/>
    </row>
    <row r="529" spans="2:10" ht="15.75" customHeight="1">
      <c r="B529" s="32"/>
      <c r="C529" s="38"/>
      <c r="D529" s="34"/>
      <c r="E529" s="35"/>
      <c r="F529" s="35"/>
      <c r="G529" s="36"/>
      <c r="H529" s="36"/>
      <c r="I529" s="36"/>
      <c r="J529" s="14"/>
    </row>
    <row r="530" spans="2:10" ht="15.75" customHeight="1">
      <c r="B530" s="32"/>
      <c r="C530" s="38"/>
      <c r="D530" s="34"/>
      <c r="E530" s="35"/>
      <c r="F530" s="35"/>
      <c r="G530" s="36"/>
      <c r="H530" s="36"/>
      <c r="I530" s="36"/>
      <c r="J530" s="14"/>
    </row>
    <row r="531" spans="2:10" ht="15.75" customHeight="1">
      <c r="B531" s="32"/>
      <c r="C531" s="38"/>
      <c r="D531" s="34"/>
      <c r="E531" s="35"/>
      <c r="F531" s="35"/>
      <c r="G531" s="36"/>
      <c r="H531" s="36"/>
      <c r="I531" s="36"/>
      <c r="J531" s="14"/>
    </row>
    <row r="532" spans="2:10" ht="15.75" customHeight="1">
      <c r="B532" s="32"/>
      <c r="C532" s="38"/>
      <c r="D532" s="34"/>
      <c r="E532" s="35"/>
      <c r="F532" s="35"/>
      <c r="G532" s="36"/>
      <c r="H532" s="36"/>
      <c r="I532" s="36"/>
      <c r="J532" s="14"/>
    </row>
    <row r="533" spans="2:10" ht="15.75" customHeight="1">
      <c r="B533" s="32"/>
      <c r="C533" s="38"/>
      <c r="D533" s="34"/>
      <c r="E533" s="35"/>
      <c r="F533" s="35"/>
      <c r="G533" s="36"/>
      <c r="H533" s="36"/>
      <c r="I533" s="36"/>
      <c r="J533" s="14"/>
    </row>
    <row r="534" spans="2:10" ht="15.75" customHeight="1">
      <c r="B534" s="32"/>
      <c r="C534" s="38"/>
      <c r="D534" s="34"/>
      <c r="E534" s="35"/>
      <c r="F534" s="35"/>
      <c r="G534" s="36"/>
      <c r="H534" s="36"/>
      <c r="I534" s="36"/>
      <c r="J534" s="14"/>
    </row>
    <row r="535" spans="2:10" ht="15.75" customHeight="1">
      <c r="B535" s="32"/>
      <c r="C535" s="38"/>
      <c r="D535" s="34"/>
      <c r="E535" s="35"/>
      <c r="F535" s="35"/>
      <c r="G535" s="36"/>
      <c r="H535" s="36"/>
      <c r="I535" s="36"/>
      <c r="J535" s="14"/>
    </row>
    <row r="536" spans="2:10" ht="15.75" customHeight="1">
      <c r="B536" s="32"/>
      <c r="C536" s="38"/>
      <c r="D536" s="34"/>
      <c r="E536" s="35"/>
      <c r="F536" s="35"/>
      <c r="G536" s="36"/>
      <c r="H536" s="36"/>
      <c r="I536" s="36"/>
      <c r="J536" s="14"/>
    </row>
    <row r="537" spans="2:10" ht="15.75" customHeight="1">
      <c r="B537" s="32"/>
      <c r="C537" s="38"/>
      <c r="D537" s="34"/>
      <c r="E537" s="35"/>
      <c r="F537" s="35"/>
      <c r="G537" s="36"/>
      <c r="H537" s="36"/>
      <c r="I537" s="36"/>
      <c r="J537" s="14"/>
    </row>
    <row r="538" spans="2:10" ht="15.75" customHeight="1">
      <c r="B538" s="32"/>
      <c r="C538" s="38"/>
      <c r="D538" s="34"/>
      <c r="E538" s="35"/>
      <c r="F538" s="35"/>
      <c r="G538" s="36"/>
      <c r="H538" s="36"/>
      <c r="I538" s="36"/>
      <c r="J538" s="14"/>
    </row>
    <row r="539" spans="2:10" ht="15.75" customHeight="1">
      <c r="B539" s="32"/>
      <c r="C539" s="38"/>
      <c r="D539" s="34"/>
      <c r="E539" s="35"/>
      <c r="F539" s="35"/>
      <c r="G539" s="36"/>
      <c r="H539" s="36"/>
      <c r="I539" s="36"/>
      <c r="J539" s="14"/>
    </row>
    <row r="540" spans="2:10" ht="15.75" customHeight="1">
      <c r="B540" s="32"/>
      <c r="C540" s="38"/>
      <c r="D540" s="34"/>
      <c r="E540" s="35"/>
      <c r="F540" s="35"/>
      <c r="G540" s="36"/>
      <c r="H540" s="36"/>
      <c r="I540" s="36"/>
      <c r="J540" s="14"/>
    </row>
    <row r="541" spans="2:10" ht="15.75" customHeight="1">
      <c r="B541" s="32"/>
      <c r="C541" s="38"/>
      <c r="D541" s="34"/>
      <c r="E541" s="35"/>
      <c r="F541" s="35"/>
      <c r="G541" s="36"/>
      <c r="H541" s="36"/>
      <c r="I541" s="36"/>
      <c r="J541" s="14"/>
    </row>
    <row r="542" spans="2:10" ht="15.75" customHeight="1">
      <c r="B542" s="32"/>
      <c r="C542" s="38"/>
      <c r="D542" s="34"/>
      <c r="E542" s="35"/>
      <c r="F542" s="35"/>
      <c r="G542" s="36"/>
      <c r="H542" s="36"/>
      <c r="I542" s="36"/>
      <c r="J542" s="14"/>
    </row>
    <row r="543" spans="2:10" ht="15.75" customHeight="1">
      <c r="B543" s="32"/>
      <c r="C543" s="38"/>
      <c r="D543" s="34"/>
      <c r="E543" s="35"/>
      <c r="F543" s="35"/>
      <c r="G543" s="36"/>
      <c r="H543" s="36"/>
      <c r="I543" s="36"/>
      <c r="J543" s="14"/>
    </row>
    <row r="544" spans="2:10" ht="15.75" customHeight="1">
      <c r="B544" s="32"/>
      <c r="C544" s="38"/>
      <c r="D544" s="34"/>
      <c r="E544" s="35"/>
      <c r="F544" s="35"/>
      <c r="G544" s="36"/>
      <c r="H544" s="36"/>
      <c r="I544" s="36"/>
      <c r="J544" s="14"/>
    </row>
    <row r="545" spans="2:10" ht="15.75" customHeight="1">
      <c r="B545" s="32"/>
      <c r="C545" s="38"/>
      <c r="D545" s="34"/>
      <c r="E545" s="35"/>
      <c r="F545" s="35"/>
      <c r="G545" s="36"/>
      <c r="H545" s="36"/>
      <c r="I545" s="36"/>
      <c r="J545" s="14"/>
    </row>
    <row r="546" spans="2:10" ht="15.75" customHeight="1">
      <c r="B546" s="32"/>
      <c r="C546" s="38"/>
      <c r="D546" s="34"/>
      <c r="E546" s="35"/>
      <c r="F546" s="35"/>
      <c r="G546" s="36"/>
      <c r="H546" s="36"/>
      <c r="I546" s="36"/>
      <c r="J546" s="14"/>
    </row>
    <row r="547" spans="2:10" ht="15.75" customHeight="1">
      <c r="B547" s="32"/>
      <c r="C547" s="38"/>
      <c r="D547" s="34"/>
      <c r="E547" s="35"/>
      <c r="F547" s="35"/>
      <c r="G547" s="36"/>
      <c r="H547" s="36"/>
      <c r="I547" s="36"/>
      <c r="J547" s="14"/>
    </row>
    <row r="548" spans="2:10" ht="15.75" customHeight="1">
      <c r="B548" s="32"/>
      <c r="C548" s="38"/>
      <c r="D548" s="34"/>
      <c r="E548" s="35"/>
      <c r="F548" s="35"/>
      <c r="G548" s="36"/>
      <c r="H548" s="36"/>
      <c r="I548" s="36"/>
      <c r="J548" s="14"/>
    </row>
    <row r="549" spans="2:10" ht="15.75" customHeight="1">
      <c r="B549" s="32"/>
      <c r="C549" s="38"/>
      <c r="D549" s="34"/>
      <c r="E549" s="35"/>
      <c r="F549" s="35"/>
      <c r="G549" s="36"/>
      <c r="H549" s="36"/>
      <c r="I549" s="36"/>
      <c r="J549" s="14"/>
    </row>
    <row r="550" spans="2:10" ht="15.75" customHeight="1">
      <c r="B550" s="32"/>
      <c r="C550" s="38"/>
      <c r="D550" s="34"/>
      <c r="E550" s="35"/>
      <c r="F550" s="35"/>
      <c r="G550" s="36"/>
      <c r="H550" s="36"/>
      <c r="I550" s="36"/>
      <c r="J550" s="14"/>
    </row>
    <row r="551" spans="2:10" ht="15.75" customHeight="1">
      <c r="B551" s="32"/>
      <c r="C551" s="38"/>
      <c r="D551" s="34"/>
      <c r="E551" s="35"/>
      <c r="F551" s="35"/>
      <c r="G551" s="36"/>
      <c r="H551" s="36"/>
      <c r="I551" s="36"/>
      <c r="J551" s="14"/>
    </row>
    <row r="552" spans="2:10" ht="15.75" customHeight="1">
      <c r="B552" s="32"/>
      <c r="C552" s="38"/>
      <c r="D552" s="34"/>
      <c r="E552" s="35"/>
      <c r="F552" s="35"/>
      <c r="G552" s="36"/>
      <c r="H552" s="36"/>
      <c r="I552" s="36"/>
      <c r="J552" s="14"/>
    </row>
    <row r="553" spans="2:10" ht="15.75" customHeight="1">
      <c r="B553" s="32"/>
      <c r="C553" s="38"/>
      <c r="D553" s="34"/>
      <c r="E553" s="35"/>
      <c r="F553" s="35"/>
      <c r="G553" s="36"/>
      <c r="H553" s="36"/>
      <c r="I553" s="36"/>
      <c r="J553" s="14"/>
    </row>
    <row r="554" spans="2:10" ht="15.75" customHeight="1">
      <c r="B554" s="32"/>
      <c r="C554" s="38"/>
      <c r="D554" s="34"/>
      <c r="E554" s="35"/>
      <c r="F554" s="35"/>
      <c r="G554" s="36"/>
      <c r="H554" s="36"/>
      <c r="I554" s="36"/>
      <c r="J554" s="14"/>
    </row>
    <row r="555" spans="2:10" ht="15.75" customHeight="1">
      <c r="B555" s="32"/>
      <c r="C555" s="38"/>
      <c r="D555" s="34"/>
      <c r="E555" s="35"/>
      <c r="F555" s="35"/>
      <c r="G555" s="36"/>
      <c r="H555" s="36"/>
      <c r="I555" s="36"/>
      <c r="J555" s="14"/>
    </row>
    <row r="556" spans="2:10" ht="15.75" customHeight="1">
      <c r="B556" s="32"/>
      <c r="C556" s="38"/>
      <c r="D556" s="34"/>
      <c r="E556" s="35"/>
      <c r="F556" s="35"/>
      <c r="G556" s="36"/>
      <c r="H556" s="36"/>
      <c r="I556" s="36"/>
      <c r="J556" s="14"/>
    </row>
    <row r="557" spans="2:10" ht="15.75" customHeight="1">
      <c r="B557" s="32"/>
      <c r="C557" s="38"/>
      <c r="D557" s="34"/>
      <c r="E557" s="35"/>
      <c r="F557" s="35"/>
      <c r="G557" s="36"/>
      <c r="H557" s="36"/>
      <c r="I557" s="36"/>
      <c r="J557" s="14"/>
    </row>
    <row r="558" spans="2:10" ht="15.75" customHeight="1">
      <c r="B558" s="32"/>
      <c r="C558" s="38"/>
      <c r="D558" s="34"/>
      <c r="E558" s="35"/>
      <c r="F558" s="35"/>
      <c r="G558" s="36"/>
      <c r="H558" s="36"/>
      <c r="I558" s="36"/>
      <c r="J558" s="14"/>
    </row>
    <row r="559" spans="2:10" ht="15.75" customHeight="1">
      <c r="B559" s="32"/>
      <c r="C559" s="38"/>
      <c r="D559" s="34"/>
      <c r="E559" s="35"/>
      <c r="F559" s="35"/>
      <c r="G559" s="36"/>
      <c r="H559" s="36"/>
      <c r="I559" s="36"/>
      <c r="J559" s="14"/>
    </row>
    <row r="560" spans="2:10" ht="15.75" customHeight="1">
      <c r="B560" s="32"/>
      <c r="C560" s="38"/>
      <c r="D560" s="34"/>
      <c r="E560" s="35"/>
      <c r="F560" s="35"/>
      <c r="G560" s="36"/>
      <c r="H560" s="36"/>
      <c r="I560" s="36"/>
      <c r="J560" s="14"/>
    </row>
    <row r="561" spans="2:10" ht="15.75" customHeight="1">
      <c r="B561" s="32"/>
      <c r="C561" s="38"/>
      <c r="D561" s="34"/>
      <c r="E561" s="35"/>
      <c r="F561" s="35"/>
      <c r="G561" s="36"/>
      <c r="H561" s="36"/>
      <c r="I561" s="36"/>
      <c r="J561" s="14"/>
    </row>
    <row r="562" spans="2:10" ht="15.75" customHeight="1">
      <c r="B562" s="32"/>
      <c r="C562" s="38"/>
      <c r="D562" s="34"/>
      <c r="E562" s="35"/>
      <c r="F562" s="35"/>
      <c r="G562" s="36"/>
      <c r="H562" s="36"/>
      <c r="I562" s="36"/>
      <c r="J562" s="14"/>
    </row>
    <row r="563" spans="2:10" ht="15.75" customHeight="1">
      <c r="B563" s="32"/>
      <c r="C563" s="38"/>
      <c r="D563" s="34"/>
      <c r="E563" s="35"/>
      <c r="F563" s="35"/>
      <c r="G563" s="36"/>
      <c r="H563" s="36"/>
      <c r="I563" s="36"/>
      <c r="J563" s="14"/>
    </row>
    <row r="564" spans="2:10" ht="15.75" customHeight="1">
      <c r="B564" s="32"/>
      <c r="C564" s="38"/>
      <c r="D564" s="34"/>
      <c r="E564" s="35"/>
      <c r="F564" s="35"/>
      <c r="G564" s="36"/>
      <c r="H564" s="36"/>
      <c r="I564" s="36"/>
      <c r="J564" s="14"/>
    </row>
    <row r="565" spans="2:10" ht="15.75" customHeight="1">
      <c r="B565" s="32"/>
      <c r="C565" s="38"/>
      <c r="D565" s="34"/>
      <c r="E565" s="35"/>
      <c r="F565" s="35"/>
      <c r="G565" s="36"/>
      <c r="H565" s="36"/>
      <c r="I565" s="36"/>
      <c r="J565" s="14"/>
    </row>
    <row r="566" spans="2:10" ht="15.75" customHeight="1">
      <c r="B566" s="32"/>
      <c r="C566" s="38"/>
      <c r="D566" s="34"/>
      <c r="E566" s="35"/>
      <c r="F566" s="35"/>
      <c r="G566" s="36"/>
      <c r="H566" s="36"/>
      <c r="I566" s="36"/>
      <c r="J566" s="14"/>
    </row>
    <row r="567" spans="2:10" ht="15.75" customHeight="1">
      <c r="B567" s="32"/>
      <c r="C567" s="38"/>
      <c r="D567" s="34"/>
      <c r="E567" s="35"/>
      <c r="F567" s="35"/>
      <c r="G567" s="36"/>
      <c r="H567" s="36"/>
      <c r="I567" s="36"/>
      <c r="J567" s="14"/>
    </row>
    <row r="568" spans="2:10" ht="15.75" customHeight="1">
      <c r="B568" s="32"/>
      <c r="C568" s="38"/>
      <c r="D568" s="34"/>
      <c r="E568" s="35"/>
      <c r="F568" s="35"/>
      <c r="G568" s="36"/>
      <c r="H568" s="36"/>
      <c r="I568" s="36"/>
      <c r="J568" s="14"/>
    </row>
    <row r="569" spans="2:10" ht="15.75" customHeight="1">
      <c r="B569" s="32"/>
      <c r="C569" s="38"/>
      <c r="D569" s="34"/>
      <c r="E569" s="35"/>
      <c r="F569" s="35"/>
      <c r="G569" s="36"/>
      <c r="H569" s="36"/>
      <c r="I569" s="36"/>
      <c r="J569" s="14"/>
    </row>
    <row r="570" spans="2:10" ht="15.75" customHeight="1">
      <c r="B570" s="32"/>
      <c r="C570" s="38"/>
      <c r="D570" s="34"/>
      <c r="E570" s="35"/>
      <c r="F570" s="35"/>
      <c r="G570" s="36"/>
      <c r="H570" s="36"/>
      <c r="I570" s="36"/>
      <c r="J570" s="14"/>
    </row>
    <row r="571" spans="2:10" ht="15.75" customHeight="1">
      <c r="B571" s="32"/>
      <c r="C571" s="38"/>
      <c r="D571" s="34"/>
      <c r="E571" s="35"/>
      <c r="F571" s="35"/>
      <c r="G571" s="36"/>
      <c r="H571" s="36"/>
      <c r="I571" s="36"/>
      <c r="J571" s="14"/>
    </row>
    <row r="572" spans="2:10" ht="15.75" customHeight="1">
      <c r="B572" s="32"/>
      <c r="C572" s="38"/>
      <c r="D572" s="34"/>
      <c r="E572" s="35"/>
      <c r="F572" s="35"/>
      <c r="G572" s="36"/>
      <c r="H572" s="36"/>
      <c r="I572" s="36"/>
      <c r="J572" s="14"/>
    </row>
    <row r="573" spans="2:10" ht="15.75" customHeight="1">
      <c r="B573" s="32"/>
      <c r="C573" s="38"/>
      <c r="D573" s="34"/>
      <c r="E573" s="35"/>
      <c r="F573" s="35"/>
      <c r="G573" s="36"/>
      <c r="H573" s="36"/>
      <c r="I573" s="36"/>
      <c r="J573" s="14"/>
    </row>
    <row r="574" spans="2:10" ht="15.75" customHeight="1">
      <c r="B574" s="32"/>
      <c r="C574" s="38"/>
      <c r="D574" s="34"/>
      <c r="E574" s="35"/>
      <c r="F574" s="35"/>
      <c r="G574" s="36"/>
      <c r="H574" s="36"/>
      <c r="I574" s="36"/>
      <c r="J574" s="14"/>
    </row>
    <row r="575" spans="2:10" ht="15.75" customHeight="1">
      <c r="B575" s="32"/>
      <c r="C575" s="38"/>
      <c r="D575" s="34"/>
      <c r="E575" s="35"/>
      <c r="F575" s="35"/>
      <c r="G575" s="36"/>
      <c r="H575" s="36"/>
      <c r="I575" s="36"/>
      <c r="J575" s="14"/>
    </row>
    <row r="576" spans="2:10" ht="15.75" customHeight="1">
      <c r="B576" s="32"/>
      <c r="C576" s="38"/>
      <c r="D576" s="34"/>
      <c r="E576" s="35"/>
      <c r="F576" s="35"/>
      <c r="G576" s="36"/>
      <c r="H576" s="36"/>
      <c r="I576" s="36"/>
      <c r="J576" s="14"/>
    </row>
    <row r="577" spans="2:10" ht="15.75" customHeight="1">
      <c r="B577" s="32"/>
      <c r="C577" s="38"/>
      <c r="D577" s="34"/>
      <c r="E577" s="35"/>
      <c r="F577" s="35"/>
      <c r="G577" s="36"/>
      <c r="H577" s="36"/>
      <c r="I577" s="36"/>
      <c r="J577" s="14"/>
    </row>
    <row r="578" spans="2:10" ht="15.75" customHeight="1">
      <c r="B578" s="32"/>
      <c r="C578" s="38"/>
      <c r="D578" s="34"/>
      <c r="E578" s="35"/>
      <c r="F578" s="35"/>
      <c r="G578" s="36"/>
      <c r="H578" s="36"/>
      <c r="I578" s="36"/>
      <c r="J578" s="14"/>
    </row>
    <row r="579" spans="2:10" ht="15.75" customHeight="1">
      <c r="B579" s="32"/>
      <c r="C579" s="38"/>
      <c r="D579" s="34"/>
      <c r="E579" s="35"/>
      <c r="F579" s="35"/>
      <c r="G579" s="36"/>
      <c r="H579" s="36"/>
      <c r="I579" s="36"/>
      <c r="J579" s="14"/>
    </row>
    <row r="580" spans="2:10" ht="15.75" customHeight="1">
      <c r="B580" s="32"/>
      <c r="C580" s="38"/>
      <c r="D580" s="34"/>
      <c r="E580" s="35"/>
      <c r="F580" s="35"/>
      <c r="G580" s="36"/>
      <c r="H580" s="36"/>
      <c r="I580" s="36"/>
      <c r="J580" s="14"/>
    </row>
    <row r="581" spans="2:10" ht="15.75" customHeight="1">
      <c r="B581" s="32"/>
      <c r="C581" s="38"/>
      <c r="D581" s="34"/>
      <c r="E581" s="35"/>
      <c r="F581" s="35"/>
      <c r="G581" s="36"/>
      <c r="H581" s="36"/>
      <c r="I581" s="36"/>
      <c r="J581" s="14"/>
    </row>
    <row r="582" spans="2:10" ht="15.75" customHeight="1">
      <c r="B582" s="32"/>
      <c r="C582" s="38"/>
      <c r="D582" s="34"/>
      <c r="E582" s="35"/>
      <c r="F582" s="35"/>
      <c r="G582" s="36"/>
      <c r="H582" s="36"/>
      <c r="I582" s="36"/>
      <c r="J582" s="14"/>
    </row>
    <row r="583" spans="2:10" ht="15.75" customHeight="1">
      <c r="B583" s="32"/>
      <c r="C583" s="38"/>
      <c r="D583" s="34"/>
      <c r="E583" s="35"/>
      <c r="F583" s="35"/>
      <c r="G583" s="36"/>
      <c r="H583" s="36"/>
      <c r="I583" s="36"/>
      <c r="J583" s="14"/>
    </row>
    <row r="584" spans="2:10" ht="15.75" customHeight="1">
      <c r="B584" s="32"/>
      <c r="C584" s="38"/>
      <c r="D584" s="34"/>
      <c r="E584" s="35"/>
      <c r="F584" s="35"/>
      <c r="G584" s="36"/>
      <c r="H584" s="36"/>
      <c r="I584" s="36"/>
      <c r="J584" s="14"/>
    </row>
    <row r="585" spans="2:10" ht="15.75" customHeight="1">
      <c r="B585" s="32"/>
      <c r="C585" s="38"/>
      <c r="D585" s="34"/>
      <c r="E585" s="35"/>
      <c r="F585" s="35"/>
      <c r="G585" s="36"/>
      <c r="H585" s="36"/>
      <c r="I585" s="36"/>
      <c r="J585" s="14"/>
    </row>
    <row r="586" spans="2:10" ht="15.75" customHeight="1">
      <c r="B586" s="32"/>
      <c r="C586" s="38"/>
      <c r="D586" s="34"/>
      <c r="E586" s="35"/>
      <c r="F586" s="35"/>
      <c r="G586" s="36"/>
      <c r="H586" s="36"/>
      <c r="I586" s="36"/>
      <c r="J586" s="14"/>
    </row>
    <row r="587" spans="2:10" ht="15.75" customHeight="1">
      <c r="B587" s="32"/>
      <c r="C587" s="38"/>
      <c r="D587" s="34"/>
      <c r="E587" s="35"/>
      <c r="F587" s="35"/>
      <c r="G587" s="36"/>
      <c r="H587" s="36"/>
      <c r="I587" s="36"/>
      <c r="J587" s="14"/>
    </row>
    <row r="588" spans="2:10" ht="15.75" customHeight="1">
      <c r="B588" s="32"/>
      <c r="C588" s="38"/>
      <c r="D588" s="34"/>
      <c r="E588" s="35"/>
      <c r="F588" s="35"/>
      <c r="G588" s="36"/>
      <c r="H588" s="36"/>
      <c r="I588" s="36"/>
      <c r="J588" s="14"/>
    </row>
    <row r="589" spans="2:10" ht="15.75" customHeight="1">
      <c r="B589" s="32"/>
      <c r="C589" s="38"/>
      <c r="D589" s="34"/>
      <c r="E589" s="35"/>
      <c r="F589" s="35"/>
      <c r="G589" s="36"/>
      <c r="H589" s="36"/>
      <c r="I589" s="36"/>
      <c r="J589" s="14"/>
    </row>
    <row r="590" spans="2:10" ht="15.75" customHeight="1">
      <c r="B590" s="32"/>
      <c r="C590" s="38"/>
      <c r="D590" s="34"/>
      <c r="E590" s="35"/>
      <c r="F590" s="35"/>
      <c r="G590" s="36"/>
      <c r="H590" s="36"/>
      <c r="I590" s="36"/>
      <c r="J590" s="14"/>
    </row>
    <row r="591" spans="2:10" ht="15.75" customHeight="1">
      <c r="B591" s="32"/>
      <c r="C591" s="38"/>
      <c r="D591" s="34"/>
      <c r="E591" s="35"/>
      <c r="F591" s="35"/>
      <c r="G591" s="36"/>
      <c r="H591" s="36"/>
      <c r="I591" s="36"/>
      <c r="J591" s="14"/>
    </row>
    <row r="592" spans="2:10" ht="15.75" customHeight="1">
      <c r="B592" s="32"/>
      <c r="C592" s="38"/>
      <c r="D592" s="34"/>
      <c r="E592" s="35"/>
      <c r="F592" s="35"/>
      <c r="G592" s="36"/>
      <c r="H592" s="36"/>
      <c r="I592" s="36"/>
      <c r="J592" s="14"/>
    </row>
    <row r="593" spans="2:10" ht="15.75" customHeight="1">
      <c r="B593" s="32"/>
      <c r="C593" s="38"/>
      <c r="D593" s="34"/>
      <c r="E593" s="35"/>
      <c r="F593" s="35"/>
      <c r="G593" s="36"/>
      <c r="H593" s="36"/>
      <c r="I593" s="36"/>
      <c r="J593" s="14"/>
    </row>
    <row r="594" spans="2:10" ht="15.75" customHeight="1">
      <c r="B594" s="32"/>
      <c r="C594" s="38"/>
      <c r="D594" s="34"/>
      <c r="E594" s="35"/>
      <c r="F594" s="35"/>
      <c r="G594" s="36"/>
      <c r="H594" s="36"/>
      <c r="I594" s="36"/>
      <c r="J594" s="14"/>
    </row>
    <row r="595" spans="2:10" ht="15.75" customHeight="1">
      <c r="B595" s="32"/>
      <c r="C595" s="38"/>
      <c r="D595" s="34"/>
      <c r="E595" s="35"/>
      <c r="F595" s="35"/>
      <c r="G595" s="36"/>
      <c r="H595" s="36"/>
      <c r="I595" s="36"/>
      <c r="J595" s="14"/>
    </row>
    <row r="596" spans="2:10" ht="15.75" customHeight="1">
      <c r="B596" s="32"/>
      <c r="C596" s="38"/>
      <c r="D596" s="34"/>
      <c r="E596" s="35"/>
      <c r="F596" s="35"/>
      <c r="G596" s="36"/>
      <c r="H596" s="36"/>
      <c r="I596" s="36"/>
      <c r="J596" s="14"/>
    </row>
    <row r="597" spans="2:10" ht="15.75" customHeight="1">
      <c r="B597" s="32"/>
      <c r="C597" s="38"/>
      <c r="D597" s="34"/>
      <c r="E597" s="35"/>
      <c r="F597" s="35"/>
      <c r="G597" s="36"/>
      <c r="H597" s="36"/>
      <c r="I597" s="36"/>
      <c r="J597" s="14"/>
    </row>
    <row r="598" spans="2:10" ht="15.75" customHeight="1">
      <c r="B598" s="32"/>
      <c r="C598" s="38"/>
      <c r="D598" s="34"/>
      <c r="E598" s="35"/>
      <c r="F598" s="35"/>
      <c r="G598" s="36"/>
      <c r="H598" s="36"/>
      <c r="I598" s="36"/>
      <c r="J598" s="14"/>
    </row>
    <row r="599" spans="2:10" ht="15.75" customHeight="1">
      <c r="B599" s="32"/>
      <c r="C599" s="38"/>
      <c r="D599" s="34"/>
      <c r="E599" s="35"/>
      <c r="F599" s="35"/>
      <c r="G599" s="36"/>
      <c r="H599" s="36"/>
      <c r="I599" s="36"/>
      <c r="J599" s="14"/>
    </row>
    <row r="600" spans="2:10" ht="15.75" customHeight="1">
      <c r="B600" s="32"/>
      <c r="C600" s="38"/>
      <c r="D600" s="34"/>
      <c r="E600" s="35"/>
      <c r="F600" s="35"/>
      <c r="G600" s="36"/>
      <c r="H600" s="36"/>
      <c r="I600" s="36"/>
      <c r="J600" s="14"/>
    </row>
    <row r="601" spans="2:10" ht="15.75" customHeight="1">
      <c r="B601" s="32"/>
      <c r="C601" s="38"/>
      <c r="D601" s="34"/>
      <c r="E601" s="35"/>
      <c r="F601" s="35"/>
      <c r="G601" s="36"/>
      <c r="H601" s="36"/>
      <c r="I601" s="36"/>
      <c r="J601" s="14"/>
    </row>
    <row r="602" spans="2:10" ht="15.75" customHeight="1">
      <c r="B602" s="32"/>
      <c r="C602" s="38"/>
      <c r="D602" s="34"/>
      <c r="E602" s="35"/>
      <c r="F602" s="35"/>
      <c r="G602" s="36"/>
      <c r="H602" s="36"/>
      <c r="I602" s="36"/>
      <c r="J602" s="14"/>
    </row>
    <row r="603" spans="2:10" ht="15.75" customHeight="1">
      <c r="B603" s="32"/>
      <c r="C603" s="38"/>
      <c r="D603" s="34"/>
      <c r="E603" s="35"/>
      <c r="F603" s="35"/>
      <c r="G603" s="36"/>
      <c r="H603" s="36"/>
      <c r="I603" s="36"/>
      <c r="J603" s="14"/>
    </row>
    <row r="604" spans="2:10" ht="15.75" customHeight="1">
      <c r="B604" s="32"/>
      <c r="C604" s="38"/>
      <c r="D604" s="34"/>
      <c r="E604" s="35"/>
      <c r="F604" s="35"/>
      <c r="G604" s="36"/>
      <c r="H604" s="36"/>
      <c r="I604" s="36"/>
      <c r="J604" s="14"/>
    </row>
    <row r="605" spans="2:10" ht="15.75" customHeight="1">
      <c r="B605" s="32"/>
      <c r="C605" s="38"/>
      <c r="D605" s="34"/>
      <c r="E605" s="35"/>
      <c r="F605" s="35"/>
      <c r="G605" s="36"/>
      <c r="H605" s="36"/>
      <c r="I605" s="36"/>
      <c r="J605" s="14"/>
    </row>
    <row r="606" spans="2:10" ht="15.75" customHeight="1">
      <c r="B606" s="32"/>
      <c r="C606" s="38"/>
      <c r="D606" s="34"/>
      <c r="E606" s="35"/>
      <c r="F606" s="35"/>
      <c r="G606" s="36"/>
      <c r="H606" s="36"/>
      <c r="I606" s="36"/>
      <c r="J606" s="14"/>
    </row>
    <row r="607" spans="2:10" ht="15.75" customHeight="1">
      <c r="B607" s="32"/>
      <c r="C607" s="38"/>
      <c r="D607" s="34"/>
      <c r="E607" s="35"/>
      <c r="F607" s="35"/>
      <c r="G607" s="36"/>
      <c r="H607" s="36"/>
      <c r="I607" s="36"/>
      <c r="J607" s="14"/>
    </row>
    <row r="608" spans="2:10" ht="15.75" customHeight="1">
      <c r="B608" s="32"/>
      <c r="C608" s="38"/>
      <c r="D608" s="34"/>
      <c r="E608" s="35"/>
      <c r="F608" s="35"/>
      <c r="G608" s="36"/>
      <c r="H608" s="36"/>
      <c r="I608" s="36"/>
      <c r="J608" s="14"/>
    </row>
    <row r="609" spans="2:10" ht="15.75" customHeight="1">
      <c r="B609" s="32"/>
      <c r="C609" s="38"/>
      <c r="D609" s="34"/>
      <c r="E609" s="35"/>
      <c r="F609" s="35"/>
      <c r="G609" s="36"/>
      <c r="H609" s="36"/>
      <c r="I609" s="36"/>
      <c r="J609" s="14"/>
    </row>
    <row r="610" spans="2:10" ht="15.75" customHeight="1">
      <c r="B610" s="32"/>
      <c r="C610" s="38"/>
      <c r="D610" s="34"/>
      <c r="E610" s="35"/>
      <c r="F610" s="35"/>
      <c r="G610" s="36"/>
      <c r="H610" s="36"/>
      <c r="I610" s="36"/>
      <c r="J610" s="14"/>
    </row>
    <row r="611" spans="2:10" ht="15.75" customHeight="1">
      <c r="B611" s="32"/>
      <c r="C611" s="38"/>
      <c r="D611" s="34"/>
      <c r="E611" s="35"/>
      <c r="F611" s="35"/>
      <c r="G611" s="36"/>
      <c r="H611" s="36"/>
      <c r="I611" s="36"/>
      <c r="J611" s="14"/>
    </row>
    <row r="612" spans="2:10" ht="15.75" customHeight="1">
      <c r="B612" s="32"/>
      <c r="C612" s="38"/>
      <c r="D612" s="34"/>
      <c r="E612" s="35"/>
      <c r="F612" s="35"/>
      <c r="G612" s="36"/>
      <c r="H612" s="36"/>
      <c r="I612" s="36"/>
      <c r="J612" s="14"/>
    </row>
    <row r="613" spans="2:10" ht="15.75" customHeight="1">
      <c r="B613" s="32"/>
      <c r="C613" s="38"/>
      <c r="D613" s="34"/>
      <c r="E613" s="35"/>
      <c r="F613" s="35"/>
      <c r="G613" s="36"/>
      <c r="H613" s="36"/>
      <c r="I613" s="36"/>
      <c r="J613" s="14"/>
    </row>
    <row r="614" spans="2:10" ht="15.75" customHeight="1">
      <c r="B614" s="32"/>
      <c r="C614" s="38"/>
      <c r="D614" s="34"/>
      <c r="E614" s="35"/>
      <c r="F614" s="35"/>
      <c r="G614" s="36"/>
      <c r="H614" s="36"/>
      <c r="I614" s="36"/>
      <c r="J614" s="14"/>
    </row>
    <row r="615" spans="2:10" ht="15.75" customHeight="1">
      <c r="B615" s="32"/>
      <c r="C615" s="38"/>
      <c r="D615" s="34"/>
      <c r="E615" s="35"/>
      <c r="F615" s="35"/>
      <c r="G615" s="36"/>
      <c r="H615" s="36"/>
      <c r="I615" s="36"/>
      <c r="J615" s="14"/>
    </row>
    <row r="616" spans="2:10" ht="15.75" customHeight="1">
      <c r="B616" s="32"/>
      <c r="C616" s="38"/>
      <c r="D616" s="34"/>
      <c r="E616" s="35"/>
      <c r="F616" s="35"/>
      <c r="G616" s="36"/>
      <c r="H616" s="36"/>
      <c r="I616" s="36"/>
      <c r="J616" s="14"/>
    </row>
    <row r="617" spans="2:10" ht="15.75" customHeight="1">
      <c r="B617" s="32"/>
      <c r="C617" s="38"/>
      <c r="D617" s="34"/>
      <c r="E617" s="35"/>
      <c r="F617" s="35"/>
      <c r="G617" s="36"/>
      <c r="H617" s="36"/>
      <c r="I617" s="36"/>
      <c r="J617" s="14"/>
    </row>
    <row r="618" spans="2:10" ht="15.75" customHeight="1">
      <c r="B618" s="32"/>
      <c r="C618" s="38"/>
      <c r="D618" s="34"/>
      <c r="E618" s="35"/>
      <c r="F618" s="35"/>
      <c r="G618" s="36"/>
      <c r="H618" s="36"/>
      <c r="I618" s="36"/>
      <c r="J618" s="14"/>
    </row>
    <row r="619" spans="2:10" ht="15.75" customHeight="1">
      <c r="B619" s="32"/>
      <c r="C619" s="38"/>
      <c r="D619" s="34"/>
      <c r="E619" s="35"/>
      <c r="F619" s="35"/>
      <c r="G619" s="36"/>
      <c r="H619" s="36"/>
      <c r="I619" s="36"/>
      <c r="J619" s="14"/>
    </row>
    <row r="620" spans="2:10" ht="15.75" customHeight="1">
      <c r="B620" s="32"/>
      <c r="C620" s="38"/>
      <c r="D620" s="34"/>
      <c r="E620" s="35"/>
      <c r="F620" s="35"/>
      <c r="G620" s="36"/>
      <c r="H620" s="36"/>
      <c r="I620" s="36"/>
      <c r="J620" s="14"/>
    </row>
    <row r="621" spans="2:10" ht="15.75" customHeight="1">
      <c r="B621" s="32"/>
      <c r="C621" s="38"/>
      <c r="D621" s="34"/>
      <c r="E621" s="35"/>
      <c r="F621" s="35"/>
      <c r="G621" s="36"/>
      <c r="H621" s="36"/>
      <c r="I621" s="36"/>
      <c r="J621" s="14"/>
    </row>
    <row r="622" spans="2:10" ht="15.75" customHeight="1">
      <c r="B622" s="32"/>
      <c r="C622" s="38"/>
      <c r="D622" s="34"/>
      <c r="E622" s="35"/>
      <c r="F622" s="35"/>
      <c r="G622" s="36"/>
      <c r="H622" s="36"/>
      <c r="I622" s="36"/>
      <c r="J622" s="14"/>
    </row>
    <row r="623" spans="2:10" ht="15.75" customHeight="1">
      <c r="B623" s="32"/>
      <c r="C623" s="38"/>
      <c r="D623" s="34"/>
      <c r="E623" s="35"/>
      <c r="F623" s="35"/>
      <c r="G623" s="36"/>
      <c r="H623" s="36"/>
      <c r="I623" s="36"/>
      <c r="J623" s="14"/>
    </row>
    <row r="624" spans="2:10" ht="15.75" customHeight="1">
      <c r="B624" s="32"/>
      <c r="C624" s="38"/>
      <c r="D624" s="34"/>
      <c r="E624" s="35"/>
      <c r="F624" s="35"/>
      <c r="G624" s="36"/>
      <c r="H624" s="36"/>
      <c r="I624" s="36"/>
      <c r="J624" s="14"/>
    </row>
    <row r="625" spans="2:10" ht="15.75" customHeight="1">
      <c r="B625" s="32"/>
      <c r="C625" s="38"/>
      <c r="D625" s="34"/>
      <c r="E625" s="35"/>
      <c r="F625" s="35"/>
      <c r="G625" s="36"/>
      <c r="H625" s="36"/>
      <c r="I625" s="36"/>
      <c r="J625" s="14"/>
    </row>
    <row r="626" spans="2:10" ht="15.75" customHeight="1">
      <c r="B626" s="32"/>
      <c r="C626" s="38"/>
      <c r="D626" s="34"/>
      <c r="E626" s="35"/>
      <c r="F626" s="35"/>
      <c r="G626" s="36"/>
      <c r="H626" s="36"/>
      <c r="I626" s="36"/>
      <c r="J626" s="14"/>
    </row>
    <row r="627" spans="2:10" ht="15.75" customHeight="1">
      <c r="B627" s="32"/>
      <c r="C627" s="38"/>
      <c r="D627" s="34"/>
      <c r="E627" s="35"/>
      <c r="F627" s="35"/>
      <c r="G627" s="36"/>
      <c r="H627" s="36"/>
      <c r="I627" s="36"/>
      <c r="J627" s="14"/>
    </row>
    <row r="628" spans="2:10" ht="15.75" customHeight="1">
      <c r="B628" s="32"/>
      <c r="C628" s="38"/>
      <c r="D628" s="34"/>
      <c r="E628" s="35"/>
      <c r="F628" s="35"/>
      <c r="G628" s="36"/>
      <c r="H628" s="36"/>
      <c r="I628" s="36"/>
      <c r="J628" s="14"/>
    </row>
    <row r="629" spans="2:10" ht="15.75" customHeight="1">
      <c r="B629" s="32"/>
      <c r="C629" s="38"/>
      <c r="D629" s="34"/>
      <c r="E629" s="35"/>
      <c r="F629" s="35"/>
      <c r="G629" s="36"/>
      <c r="H629" s="36"/>
      <c r="I629" s="36"/>
      <c r="J629" s="14"/>
    </row>
    <row r="630" spans="2:10" ht="15.75" customHeight="1">
      <c r="B630" s="32"/>
      <c r="C630" s="38"/>
      <c r="D630" s="34"/>
      <c r="E630" s="35"/>
      <c r="F630" s="35"/>
      <c r="G630" s="36"/>
      <c r="H630" s="36"/>
      <c r="I630" s="36"/>
      <c r="J630" s="14"/>
    </row>
    <row r="631" spans="2:10" ht="15.75" customHeight="1">
      <c r="B631" s="32"/>
      <c r="C631" s="38"/>
      <c r="D631" s="34"/>
      <c r="E631" s="35"/>
      <c r="F631" s="35"/>
      <c r="G631" s="36"/>
      <c r="H631" s="36"/>
      <c r="I631" s="36"/>
      <c r="J631" s="14"/>
    </row>
    <row r="632" spans="2:10" ht="15.75" customHeight="1">
      <c r="B632" s="32"/>
      <c r="C632" s="38"/>
      <c r="D632" s="34"/>
      <c r="E632" s="35"/>
      <c r="F632" s="35"/>
      <c r="G632" s="36"/>
      <c r="H632" s="36"/>
      <c r="I632" s="36"/>
      <c r="J632" s="14"/>
    </row>
    <row r="633" spans="2:10" ht="15.75" customHeight="1">
      <c r="B633" s="32"/>
      <c r="C633" s="38"/>
      <c r="D633" s="34"/>
      <c r="E633" s="35"/>
      <c r="F633" s="35"/>
      <c r="G633" s="36"/>
      <c r="H633" s="36"/>
      <c r="I633" s="36"/>
      <c r="J633" s="14"/>
    </row>
    <row r="634" spans="2:10" ht="15.75" customHeight="1">
      <c r="B634" s="32"/>
      <c r="C634" s="38"/>
      <c r="D634" s="34"/>
      <c r="E634" s="35"/>
      <c r="F634" s="35"/>
      <c r="G634" s="36"/>
      <c r="H634" s="36"/>
      <c r="I634" s="36"/>
      <c r="J634" s="14"/>
    </row>
    <row r="635" spans="2:10" ht="15.75" customHeight="1">
      <c r="B635" s="32"/>
      <c r="C635" s="38"/>
      <c r="D635" s="34"/>
      <c r="E635" s="35"/>
      <c r="F635" s="35"/>
      <c r="G635" s="36"/>
      <c r="H635" s="36"/>
      <c r="I635" s="36"/>
      <c r="J635" s="14"/>
    </row>
    <row r="636" spans="2:10" ht="15.75" customHeight="1">
      <c r="B636" s="32"/>
      <c r="C636" s="38"/>
      <c r="D636" s="34"/>
      <c r="E636" s="35"/>
      <c r="F636" s="35"/>
      <c r="G636" s="36"/>
      <c r="H636" s="36"/>
      <c r="I636" s="36"/>
      <c r="J636" s="14"/>
    </row>
    <row r="637" spans="2:10" ht="15.75" customHeight="1">
      <c r="B637" s="32"/>
      <c r="C637" s="38"/>
      <c r="D637" s="34"/>
      <c r="E637" s="35"/>
      <c r="F637" s="35"/>
      <c r="G637" s="36"/>
      <c r="H637" s="36"/>
      <c r="I637" s="36"/>
      <c r="J637" s="14"/>
    </row>
    <row r="638" spans="2:10" ht="15.75" customHeight="1">
      <c r="B638" s="32"/>
      <c r="C638" s="38"/>
      <c r="D638" s="34"/>
      <c r="E638" s="35"/>
      <c r="F638" s="35"/>
      <c r="G638" s="36"/>
      <c r="H638" s="36"/>
      <c r="I638" s="36"/>
      <c r="J638" s="14"/>
    </row>
    <row r="639" spans="2:10" ht="15.75" customHeight="1">
      <c r="B639" s="32"/>
      <c r="C639" s="38"/>
      <c r="D639" s="34"/>
      <c r="E639" s="35"/>
      <c r="F639" s="35"/>
      <c r="G639" s="36"/>
      <c r="H639" s="36"/>
      <c r="I639" s="36"/>
      <c r="J639" s="14"/>
    </row>
    <row r="640" spans="2:10" ht="15.75" customHeight="1">
      <c r="B640" s="32"/>
      <c r="C640" s="38"/>
      <c r="D640" s="34"/>
      <c r="E640" s="35"/>
      <c r="F640" s="35"/>
      <c r="G640" s="36"/>
      <c r="H640" s="36"/>
      <c r="I640" s="36"/>
      <c r="J640" s="14"/>
    </row>
    <row r="641" spans="2:10" ht="15.75" customHeight="1">
      <c r="B641" s="32"/>
      <c r="C641" s="38"/>
      <c r="D641" s="34"/>
      <c r="E641" s="35"/>
      <c r="F641" s="35"/>
      <c r="G641" s="36"/>
      <c r="H641" s="36"/>
      <c r="I641" s="36"/>
      <c r="J641" s="14"/>
    </row>
    <row r="642" spans="2:10" ht="15.75" customHeight="1">
      <c r="B642" s="32"/>
      <c r="C642" s="38"/>
      <c r="D642" s="34"/>
      <c r="E642" s="35"/>
      <c r="F642" s="35"/>
      <c r="G642" s="36"/>
      <c r="H642" s="36"/>
      <c r="I642" s="36"/>
      <c r="J642" s="14"/>
    </row>
    <row r="643" spans="2:10" ht="15.75" customHeight="1">
      <c r="B643" s="32"/>
      <c r="C643" s="38"/>
      <c r="D643" s="34"/>
      <c r="E643" s="35"/>
      <c r="F643" s="35"/>
      <c r="G643" s="36"/>
      <c r="H643" s="36"/>
      <c r="I643" s="36"/>
      <c r="J643" s="14"/>
    </row>
    <row r="644" spans="2:10" ht="15.75" customHeight="1">
      <c r="B644" s="32"/>
      <c r="C644" s="38"/>
      <c r="D644" s="34"/>
      <c r="E644" s="35"/>
      <c r="F644" s="35"/>
      <c r="G644" s="36"/>
      <c r="H644" s="36"/>
      <c r="I644" s="36"/>
      <c r="J644" s="14"/>
    </row>
    <row r="645" spans="2:10" ht="15.75" customHeight="1">
      <c r="B645" s="32"/>
      <c r="C645" s="38"/>
      <c r="D645" s="34"/>
      <c r="E645" s="35"/>
      <c r="F645" s="35"/>
      <c r="G645" s="36"/>
      <c r="H645" s="36"/>
      <c r="I645" s="36"/>
      <c r="J645" s="14"/>
    </row>
    <row r="646" spans="2:10" ht="15.75" customHeight="1">
      <c r="B646" s="32"/>
      <c r="C646" s="38"/>
      <c r="D646" s="34"/>
      <c r="E646" s="35"/>
      <c r="F646" s="35"/>
      <c r="G646" s="36"/>
      <c r="H646" s="36"/>
      <c r="I646" s="36"/>
      <c r="J646" s="14"/>
    </row>
    <row r="647" spans="2:10" ht="15.75" customHeight="1">
      <c r="B647" s="32"/>
      <c r="C647" s="38"/>
      <c r="D647" s="34"/>
      <c r="E647" s="35"/>
      <c r="F647" s="35"/>
      <c r="G647" s="36"/>
      <c r="H647" s="36"/>
      <c r="I647" s="36"/>
      <c r="J647" s="14"/>
    </row>
    <row r="648" spans="2:10" ht="15.75" customHeight="1">
      <c r="B648" s="32"/>
      <c r="C648" s="38"/>
      <c r="D648" s="34"/>
      <c r="E648" s="35"/>
      <c r="F648" s="35"/>
      <c r="G648" s="36"/>
      <c r="H648" s="36"/>
      <c r="I648" s="36"/>
      <c r="J648" s="14"/>
    </row>
    <row r="649" spans="2:10" ht="15.75" customHeight="1">
      <c r="B649" s="32"/>
      <c r="C649" s="38"/>
      <c r="D649" s="34"/>
      <c r="E649" s="35"/>
      <c r="F649" s="35"/>
      <c r="G649" s="36"/>
      <c r="H649" s="36"/>
      <c r="I649" s="36"/>
      <c r="J649" s="14"/>
    </row>
    <row r="650" spans="2:10" ht="15.75" customHeight="1">
      <c r="B650" s="32"/>
      <c r="C650" s="38"/>
      <c r="D650" s="34"/>
      <c r="E650" s="35"/>
      <c r="F650" s="35"/>
      <c r="G650" s="36"/>
      <c r="H650" s="36"/>
      <c r="I650" s="36"/>
      <c r="J650" s="14"/>
    </row>
    <row r="651" spans="2:10" ht="15.75" customHeight="1">
      <c r="B651" s="32"/>
      <c r="C651" s="38"/>
      <c r="D651" s="34"/>
      <c r="E651" s="35"/>
      <c r="F651" s="35"/>
      <c r="G651" s="36"/>
      <c r="H651" s="36"/>
      <c r="I651" s="36"/>
      <c r="J651" s="14"/>
    </row>
    <row r="652" spans="2:10" ht="15.75" customHeight="1">
      <c r="B652" s="32"/>
      <c r="C652" s="38"/>
      <c r="D652" s="34"/>
      <c r="E652" s="35"/>
      <c r="F652" s="35"/>
      <c r="G652" s="36"/>
      <c r="H652" s="36"/>
      <c r="I652" s="36"/>
      <c r="J652" s="14"/>
    </row>
    <row r="653" spans="2:10" ht="15.75" customHeight="1">
      <c r="B653" s="32"/>
      <c r="C653" s="38"/>
      <c r="D653" s="34"/>
      <c r="E653" s="35"/>
      <c r="F653" s="35"/>
      <c r="G653" s="36"/>
      <c r="H653" s="36"/>
      <c r="I653" s="36"/>
      <c r="J653" s="14"/>
    </row>
    <row r="654" spans="2:10" ht="15.75" customHeight="1">
      <c r="B654" s="32"/>
      <c r="C654" s="38"/>
      <c r="D654" s="34"/>
      <c r="E654" s="35"/>
      <c r="F654" s="35"/>
      <c r="G654" s="36"/>
      <c r="H654" s="36"/>
      <c r="I654" s="36"/>
      <c r="J654" s="14"/>
    </row>
    <row r="655" spans="2:10" ht="15.75" customHeight="1">
      <c r="B655" s="32"/>
      <c r="C655" s="38"/>
      <c r="D655" s="34"/>
      <c r="E655" s="35"/>
      <c r="F655" s="35"/>
      <c r="G655" s="36"/>
      <c r="H655" s="36"/>
      <c r="I655" s="36"/>
      <c r="J655" s="14"/>
    </row>
    <row r="656" spans="2:10" ht="15.75" customHeight="1">
      <c r="B656" s="32"/>
      <c r="C656" s="38"/>
      <c r="D656" s="34"/>
      <c r="E656" s="35"/>
      <c r="F656" s="35"/>
      <c r="G656" s="36"/>
      <c r="H656" s="36"/>
      <c r="I656" s="36"/>
      <c r="J656" s="14"/>
    </row>
    <row r="657" spans="2:10" ht="15.75" customHeight="1">
      <c r="B657" s="32"/>
      <c r="C657" s="38"/>
      <c r="D657" s="34"/>
      <c r="E657" s="35"/>
      <c r="F657" s="35"/>
      <c r="G657" s="36"/>
      <c r="H657" s="36"/>
      <c r="I657" s="36"/>
      <c r="J657" s="14"/>
    </row>
    <row r="658" spans="2:10" ht="15.75" customHeight="1">
      <c r="B658" s="32"/>
      <c r="C658" s="38"/>
      <c r="D658" s="34"/>
      <c r="E658" s="35"/>
      <c r="F658" s="35"/>
      <c r="G658" s="36"/>
      <c r="H658" s="36"/>
      <c r="I658" s="36"/>
      <c r="J658" s="14"/>
    </row>
    <row r="659" spans="2:10" ht="15.75" customHeight="1">
      <c r="B659" s="32"/>
      <c r="C659" s="38"/>
      <c r="D659" s="34"/>
      <c r="E659" s="35"/>
      <c r="F659" s="35"/>
      <c r="G659" s="36"/>
      <c r="H659" s="36"/>
      <c r="I659" s="36"/>
      <c r="J659" s="14"/>
    </row>
    <row r="660" spans="2:10" ht="15.75" customHeight="1">
      <c r="B660" s="32"/>
      <c r="C660" s="38"/>
      <c r="D660" s="34"/>
      <c r="E660" s="35"/>
      <c r="F660" s="35"/>
      <c r="G660" s="36"/>
      <c r="H660" s="36"/>
      <c r="I660" s="36"/>
      <c r="J660" s="14"/>
    </row>
    <row r="661" spans="2:10" ht="15.75" customHeight="1">
      <c r="B661" s="32"/>
      <c r="C661" s="38"/>
      <c r="D661" s="34"/>
      <c r="E661" s="35"/>
      <c r="F661" s="35"/>
      <c r="G661" s="36"/>
      <c r="H661" s="36"/>
      <c r="I661" s="36"/>
      <c r="J661" s="14"/>
    </row>
    <row r="662" spans="2:10" ht="15.75" customHeight="1">
      <c r="B662" s="32"/>
      <c r="C662" s="38"/>
      <c r="D662" s="34"/>
      <c r="E662" s="35"/>
      <c r="F662" s="35"/>
      <c r="G662" s="36"/>
      <c r="H662" s="36"/>
      <c r="I662" s="36"/>
      <c r="J662" s="14"/>
    </row>
    <row r="663" spans="2:10" ht="15.75" customHeight="1">
      <c r="B663" s="32"/>
      <c r="C663" s="38"/>
      <c r="D663" s="34"/>
      <c r="E663" s="35"/>
      <c r="F663" s="35"/>
      <c r="G663" s="36"/>
      <c r="H663" s="36"/>
      <c r="I663" s="36"/>
      <c r="J663" s="14"/>
    </row>
    <row r="664" spans="2:10" ht="15.75" customHeight="1">
      <c r="B664" s="32"/>
      <c r="C664" s="38"/>
      <c r="D664" s="34"/>
      <c r="E664" s="35"/>
      <c r="F664" s="35"/>
      <c r="G664" s="36"/>
      <c r="H664" s="36"/>
      <c r="I664" s="36"/>
      <c r="J664" s="14"/>
    </row>
    <row r="665" spans="2:10" ht="15.75" customHeight="1">
      <c r="B665" s="32"/>
      <c r="C665" s="38"/>
      <c r="D665" s="34"/>
      <c r="E665" s="35"/>
      <c r="F665" s="35"/>
      <c r="G665" s="36"/>
      <c r="H665" s="36"/>
      <c r="I665" s="36"/>
      <c r="J665" s="14"/>
    </row>
    <row r="666" spans="2:10" ht="15.75" customHeight="1">
      <c r="B666" s="32"/>
      <c r="C666" s="38"/>
      <c r="D666" s="34"/>
      <c r="E666" s="35"/>
      <c r="F666" s="35"/>
      <c r="G666" s="36"/>
      <c r="H666" s="36"/>
      <c r="I666" s="36"/>
      <c r="J666" s="14"/>
    </row>
    <row r="667" spans="2:10" ht="15.75" customHeight="1">
      <c r="B667" s="32"/>
      <c r="C667" s="38"/>
      <c r="D667" s="34"/>
      <c r="E667" s="35"/>
      <c r="F667" s="35"/>
      <c r="G667" s="36"/>
      <c r="H667" s="36"/>
      <c r="I667" s="36"/>
      <c r="J667" s="14"/>
    </row>
    <row r="668" spans="2:10" ht="15.75" customHeight="1">
      <c r="B668" s="32"/>
      <c r="C668" s="38"/>
      <c r="D668" s="34"/>
      <c r="E668" s="35"/>
      <c r="F668" s="35"/>
      <c r="G668" s="36"/>
      <c r="H668" s="36"/>
      <c r="I668" s="36"/>
      <c r="J668" s="14"/>
    </row>
    <row r="669" spans="2:10" ht="15.75" customHeight="1">
      <c r="B669" s="32"/>
      <c r="C669" s="38"/>
      <c r="D669" s="34"/>
      <c r="E669" s="35"/>
      <c r="F669" s="35"/>
      <c r="G669" s="36"/>
      <c r="H669" s="36"/>
      <c r="I669" s="36"/>
      <c r="J669" s="14"/>
    </row>
    <row r="670" spans="2:10" ht="15.75" customHeight="1">
      <c r="B670" s="32"/>
      <c r="C670" s="38"/>
      <c r="D670" s="34"/>
      <c r="E670" s="35"/>
      <c r="F670" s="35"/>
      <c r="G670" s="36"/>
      <c r="H670" s="36"/>
      <c r="I670" s="36"/>
      <c r="J670" s="14"/>
    </row>
    <row r="671" spans="2:10" ht="15.75" customHeight="1">
      <c r="B671" s="32"/>
      <c r="C671" s="38"/>
      <c r="D671" s="34"/>
      <c r="E671" s="35"/>
      <c r="F671" s="35"/>
      <c r="G671" s="36"/>
      <c r="H671" s="36"/>
      <c r="I671" s="36"/>
      <c r="J671" s="14"/>
    </row>
    <row r="672" spans="2:10" ht="15.75" customHeight="1">
      <c r="B672" s="32"/>
      <c r="C672" s="38"/>
      <c r="D672" s="34"/>
      <c r="E672" s="35"/>
      <c r="F672" s="35"/>
      <c r="G672" s="36"/>
      <c r="H672" s="36"/>
      <c r="I672" s="36"/>
      <c r="J672" s="14"/>
    </row>
    <row r="673" spans="2:10" ht="15.75" customHeight="1">
      <c r="B673" s="32"/>
      <c r="C673" s="38"/>
      <c r="D673" s="34"/>
      <c r="E673" s="35"/>
      <c r="F673" s="35"/>
      <c r="G673" s="36"/>
      <c r="H673" s="36"/>
      <c r="I673" s="36"/>
      <c r="J673" s="14"/>
    </row>
    <row r="674" spans="2:10" ht="15.75" customHeight="1">
      <c r="B674" s="32"/>
      <c r="C674" s="38"/>
      <c r="D674" s="34"/>
      <c r="E674" s="35"/>
      <c r="F674" s="35"/>
      <c r="G674" s="36"/>
      <c r="H674" s="36"/>
      <c r="I674" s="36"/>
      <c r="J674" s="14"/>
    </row>
    <row r="675" spans="2:10" ht="15.75" customHeight="1">
      <c r="B675" s="32"/>
      <c r="C675" s="38"/>
      <c r="D675" s="34"/>
      <c r="E675" s="35"/>
      <c r="F675" s="35"/>
      <c r="G675" s="36"/>
      <c r="H675" s="36"/>
      <c r="I675" s="36"/>
      <c r="J675" s="14"/>
    </row>
    <row r="676" spans="2:10" ht="15.75" customHeight="1">
      <c r="B676" s="32"/>
      <c r="C676" s="38"/>
      <c r="D676" s="34"/>
      <c r="E676" s="35"/>
      <c r="F676" s="35"/>
      <c r="G676" s="36"/>
      <c r="H676" s="36"/>
      <c r="I676" s="36"/>
      <c r="J676" s="14"/>
    </row>
    <row r="677" spans="2:10" ht="15.75" customHeight="1">
      <c r="B677" s="32"/>
      <c r="C677" s="38"/>
      <c r="D677" s="34"/>
      <c r="E677" s="35"/>
      <c r="F677" s="35"/>
      <c r="G677" s="36"/>
      <c r="H677" s="36"/>
      <c r="I677" s="36"/>
      <c r="J677" s="14"/>
    </row>
    <row r="678" spans="2:10" ht="15.75" customHeight="1">
      <c r="B678" s="32"/>
      <c r="C678" s="38"/>
      <c r="D678" s="34"/>
      <c r="E678" s="35"/>
      <c r="F678" s="35"/>
      <c r="G678" s="36"/>
      <c r="H678" s="36"/>
      <c r="I678" s="36"/>
      <c r="J678" s="14"/>
    </row>
    <row r="679" spans="2:10" ht="15.75" customHeight="1">
      <c r="B679" s="32"/>
      <c r="C679" s="38"/>
      <c r="D679" s="34"/>
      <c r="E679" s="35"/>
      <c r="F679" s="35"/>
      <c r="G679" s="36"/>
      <c r="H679" s="36"/>
      <c r="I679" s="36"/>
      <c r="J679" s="14"/>
    </row>
    <row r="680" spans="2:10" ht="15.75" customHeight="1">
      <c r="B680" s="32"/>
      <c r="C680" s="38"/>
      <c r="D680" s="34"/>
      <c r="E680" s="35"/>
      <c r="F680" s="35"/>
      <c r="G680" s="36"/>
      <c r="H680" s="36"/>
      <c r="I680" s="36"/>
      <c r="J680" s="14"/>
    </row>
    <row r="681" spans="2:10" ht="15.75" customHeight="1">
      <c r="B681" s="32"/>
      <c r="C681" s="38"/>
      <c r="D681" s="34"/>
      <c r="E681" s="35"/>
      <c r="F681" s="35"/>
      <c r="G681" s="36"/>
      <c r="H681" s="36"/>
      <c r="I681" s="36"/>
      <c r="J681" s="14"/>
    </row>
    <row r="682" spans="2:10" ht="15.75" customHeight="1">
      <c r="B682" s="32"/>
      <c r="C682" s="38"/>
      <c r="D682" s="34"/>
      <c r="E682" s="35"/>
      <c r="F682" s="35"/>
      <c r="G682" s="36"/>
      <c r="H682" s="36"/>
      <c r="I682" s="36"/>
      <c r="J682" s="14"/>
    </row>
    <row r="683" spans="2:10" ht="15.75" customHeight="1">
      <c r="B683" s="32"/>
      <c r="C683" s="38"/>
      <c r="D683" s="34"/>
      <c r="E683" s="35"/>
      <c r="F683" s="35"/>
      <c r="G683" s="36"/>
      <c r="H683" s="36"/>
      <c r="I683" s="36"/>
      <c r="J683" s="14"/>
    </row>
    <row r="684" spans="2:10" ht="15.75" customHeight="1">
      <c r="B684" s="32"/>
      <c r="C684" s="38"/>
      <c r="D684" s="34"/>
      <c r="E684" s="35"/>
      <c r="F684" s="35"/>
      <c r="G684" s="36"/>
      <c r="H684" s="36"/>
      <c r="I684" s="36"/>
      <c r="J684" s="14"/>
    </row>
    <row r="685" spans="2:10" ht="15.75" customHeight="1">
      <c r="B685" s="32"/>
      <c r="C685" s="38"/>
      <c r="D685" s="34"/>
      <c r="E685" s="35"/>
      <c r="F685" s="35"/>
      <c r="G685" s="36"/>
      <c r="H685" s="36"/>
      <c r="I685" s="36"/>
      <c r="J685" s="14"/>
    </row>
    <row r="686" spans="2:10" ht="15.75" customHeight="1">
      <c r="B686" s="32"/>
      <c r="C686" s="38"/>
      <c r="D686" s="34"/>
      <c r="E686" s="35"/>
      <c r="F686" s="35"/>
      <c r="G686" s="36"/>
      <c r="H686" s="36"/>
      <c r="I686" s="36"/>
      <c r="J686" s="14"/>
    </row>
    <row r="687" spans="2:10" ht="15.75" customHeight="1">
      <c r="B687" s="32"/>
      <c r="C687" s="38"/>
      <c r="D687" s="34"/>
      <c r="E687" s="35"/>
      <c r="F687" s="35"/>
      <c r="G687" s="36"/>
      <c r="H687" s="36"/>
      <c r="I687" s="36"/>
      <c r="J687" s="14"/>
    </row>
    <row r="688" spans="2:10" ht="15.75" customHeight="1">
      <c r="B688" s="32"/>
      <c r="C688" s="38"/>
      <c r="D688" s="34"/>
      <c r="E688" s="35"/>
      <c r="F688" s="35"/>
      <c r="G688" s="36"/>
      <c r="H688" s="36"/>
      <c r="I688" s="36"/>
      <c r="J688" s="14"/>
    </row>
    <row r="689" spans="2:10" ht="15.75" customHeight="1">
      <c r="B689" s="32"/>
      <c r="C689" s="38"/>
      <c r="D689" s="34"/>
      <c r="E689" s="35"/>
      <c r="F689" s="35"/>
      <c r="G689" s="36"/>
      <c r="H689" s="36"/>
      <c r="I689" s="36"/>
      <c r="J689" s="14"/>
    </row>
    <row r="690" spans="2:10" ht="15.75" customHeight="1">
      <c r="B690" s="32"/>
      <c r="C690" s="38"/>
      <c r="D690" s="34"/>
      <c r="E690" s="35"/>
      <c r="F690" s="35"/>
      <c r="G690" s="36"/>
      <c r="H690" s="36"/>
      <c r="I690" s="36"/>
      <c r="J690" s="14"/>
    </row>
    <row r="691" spans="2:10" ht="15.75" customHeight="1">
      <c r="B691" s="32"/>
      <c r="C691" s="38"/>
      <c r="D691" s="34"/>
      <c r="E691" s="35"/>
      <c r="F691" s="35"/>
      <c r="G691" s="36"/>
      <c r="H691" s="36"/>
      <c r="I691" s="36"/>
      <c r="J691" s="14"/>
    </row>
    <row r="692" spans="2:10" ht="15.75" customHeight="1">
      <c r="B692" s="32"/>
      <c r="C692" s="38"/>
      <c r="D692" s="34"/>
      <c r="E692" s="35"/>
      <c r="F692" s="35"/>
      <c r="G692" s="36"/>
      <c r="H692" s="36"/>
      <c r="I692" s="36"/>
      <c r="J692" s="14"/>
    </row>
    <row r="693" spans="2:10" ht="15.75" customHeight="1">
      <c r="B693" s="32"/>
      <c r="C693" s="38"/>
      <c r="D693" s="34"/>
      <c r="E693" s="35"/>
      <c r="F693" s="35"/>
      <c r="G693" s="36"/>
      <c r="H693" s="36"/>
      <c r="I693" s="36"/>
      <c r="J693" s="14"/>
    </row>
    <row r="694" spans="2:10" ht="15.75" customHeight="1">
      <c r="B694" s="32"/>
      <c r="C694" s="38"/>
      <c r="D694" s="34"/>
      <c r="E694" s="35"/>
      <c r="F694" s="35"/>
      <c r="G694" s="36"/>
      <c r="H694" s="36"/>
      <c r="I694" s="36"/>
      <c r="J694" s="14"/>
    </row>
    <row r="695" spans="2:10" ht="15.75" customHeight="1">
      <c r="B695" s="32"/>
      <c r="C695" s="38"/>
      <c r="D695" s="34"/>
      <c r="E695" s="35"/>
      <c r="F695" s="35"/>
      <c r="G695" s="36"/>
      <c r="H695" s="36"/>
      <c r="I695" s="36"/>
      <c r="J695" s="14"/>
    </row>
    <row r="696" spans="2:10" ht="15.75" customHeight="1">
      <c r="B696" s="32"/>
      <c r="C696" s="38"/>
      <c r="D696" s="34"/>
      <c r="E696" s="35"/>
      <c r="F696" s="35"/>
      <c r="G696" s="36"/>
      <c r="H696" s="36"/>
      <c r="I696" s="36"/>
      <c r="J696" s="14"/>
    </row>
    <row r="697" spans="2:10" ht="15.75" customHeight="1">
      <c r="B697" s="32"/>
      <c r="C697" s="38"/>
      <c r="D697" s="34"/>
      <c r="E697" s="35"/>
      <c r="F697" s="35"/>
      <c r="G697" s="36"/>
      <c r="H697" s="36"/>
      <c r="I697" s="36"/>
      <c r="J697" s="14"/>
    </row>
    <row r="698" spans="2:10" ht="15.75" customHeight="1">
      <c r="B698" s="32"/>
      <c r="C698" s="38"/>
      <c r="D698" s="34"/>
      <c r="E698" s="35"/>
      <c r="F698" s="35"/>
      <c r="G698" s="36"/>
      <c r="H698" s="36"/>
      <c r="I698" s="36"/>
      <c r="J698" s="14"/>
    </row>
    <row r="699" spans="2:10" ht="15.75" customHeight="1">
      <c r="B699" s="32"/>
      <c r="C699" s="38"/>
      <c r="D699" s="34"/>
      <c r="E699" s="35"/>
      <c r="F699" s="35"/>
      <c r="G699" s="36"/>
      <c r="H699" s="36"/>
      <c r="I699" s="36"/>
      <c r="J699" s="14"/>
    </row>
    <row r="700" spans="2:10" ht="15.75" customHeight="1">
      <c r="B700" s="32"/>
      <c r="C700" s="38"/>
      <c r="D700" s="34"/>
      <c r="E700" s="35"/>
      <c r="F700" s="35"/>
      <c r="G700" s="36"/>
      <c r="H700" s="36"/>
      <c r="I700" s="36"/>
      <c r="J700" s="14"/>
    </row>
    <row r="701" spans="2:10" ht="15.75" customHeight="1">
      <c r="B701" s="32"/>
      <c r="C701" s="38"/>
      <c r="D701" s="34"/>
      <c r="E701" s="35"/>
      <c r="F701" s="35"/>
      <c r="G701" s="36"/>
      <c r="H701" s="36"/>
      <c r="I701" s="36"/>
      <c r="J701" s="14"/>
    </row>
    <row r="702" spans="2:10" ht="15.75" customHeight="1">
      <c r="B702" s="32"/>
      <c r="C702" s="38"/>
      <c r="D702" s="34"/>
      <c r="E702" s="35"/>
      <c r="F702" s="35"/>
      <c r="G702" s="36"/>
      <c r="H702" s="36"/>
      <c r="I702" s="36"/>
      <c r="J702" s="14"/>
    </row>
    <row r="703" spans="2:10" ht="15.75" customHeight="1">
      <c r="B703" s="32"/>
      <c r="C703" s="38"/>
      <c r="D703" s="34"/>
      <c r="E703" s="35"/>
      <c r="F703" s="35"/>
      <c r="G703" s="36"/>
      <c r="H703" s="36"/>
      <c r="I703" s="36"/>
      <c r="J703" s="14"/>
    </row>
    <row r="704" spans="2:10" ht="15.75" customHeight="1">
      <c r="B704" s="32"/>
      <c r="C704" s="38"/>
      <c r="D704" s="34"/>
      <c r="E704" s="35"/>
      <c r="F704" s="35"/>
      <c r="G704" s="36"/>
      <c r="H704" s="36"/>
      <c r="I704" s="36"/>
      <c r="J704" s="14"/>
    </row>
    <row r="705" spans="2:10" ht="15.75" customHeight="1">
      <c r="B705" s="32"/>
      <c r="C705" s="38"/>
      <c r="D705" s="34"/>
      <c r="E705" s="35"/>
      <c r="F705" s="35"/>
      <c r="G705" s="36"/>
      <c r="H705" s="36"/>
      <c r="I705" s="36"/>
      <c r="J705" s="14"/>
    </row>
    <row r="706" spans="2:10" ht="15.75" customHeight="1">
      <c r="B706" s="32"/>
      <c r="C706" s="38"/>
      <c r="D706" s="34"/>
      <c r="E706" s="35"/>
      <c r="F706" s="35"/>
      <c r="G706" s="36"/>
      <c r="H706" s="36"/>
      <c r="I706" s="36"/>
      <c r="J706" s="14"/>
    </row>
    <row r="707" spans="2:10" ht="15.75" customHeight="1">
      <c r="B707" s="32"/>
      <c r="C707" s="38"/>
      <c r="D707" s="34"/>
      <c r="E707" s="35"/>
      <c r="F707" s="35"/>
      <c r="G707" s="36"/>
      <c r="H707" s="36"/>
      <c r="I707" s="36"/>
      <c r="J707" s="14"/>
    </row>
    <row r="708" spans="2:10" ht="15.75" customHeight="1">
      <c r="B708" s="32"/>
      <c r="C708" s="38"/>
      <c r="D708" s="34"/>
      <c r="E708" s="35"/>
      <c r="F708" s="35"/>
      <c r="G708" s="36"/>
      <c r="H708" s="36"/>
      <c r="I708" s="36"/>
      <c r="J708" s="14"/>
    </row>
    <row r="709" spans="2:10" ht="15.75" customHeight="1">
      <c r="B709" s="32"/>
      <c r="C709" s="38"/>
      <c r="D709" s="34"/>
      <c r="E709" s="35"/>
      <c r="F709" s="35"/>
      <c r="G709" s="36"/>
      <c r="H709" s="36"/>
      <c r="I709" s="36"/>
      <c r="J709" s="14"/>
    </row>
    <row r="710" spans="2:10" ht="15.75" customHeight="1">
      <c r="B710" s="32"/>
      <c r="C710" s="38"/>
      <c r="D710" s="34"/>
      <c r="E710" s="35"/>
      <c r="F710" s="35"/>
      <c r="G710" s="36"/>
      <c r="H710" s="36"/>
      <c r="I710" s="36"/>
      <c r="J710" s="14"/>
    </row>
    <row r="711" spans="2:10" ht="15.75" customHeight="1">
      <c r="B711" s="32"/>
      <c r="C711" s="38"/>
      <c r="D711" s="34"/>
      <c r="E711" s="35"/>
      <c r="F711" s="35"/>
      <c r="G711" s="36"/>
      <c r="H711" s="36"/>
      <c r="I711" s="36"/>
      <c r="J711" s="14"/>
    </row>
    <row r="712" spans="2:10" ht="15.75" customHeight="1">
      <c r="B712" s="32"/>
      <c r="C712" s="38"/>
      <c r="D712" s="34"/>
      <c r="E712" s="35"/>
      <c r="F712" s="35"/>
      <c r="G712" s="36"/>
      <c r="H712" s="36"/>
      <c r="I712" s="36"/>
      <c r="J712" s="14"/>
    </row>
    <row r="713" spans="2:10" ht="15.75" customHeight="1">
      <c r="B713" s="32"/>
      <c r="C713" s="38"/>
      <c r="D713" s="34"/>
      <c r="E713" s="35"/>
      <c r="F713" s="35"/>
      <c r="G713" s="36"/>
      <c r="H713" s="36"/>
      <c r="I713" s="36"/>
      <c r="J713" s="14"/>
    </row>
    <row r="714" spans="2:10" ht="15.75" customHeight="1">
      <c r="B714" s="32"/>
      <c r="C714" s="38"/>
      <c r="D714" s="34"/>
      <c r="E714" s="35"/>
      <c r="F714" s="35"/>
      <c r="G714" s="36"/>
      <c r="H714" s="36"/>
      <c r="I714" s="36"/>
      <c r="J714" s="14"/>
    </row>
    <row r="715" spans="2:10" ht="15.75" customHeight="1">
      <c r="B715" s="32"/>
      <c r="C715" s="38"/>
      <c r="D715" s="34"/>
      <c r="E715" s="35"/>
      <c r="F715" s="35"/>
      <c r="G715" s="36"/>
      <c r="H715" s="36"/>
      <c r="I715" s="36"/>
      <c r="J715" s="14"/>
    </row>
    <row r="716" spans="2:10" ht="15.75" customHeight="1">
      <c r="B716" s="32"/>
      <c r="C716" s="38"/>
      <c r="D716" s="34"/>
      <c r="E716" s="35"/>
      <c r="F716" s="35"/>
      <c r="G716" s="36"/>
      <c r="H716" s="36"/>
      <c r="I716" s="36"/>
      <c r="J716" s="14"/>
    </row>
    <row r="717" spans="2:10" ht="15.75" customHeight="1">
      <c r="B717" s="32"/>
      <c r="C717" s="38"/>
      <c r="D717" s="34"/>
      <c r="E717" s="35"/>
      <c r="F717" s="35"/>
      <c r="G717" s="36"/>
      <c r="H717" s="36"/>
      <c r="I717" s="36"/>
      <c r="J717" s="14"/>
    </row>
    <row r="718" spans="2:10" ht="15.75" customHeight="1">
      <c r="B718" s="32"/>
      <c r="C718" s="38"/>
      <c r="D718" s="34"/>
      <c r="E718" s="35"/>
      <c r="F718" s="35"/>
      <c r="G718" s="36"/>
      <c r="H718" s="36"/>
      <c r="I718" s="36"/>
      <c r="J718" s="14"/>
    </row>
    <row r="719" spans="2:10" ht="15.75" customHeight="1">
      <c r="B719" s="32"/>
      <c r="C719" s="38"/>
      <c r="D719" s="34"/>
      <c r="E719" s="35"/>
      <c r="F719" s="35"/>
      <c r="G719" s="36"/>
      <c r="H719" s="36"/>
      <c r="I719" s="36"/>
      <c r="J719" s="14"/>
    </row>
    <row r="720" spans="2:10" ht="15.75" customHeight="1">
      <c r="B720" s="32"/>
      <c r="C720" s="38"/>
      <c r="D720" s="34"/>
      <c r="E720" s="35"/>
      <c r="F720" s="35"/>
      <c r="G720" s="36"/>
      <c r="H720" s="36"/>
      <c r="I720" s="36"/>
      <c r="J720" s="14"/>
    </row>
    <row r="721" spans="2:10" ht="15.75" customHeight="1">
      <c r="B721" s="32"/>
      <c r="C721" s="38"/>
      <c r="D721" s="34"/>
      <c r="E721" s="35"/>
      <c r="F721" s="35"/>
      <c r="G721" s="36"/>
      <c r="H721" s="36"/>
      <c r="I721" s="36"/>
      <c r="J721" s="14"/>
    </row>
    <row r="722" spans="2:10" ht="15.75" customHeight="1">
      <c r="B722" s="32"/>
      <c r="C722" s="38"/>
      <c r="D722" s="34"/>
      <c r="E722" s="35"/>
      <c r="F722" s="35"/>
      <c r="G722" s="36"/>
      <c r="H722" s="36"/>
      <c r="I722" s="36"/>
      <c r="J722" s="14"/>
    </row>
    <row r="723" spans="2:10" ht="15.75" customHeight="1">
      <c r="B723" s="32"/>
      <c r="C723" s="38"/>
      <c r="D723" s="34"/>
      <c r="E723" s="35"/>
      <c r="F723" s="35"/>
      <c r="G723" s="36"/>
      <c r="H723" s="36"/>
      <c r="I723" s="36"/>
      <c r="J723" s="14"/>
    </row>
    <row r="724" spans="2:10" ht="15.75" customHeight="1">
      <c r="B724" s="32"/>
      <c r="C724" s="38"/>
      <c r="D724" s="34"/>
      <c r="E724" s="35"/>
      <c r="F724" s="35"/>
      <c r="G724" s="36"/>
      <c r="H724" s="36"/>
      <c r="I724" s="36"/>
      <c r="J724" s="14"/>
    </row>
    <row r="725" spans="2:10" ht="15.75" customHeight="1">
      <c r="B725" s="32"/>
      <c r="C725" s="38"/>
      <c r="D725" s="34"/>
      <c r="E725" s="35"/>
      <c r="F725" s="35"/>
      <c r="G725" s="36"/>
      <c r="H725" s="36"/>
      <c r="I725" s="36"/>
      <c r="J725" s="14"/>
    </row>
    <row r="726" spans="2:10" ht="15.75" customHeight="1">
      <c r="B726" s="32"/>
      <c r="C726" s="38"/>
      <c r="D726" s="34"/>
      <c r="E726" s="35"/>
      <c r="F726" s="35"/>
      <c r="G726" s="36"/>
      <c r="H726" s="36"/>
      <c r="I726" s="36"/>
      <c r="J726" s="14"/>
    </row>
    <row r="727" spans="2:10" ht="15.75" customHeight="1">
      <c r="B727" s="32"/>
      <c r="C727" s="38"/>
      <c r="D727" s="34"/>
      <c r="E727" s="35"/>
      <c r="F727" s="35"/>
      <c r="G727" s="36"/>
      <c r="H727" s="36"/>
      <c r="I727" s="36"/>
      <c r="J727" s="14"/>
    </row>
    <row r="728" spans="2:10" ht="15.75" customHeight="1">
      <c r="B728" s="32"/>
      <c r="C728" s="38"/>
      <c r="D728" s="34"/>
      <c r="E728" s="35"/>
      <c r="F728" s="35"/>
      <c r="G728" s="36"/>
      <c r="H728" s="36"/>
      <c r="I728" s="36"/>
      <c r="J728" s="14"/>
    </row>
    <row r="729" spans="2:10" ht="15.75" customHeight="1">
      <c r="B729" s="32"/>
      <c r="C729" s="38"/>
      <c r="D729" s="34"/>
      <c r="E729" s="35"/>
      <c r="F729" s="35"/>
      <c r="G729" s="36"/>
      <c r="H729" s="36"/>
      <c r="I729" s="36"/>
      <c r="J729" s="14"/>
    </row>
    <row r="730" spans="2:10" ht="15.75" customHeight="1">
      <c r="B730" s="32"/>
      <c r="C730" s="38"/>
      <c r="D730" s="34"/>
      <c r="E730" s="35"/>
      <c r="F730" s="35"/>
      <c r="G730" s="36"/>
      <c r="H730" s="36"/>
      <c r="I730" s="36"/>
      <c r="J730" s="14"/>
    </row>
    <row r="731" spans="2:10" ht="15.75" customHeight="1">
      <c r="B731" s="32"/>
      <c r="C731" s="38"/>
      <c r="D731" s="34"/>
      <c r="E731" s="35"/>
      <c r="F731" s="35"/>
      <c r="G731" s="36"/>
      <c r="H731" s="36"/>
      <c r="I731" s="36"/>
      <c r="J731" s="14"/>
    </row>
    <row r="732" spans="2:10" ht="15.75" customHeight="1">
      <c r="B732" s="32"/>
      <c r="C732" s="38"/>
      <c r="D732" s="34"/>
      <c r="E732" s="35"/>
      <c r="F732" s="35"/>
      <c r="G732" s="36"/>
      <c r="H732" s="36"/>
      <c r="I732" s="36"/>
      <c r="J732" s="14"/>
    </row>
    <row r="733" spans="2:10" ht="15.75" customHeight="1">
      <c r="B733" s="32"/>
      <c r="C733" s="38"/>
      <c r="D733" s="34"/>
      <c r="E733" s="35"/>
      <c r="F733" s="35"/>
      <c r="G733" s="36"/>
      <c r="H733" s="36"/>
      <c r="I733" s="36"/>
      <c r="J733" s="14"/>
    </row>
    <row r="734" spans="2:10" ht="15.75" customHeight="1">
      <c r="B734" s="32"/>
      <c r="C734" s="38"/>
      <c r="D734" s="34"/>
      <c r="E734" s="35"/>
      <c r="F734" s="35"/>
      <c r="G734" s="36"/>
      <c r="H734" s="36"/>
      <c r="I734" s="36"/>
      <c r="J734" s="14"/>
    </row>
    <row r="735" spans="2:10" ht="15.75" customHeight="1">
      <c r="B735" s="32"/>
      <c r="C735" s="38"/>
      <c r="D735" s="34"/>
      <c r="E735" s="35"/>
      <c r="F735" s="35"/>
      <c r="G735" s="36"/>
      <c r="H735" s="36"/>
      <c r="I735" s="36"/>
      <c r="J735" s="14"/>
    </row>
    <row r="736" spans="2:10" ht="15.75" customHeight="1">
      <c r="B736" s="32"/>
      <c r="C736" s="38"/>
      <c r="D736" s="34"/>
      <c r="E736" s="35"/>
      <c r="F736" s="35"/>
      <c r="G736" s="36"/>
      <c r="H736" s="36"/>
      <c r="I736" s="36"/>
      <c r="J736" s="14"/>
    </row>
    <row r="737" spans="2:10" ht="15.75" customHeight="1">
      <c r="B737" s="32"/>
      <c r="C737" s="38"/>
      <c r="D737" s="34"/>
      <c r="E737" s="35"/>
      <c r="F737" s="35"/>
      <c r="G737" s="36"/>
      <c r="H737" s="36"/>
      <c r="I737" s="36"/>
      <c r="J737" s="14"/>
    </row>
    <row r="738" spans="2:10" ht="15.75" customHeight="1">
      <c r="B738" s="32"/>
      <c r="C738" s="38"/>
      <c r="D738" s="34"/>
      <c r="E738" s="35"/>
      <c r="F738" s="35"/>
      <c r="G738" s="36"/>
      <c r="H738" s="36"/>
      <c r="I738" s="36"/>
      <c r="J738" s="14"/>
    </row>
    <row r="739" spans="2:10" ht="15.75" customHeight="1">
      <c r="B739" s="32"/>
      <c r="C739" s="38"/>
      <c r="D739" s="34"/>
      <c r="E739" s="35"/>
      <c r="F739" s="35"/>
      <c r="G739" s="36"/>
      <c r="H739" s="36"/>
      <c r="I739" s="36"/>
      <c r="J739" s="14"/>
    </row>
    <row r="740" spans="2:10" ht="15.75" customHeight="1">
      <c r="B740" s="32"/>
      <c r="C740" s="38"/>
      <c r="D740" s="34"/>
      <c r="E740" s="35"/>
      <c r="F740" s="35"/>
      <c r="G740" s="36"/>
      <c r="H740" s="36"/>
      <c r="I740" s="36"/>
      <c r="J740" s="14"/>
    </row>
    <row r="741" spans="2:10" ht="15.75" customHeight="1">
      <c r="B741" s="32"/>
      <c r="C741" s="38"/>
      <c r="D741" s="34"/>
      <c r="E741" s="35"/>
      <c r="F741" s="35"/>
      <c r="G741" s="36"/>
      <c r="H741" s="36"/>
      <c r="I741" s="36"/>
      <c r="J741" s="14"/>
    </row>
    <row r="742" spans="2:10" ht="15.75" customHeight="1">
      <c r="B742" s="32"/>
      <c r="C742" s="38"/>
      <c r="D742" s="34"/>
      <c r="E742" s="35"/>
      <c r="F742" s="35"/>
      <c r="G742" s="36"/>
      <c r="H742" s="36"/>
      <c r="I742" s="36"/>
      <c r="J742" s="14"/>
    </row>
    <row r="743" spans="2:10" ht="15.75" customHeight="1">
      <c r="B743" s="32"/>
      <c r="C743" s="38"/>
      <c r="D743" s="34"/>
      <c r="E743" s="35"/>
      <c r="F743" s="35"/>
      <c r="G743" s="36"/>
      <c r="H743" s="36"/>
      <c r="I743" s="36"/>
      <c r="J743" s="14"/>
    </row>
    <row r="744" spans="2:10" ht="15.75" customHeight="1">
      <c r="B744" s="32"/>
      <c r="C744" s="38"/>
      <c r="D744" s="34"/>
      <c r="E744" s="35"/>
      <c r="F744" s="35"/>
      <c r="G744" s="36"/>
      <c r="H744" s="36"/>
      <c r="I744" s="36"/>
      <c r="J744" s="14"/>
    </row>
    <row r="745" spans="2:10" ht="15.75" customHeight="1">
      <c r="B745" s="32"/>
      <c r="C745" s="38"/>
      <c r="D745" s="34"/>
      <c r="E745" s="35"/>
      <c r="F745" s="35"/>
      <c r="G745" s="36"/>
      <c r="H745" s="36"/>
      <c r="I745" s="36"/>
      <c r="J745" s="14"/>
    </row>
    <row r="746" spans="2:10" ht="15.75" customHeight="1">
      <c r="B746" s="32"/>
      <c r="C746" s="38"/>
      <c r="D746" s="34"/>
      <c r="E746" s="35"/>
      <c r="F746" s="35"/>
      <c r="G746" s="36"/>
      <c r="H746" s="36"/>
      <c r="I746" s="36"/>
      <c r="J746" s="14"/>
    </row>
    <row r="747" spans="2:10" ht="15.75" customHeight="1">
      <c r="B747" s="32"/>
      <c r="C747" s="38"/>
      <c r="D747" s="34"/>
      <c r="E747" s="35"/>
      <c r="F747" s="35"/>
      <c r="G747" s="36"/>
      <c r="H747" s="36"/>
      <c r="I747" s="36"/>
      <c r="J747" s="14"/>
    </row>
    <row r="748" spans="2:10" ht="15.75" customHeight="1">
      <c r="B748" s="32"/>
      <c r="C748" s="38"/>
      <c r="D748" s="34"/>
      <c r="E748" s="35"/>
      <c r="F748" s="35"/>
      <c r="G748" s="36"/>
      <c r="H748" s="36"/>
      <c r="I748" s="36"/>
      <c r="J748" s="14"/>
    </row>
    <row r="749" spans="2:10" ht="15.75" customHeight="1">
      <c r="B749" s="32"/>
      <c r="C749" s="38"/>
      <c r="D749" s="34"/>
      <c r="E749" s="35"/>
      <c r="F749" s="35"/>
      <c r="G749" s="36"/>
      <c r="H749" s="36"/>
      <c r="I749" s="36"/>
      <c r="J749" s="14"/>
    </row>
    <row r="750" spans="2:10" ht="15.75" customHeight="1">
      <c r="B750" s="32"/>
      <c r="C750" s="38"/>
      <c r="D750" s="34"/>
      <c r="E750" s="35"/>
      <c r="F750" s="35"/>
      <c r="G750" s="36"/>
      <c r="H750" s="36"/>
      <c r="I750" s="36"/>
      <c r="J750" s="14"/>
    </row>
    <row r="751" spans="2:10" ht="15.75" customHeight="1">
      <c r="B751" s="32"/>
      <c r="C751" s="38"/>
      <c r="D751" s="34"/>
      <c r="E751" s="35"/>
      <c r="F751" s="35"/>
      <c r="G751" s="36"/>
      <c r="H751" s="36"/>
      <c r="I751" s="36"/>
      <c r="J751" s="14"/>
    </row>
    <row r="752" spans="2:10" ht="15.75" customHeight="1">
      <c r="B752" s="32"/>
      <c r="C752" s="38"/>
      <c r="D752" s="34"/>
      <c r="E752" s="35"/>
      <c r="F752" s="35"/>
      <c r="G752" s="36"/>
      <c r="H752" s="36"/>
      <c r="I752" s="36"/>
      <c r="J752" s="14"/>
    </row>
    <row r="753" spans="2:10" ht="15.75" customHeight="1">
      <c r="B753" s="32"/>
      <c r="C753" s="38"/>
      <c r="D753" s="34"/>
      <c r="E753" s="35"/>
      <c r="F753" s="35"/>
      <c r="G753" s="36"/>
      <c r="H753" s="36"/>
      <c r="I753" s="36"/>
      <c r="J753" s="14"/>
    </row>
    <row r="754" spans="2:10" ht="15.75" customHeight="1">
      <c r="B754" s="32"/>
      <c r="C754" s="38"/>
      <c r="D754" s="34"/>
      <c r="E754" s="35"/>
      <c r="F754" s="35"/>
      <c r="G754" s="36"/>
      <c r="H754" s="36"/>
      <c r="I754" s="36"/>
      <c r="J754" s="14"/>
    </row>
    <row r="755" spans="2:10" ht="15.75" customHeight="1">
      <c r="B755" s="32"/>
      <c r="C755" s="38"/>
      <c r="D755" s="34"/>
      <c r="E755" s="35"/>
      <c r="F755" s="35"/>
      <c r="G755" s="36"/>
      <c r="H755" s="36"/>
      <c r="I755" s="36"/>
      <c r="J755" s="14"/>
    </row>
    <row r="756" spans="2:10" ht="15.75" customHeight="1">
      <c r="B756" s="32"/>
      <c r="C756" s="38"/>
      <c r="D756" s="34"/>
      <c r="E756" s="35"/>
      <c r="F756" s="35"/>
      <c r="G756" s="36"/>
      <c r="H756" s="36"/>
      <c r="I756" s="36"/>
      <c r="J756" s="14"/>
    </row>
    <row r="757" spans="2:10" ht="15.75" customHeight="1">
      <c r="B757" s="32"/>
      <c r="C757" s="38"/>
      <c r="D757" s="34"/>
      <c r="E757" s="35"/>
      <c r="F757" s="35"/>
      <c r="G757" s="36"/>
      <c r="H757" s="36"/>
      <c r="I757" s="36"/>
      <c r="J757" s="14"/>
    </row>
    <row r="758" spans="2:10" ht="15.75" customHeight="1">
      <c r="B758" s="32"/>
      <c r="C758" s="38"/>
      <c r="D758" s="34"/>
      <c r="E758" s="35"/>
      <c r="F758" s="35"/>
      <c r="G758" s="36"/>
      <c r="H758" s="36"/>
      <c r="I758" s="36"/>
      <c r="J758" s="14"/>
    </row>
    <row r="759" spans="2:10" ht="15.75" customHeight="1">
      <c r="B759" s="32"/>
      <c r="C759" s="38"/>
      <c r="D759" s="34"/>
      <c r="E759" s="35"/>
      <c r="F759" s="35"/>
      <c r="G759" s="36"/>
      <c r="H759" s="36"/>
      <c r="I759" s="36"/>
      <c r="J759" s="14"/>
    </row>
    <row r="760" spans="2:10" ht="15.75" customHeight="1">
      <c r="B760" s="32"/>
      <c r="C760" s="38"/>
      <c r="D760" s="34"/>
      <c r="E760" s="35"/>
      <c r="F760" s="35"/>
      <c r="G760" s="36"/>
      <c r="H760" s="36"/>
      <c r="I760" s="36"/>
      <c r="J760" s="14"/>
    </row>
    <row r="761" spans="2:10" ht="15.75" customHeight="1">
      <c r="B761" s="32"/>
      <c r="C761" s="38"/>
      <c r="D761" s="34"/>
      <c r="E761" s="35"/>
      <c r="F761" s="35"/>
      <c r="G761" s="36"/>
      <c r="H761" s="36"/>
      <c r="I761" s="36"/>
      <c r="J761" s="14"/>
    </row>
    <row r="762" spans="2:10" ht="15.75" customHeight="1">
      <c r="B762" s="32"/>
      <c r="C762" s="38"/>
      <c r="D762" s="34"/>
      <c r="E762" s="35"/>
      <c r="F762" s="35"/>
      <c r="G762" s="36"/>
      <c r="H762" s="36"/>
      <c r="I762" s="36"/>
      <c r="J762" s="14"/>
    </row>
    <row r="763" spans="2:10" ht="15.75" customHeight="1">
      <c r="B763" s="32"/>
      <c r="C763" s="38"/>
      <c r="D763" s="34"/>
      <c r="E763" s="35"/>
      <c r="F763" s="35"/>
      <c r="G763" s="36"/>
      <c r="H763" s="36"/>
      <c r="I763" s="36"/>
      <c r="J763" s="14"/>
    </row>
    <row r="764" spans="2:10" ht="15.75" customHeight="1">
      <c r="B764" s="32"/>
      <c r="C764" s="38"/>
      <c r="D764" s="34"/>
      <c r="E764" s="35"/>
      <c r="F764" s="35"/>
      <c r="G764" s="36"/>
      <c r="H764" s="36"/>
      <c r="I764" s="36"/>
      <c r="J764" s="14"/>
    </row>
    <row r="765" spans="2:10" ht="15.75" customHeight="1">
      <c r="B765" s="32"/>
      <c r="C765" s="38"/>
      <c r="D765" s="34"/>
      <c r="E765" s="35"/>
      <c r="F765" s="35"/>
      <c r="G765" s="36"/>
      <c r="H765" s="36"/>
      <c r="I765" s="36"/>
      <c r="J765" s="14"/>
    </row>
    <row r="766" spans="2:10" ht="15.75" customHeight="1">
      <c r="B766" s="32"/>
      <c r="C766" s="38"/>
      <c r="D766" s="34"/>
      <c r="E766" s="35"/>
      <c r="F766" s="35"/>
      <c r="G766" s="36"/>
      <c r="H766" s="36"/>
      <c r="I766" s="36"/>
      <c r="J766" s="14"/>
    </row>
    <row r="767" spans="2:10" ht="15.75" customHeight="1">
      <c r="B767" s="32"/>
      <c r="C767" s="38"/>
      <c r="D767" s="34"/>
      <c r="E767" s="35"/>
      <c r="F767" s="35"/>
      <c r="G767" s="36"/>
      <c r="H767" s="36"/>
      <c r="I767" s="36"/>
      <c r="J767" s="14"/>
    </row>
    <row r="768" spans="2:10" ht="15.75" customHeight="1">
      <c r="B768" s="32"/>
      <c r="C768" s="38"/>
      <c r="D768" s="34"/>
      <c r="E768" s="35"/>
      <c r="F768" s="35"/>
      <c r="G768" s="36"/>
      <c r="H768" s="36"/>
      <c r="I768" s="36"/>
      <c r="J768" s="14"/>
    </row>
    <row r="769" spans="2:10" ht="15.75" customHeight="1">
      <c r="B769" s="32"/>
      <c r="C769" s="38"/>
      <c r="D769" s="34"/>
      <c r="E769" s="35"/>
      <c r="F769" s="35"/>
      <c r="G769" s="36"/>
      <c r="H769" s="36"/>
      <c r="I769" s="36"/>
      <c r="J769" s="14"/>
    </row>
    <row r="770" spans="2:10" ht="15.75" customHeight="1">
      <c r="B770" s="32"/>
      <c r="C770" s="38"/>
      <c r="D770" s="34"/>
      <c r="E770" s="35"/>
      <c r="F770" s="35"/>
      <c r="G770" s="36"/>
      <c r="H770" s="36"/>
      <c r="I770" s="36"/>
      <c r="J770" s="14"/>
    </row>
    <row r="771" spans="2:10" ht="15.75" customHeight="1">
      <c r="B771" s="32"/>
      <c r="C771" s="38"/>
      <c r="D771" s="34"/>
      <c r="E771" s="35"/>
      <c r="F771" s="35"/>
      <c r="G771" s="36"/>
      <c r="H771" s="36"/>
      <c r="I771" s="36"/>
      <c r="J771" s="14"/>
    </row>
    <row r="772" spans="2:10" ht="15.75" customHeight="1">
      <c r="B772" s="32"/>
      <c r="C772" s="38"/>
      <c r="D772" s="34"/>
      <c r="E772" s="35"/>
      <c r="F772" s="35"/>
      <c r="G772" s="36"/>
      <c r="H772" s="36"/>
      <c r="I772" s="36"/>
      <c r="J772" s="14"/>
    </row>
    <row r="773" spans="2:10" ht="15.75" customHeight="1">
      <c r="B773" s="32"/>
      <c r="C773" s="38"/>
      <c r="D773" s="34"/>
      <c r="E773" s="35"/>
      <c r="F773" s="35"/>
      <c r="G773" s="36"/>
      <c r="H773" s="36"/>
      <c r="I773" s="36"/>
      <c r="J773" s="14"/>
    </row>
    <row r="774" spans="2:10" ht="15.75" customHeight="1">
      <c r="B774" s="32"/>
      <c r="C774" s="38"/>
      <c r="D774" s="34"/>
      <c r="E774" s="35"/>
      <c r="F774" s="35"/>
      <c r="G774" s="36"/>
      <c r="H774" s="36"/>
      <c r="I774" s="36"/>
      <c r="J774" s="14"/>
    </row>
    <row r="775" spans="2:10" ht="15.75" customHeight="1">
      <c r="B775" s="32"/>
      <c r="C775" s="38"/>
      <c r="D775" s="34"/>
      <c r="E775" s="35"/>
      <c r="F775" s="35"/>
      <c r="G775" s="36"/>
      <c r="H775" s="36"/>
      <c r="I775" s="36"/>
      <c r="J775" s="14"/>
    </row>
    <row r="776" spans="2:10" ht="15.75" customHeight="1">
      <c r="B776" s="32"/>
      <c r="C776" s="38"/>
      <c r="D776" s="34"/>
      <c r="E776" s="35"/>
      <c r="F776" s="35"/>
      <c r="G776" s="36"/>
      <c r="H776" s="36"/>
      <c r="I776" s="36"/>
      <c r="J776" s="14"/>
    </row>
    <row r="777" spans="2:10" ht="15.75" customHeight="1">
      <c r="B777" s="32"/>
      <c r="C777" s="38"/>
      <c r="D777" s="34"/>
      <c r="E777" s="35"/>
      <c r="F777" s="35"/>
      <c r="G777" s="36"/>
      <c r="H777" s="36"/>
      <c r="I777" s="36"/>
      <c r="J777" s="14"/>
    </row>
    <row r="778" spans="2:10" ht="15.75" customHeight="1">
      <c r="B778" s="32"/>
      <c r="C778" s="38"/>
      <c r="D778" s="34"/>
      <c r="E778" s="35"/>
      <c r="F778" s="35"/>
      <c r="G778" s="36"/>
      <c r="H778" s="36"/>
      <c r="I778" s="36"/>
      <c r="J778" s="14"/>
    </row>
    <row r="779" spans="2:10" ht="15.75" customHeight="1">
      <c r="B779" s="32"/>
      <c r="C779" s="38"/>
      <c r="D779" s="34"/>
      <c r="E779" s="35"/>
      <c r="F779" s="35"/>
      <c r="G779" s="36"/>
      <c r="H779" s="36"/>
      <c r="I779" s="36"/>
      <c r="J779" s="14"/>
    </row>
    <row r="780" spans="2:10" ht="15.75" customHeight="1">
      <c r="B780" s="32"/>
      <c r="C780" s="38"/>
      <c r="D780" s="34"/>
      <c r="E780" s="35"/>
      <c r="F780" s="35"/>
      <c r="G780" s="36"/>
      <c r="H780" s="36"/>
      <c r="I780" s="36"/>
      <c r="J780" s="14"/>
    </row>
    <row r="781" spans="2:10" ht="15.75" customHeight="1">
      <c r="B781" s="32"/>
      <c r="C781" s="38"/>
      <c r="D781" s="34"/>
      <c r="E781" s="35"/>
      <c r="F781" s="35"/>
      <c r="G781" s="36"/>
      <c r="H781" s="36"/>
      <c r="I781" s="36"/>
      <c r="J781" s="14"/>
    </row>
    <row r="782" spans="2:10" ht="15.75" customHeight="1">
      <c r="B782" s="32"/>
      <c r="C782" s="38"/>
      <c r="D782" s="34"/>
      <c r="E782" s="35"/>
      <c r="F782" s="35"/>
      <c r="G782" s="36"/>
      <c r="H782" s="36"/>
      <c r="I782" s="36"/>
      <c r="J782" s="14"/>
    </row>
    <row r="783" spans="2:10" ht="15.75" customHeight="1">
      <c r="B783" s="32"/>
      <c r="C783" s="38"/>
      <c r="D783" s="34"/>
      <c r="E783" s="35"/>
      <c r="F783" s="35"/>
      <c r="G783" s="36"/>
      <c r="H783" s="36"/>
      <c r="I783" s="36"/>
      <c r="J783" s="14"/>
    </row>
    <row r="784" spans="2:10" ht="15.75" customHeight="1">
      <c r="B784" s="32"/>
      <c r="C784" s="38"/>
      <c r="D784" s="34"/>
      <c r="E784" s="35"/>
      <c r="F784" s="35"/>
      <c r="G784" s="36"/>
      <c r="H784" s="36"/>
      <c r="I784" s="36"/>
      <c r="J784" s="14"/>
    </row>
    <row r="785" spans="2:10" ht="15.75" customHeight="1">
      <c r="B785" s="32"/>
      <c r="C785" s="38"/>
      <c r="D785" s="34"/>
      <c r="E785" s="35"/>
      <c r="F785" s="35"/>
      <c r="G785" s="36"/>
      <c r="H785" s="36"/>
      <c r="I785" s="36"/>
      <c r="J785" s="14"/>
    </row>
    <row r="786" spans="2:10" ht="15.75" customHeight="1">
      <c r="B786" s="32"/>
      <c r="C786" s="38"/>
      <c r="D786" s="34"/>
      <c r="E786" s="35"/>
      <c r="F786" s="35"/>
      <c r="G786" s="36"/>
      <c r="H786" s="36"/>
      <c r="I786" s="36"/>
      <c r="J786" s="14"/>
    </row>
    <row r="787" spans="2:10" ht="15.75" customHeight="1">
      <c r="B787" s="32"/>
      <c r="C787" s="38"/>
      <c r="D787" s="34"/>
      <c r="E787" s="35"/>
      <c r="F787" s="35"/>
      <c r="G787" s="36"/>
      <c r="H787" s="36"/>
      <c r="I787" s="36"/>
      <c r="J787" s="14"/>
    </row>
    <row r="788" spans="2:10" ht="15.75" customHeight="1">
      <c r="B788" s="32"/>
      <c r="C788" s="38"/>
      <c r="D788" s="34"/>
      <c r="E788" s="35"/>
      <c r="F788" s="35"/>
      <c r="G788" s="36"/>
      <c r="H788" s="36"/>
      <c r="I788" s="36"/>
      <c r="J788" s="14"/>
    </row>
    <row r="789" spans="2:10" ht="15.75" customHeight="1">
      <c r="B789" s="32"/>
      <c r="C789" s="38"/>
      <c r="D789" s="34"/>
      <c r="E789" s="35"/>
      <c r="F789" s="35"/>
      <c r="G789" s="36"/>
      <c r="H789" s="36"/>
      <c r="I789" s="36"/>
      <c r="J789" s="14"/>
    </row>
    <row r="790" spans="2:10" ht="15.75" customHeight="1">
      <c r="B790" s="32"/>
      <c r="C790" s="38"/>
      <c r="D790" s="34"/>
      <c r="E790" s="35"/>
      <c r="F790" s="35"/>
      <c r="G790" s="36"/>
      <c r="H790" s="36"/>
      <c r="I790" s="36"/>
      <c r="J790" s="14"/>
    </row>
    <row r="791" spans="2:10" ht="15.75" customHeight="1">
      <c r="B791" s="32"/>
      <c r="C791" s="38"/>
      <c r="D791" s="34"/>
      <c r="E791" s="35"/>
      <c r="F791" s="35"/>
      <c r="G791" s="36"/>
      <c r="H791" s="36"/>
      <c r="I791" s="36"/>
      <c r="J791" s="14"/>
    </row>
    <row r="792" spans="2:10" ht="15.75" customHeight="1">
      <c r="B792" s="32"/>
      <c r="C792" s="38"/>
      <c r="D792" s="34"/>
      <c r="E792" s="35"/>
      <c r="F792" s="35"/>
      <c r="G792" s="36"/>
      <c r="H792" s="36"/>
      <c r="I792" s="36"/>
      <c r="J792" s="14"/>
    </row>
    <row r="793" spans="2:10" ht="15.75" customHeight="1">
      <c r="B793" s="32"/>
      <c r="C793" s="38"/>
      <c r="D793" s="34"/>
      <c r="E793" s="35"/>
      <c r="F793" s="35"/>
      <c r="G793" s="36"/>
      <c r="H793" s="36"/>
      <c r="I793" s="36"/>
      <c r="J793" s="14"/>
    </row>
    <row r="794" spans="2:10" ht="15.75" customHeight="1">
      <c r="B794" s="32"/>
      <c r="C794" s="38"/>
      <c r="D794" s="34"/>
      <c r="E794" s="35"/>
      <c r="F794" s="35"/>
      <c r="G794" s="36"/>
      <c r="H794" s="36"/>
      <c r="I794" s="36"/>
      <c r="J794" s="14"/>
    </row>
    <row r="795" spans="2:10" ht="15.75" customHeight="1">
      <c r="B795" s="32"/>
      <c r="C795" s="38"/>
      <c r="D795" s="34"/>
      <c r="E795" s="35"/>
      <c r="F795" s="35"/>
      <c r="G795" s="36"/>
      <c r="H795" s="36"/>
      <c r="I795" s="36"/>
      <c r="J795" s="14"/>
    </row>
    <row r="796" spans="2:10" ht="15.75" customHeight="1">
      <c r="B796" s="32"/>
      <c r="C796" s="38"/>
      <c r="D796" s="34"/>
      <c r="E796" s="35"/>
      <c r="F796" s="35"/>
      <c r="G796" s="36"/>
      <c r="H796" s="36"/>
      <c r="I796" s="36"/>
      <c r="J796" s="14"/>
    </row>
    <row r="797" spans="2:10" ht="15.75" customHeight="1">
      <c r="B797" s="32"/>
      <c r="C797" s="38"/>
      <c r="D797" s="34"/>
      <c r="E797" s="35"/>
      <c r="F797" s="35"/>
      <c r="G797" s="36"/>
      <c r="H797" s="36"/>
      <c r="I797" s="36"/>
      <c r="J797" s="14"/>
    </row>
    <row r="798" spans="2:10" ht="15.75" customHeight="1">
      <c r="B798" s="32"/>
      <c r="C798" s="38"/>
      <c r="D798" s="34"/>
      <c r="E798" s="35"/>
      <c r="F798" s="35"/>
      <c r="G798" s="36"/>
      <c r="H798" s="36"/>
      <c r="I798" s="36"/>
      <c r="J798" s="14"/>
    </row>
    <row r="799" spans="2:10" ht="15.75" customHeight="1">
      <c r="B799" s="32"/>
      <c r="C799" s="38"/>
      <c r="D799" s="34"/>
      <c r="E799" s="35"/>
      <c r="F799" s="35"/>
      <c r="G799" s="36"/>
      <c r="H799" s="36"/>
      <c r="I799" s="36"/>
      <c r="J799" s="14"/>
    </row>
    <row r="800" spans="2:10" ht="15.75" customHeight="1">
      <c r="B800" s="32"/>
      <c r="C800" s="38"/>
      <c r="D800" s="34"/>
      <c r="E800" s="35"/>
      <c r="F800" s="35"/>
      <c r="G800" s="36"/>
      <c r="H800" s="36"/>
      <c r="I800" s="36"/>
      <c r="J800" s="14"/>
    </row>
    <row r="801" spans="2:10" ht="15.75" customHeight="1">
      <c r="B801" s="32"/>
      <c r="C801" s="38"/>
      <c r="D801" s="34"/>
      <c r="E801" s="35"/>
      <c r="F801" s="35"/>
      <c r="G801" s="36"/>
      <c r="H801" s="36"/>
      <c r="I801" s="36"/>
      <c r="J801" s="14"/>
    </row>
    <row r="802" spans="2:10" ht="15.75" customHeight="1">
      <c r="B802" s="32"/>
      <c r="C802" s="38"/>
      <c r="D802" s="34"/>
      <c r="E802" s="35"/>
      <c r="F802" s="35"/>
      <c r="G802" s="36"/>
      <c r="H802" s="36"/>
      <c r="I802" s="36"/>
      <c r="J802" s="14"/>
    </row>
    <row r="803" spans="2:10" ht="15.75" customHeight="1">
      <c r="B803" s="32"/>
      <c r="C803" s="38"/>
      <c r="D803" s="34"/>
      <c r="E803" s="35"/>
      <c r="F803" s="35"/>
      <c r="G803" s="36"/>
      <c r="H803" s="36"/>
      <c r="I803" s="36"/>
      <c r="J803" s="14"/>
    </row>
    <row r="804" spans="2:10" ht="15.75" customHeight="1">
      <c r="B804" s="32"/>
      <c r="C804" s="38"/>
      <c r="D804" s="34"/>
      <c r="E804" s="35"/>
      <c r="F804" s="35"/>
      <c r="G804" s="36"/>
      <c r="H804" s="36"/>
      <c r="I804" s="36"/>
      <c r="J804" s="14"/>
    </row>
    <row r="805" spans="2:10" ht="15.75" customHeight="1">
      <c r="B805" s="32"/>
      <c r="C805" s="38"/>
      <c r="D805" s="34"/>
      <c r="E805" s="35"/>
      <c r="F805" s="35"/>
      <c r="G805" s="36"/>
      <c r="H805" s="36"/>
      <c r="I805" s="36"/>
      <c r="J805" s="14"/>
    </row>
    <row r="806" spans="2:10" ht="15.75" customHeight="1">
      <c r="B806" s="32"/>
      <c r="C806" s="38"/>
      <c r="D806" s="34"/>
      <c r="E806" s="35"/>
      <c r="F806" s="35"/>
      <c r="G806" s="36"/>
      <c r="H806" s="36"/>
      <c r="I806" s="36"/>
      <c r="J806" s="14"/>
    </row>
    <row r="807" spans="2:10" ht="15.75" customHeight="1">
      <c r="B807" s="32"/>
      <c r="C807" s="38"/>
      <c r="D807" s="34"/>
      <c r="E807" s="35"/>
      <c r="F807" s="35"/>
      <c r="G807" s="36"/>
      <c r="H807" s="36"/>
      <c r="I807" s="36"/>
      <c r="J807" s="14"/>
    </row>
    <row r="808" spans="2:10" ht="15.75" customHeight="1">
      <c r="B808" s="32"/>
      <c r="C808" s="38"/>
      <c r="D808" s="34"/>
      <c r="E808" s="35"/>
      <c r="F808" s="35"/>
      <c r="G808" s="36"/>
      <c r="H808" s="36"/>
      <c r="I808" s="36"/>
      <c r="J808" s="14"/>
    </row>
    <row r="809" spans="2:10" ht="15.75" customHeight="1">
      <c r="B809" s="32"/>
      <c r="C809" s="38"/>
      <c r="D809" s="34"/>
      <c r="E809" s="35"/>
      <c r="F809" s="35"/>
      <c r="G809" s="36"/>
      <c r="H809" s="36"/>
      <c r="I809" s="36"/>
      <c r="J809" s="14"/>
    </row>
    <row r="810" spans="2:10" ht="15.75" customHeight="1">
      <c r="B810" s="32"/>
      <c r="C810" s="38"/>
      <c r="D810" s="34"/>
      <c r="E810" s="35"/>
      <c r="F810" s="35"/>
      <c r="G810" s="36"/>
      <c r="H810" s="36"/>
      <c r="I810" s="36"/>
      <c r="J810" s="14"/>
    </row>
    <row r="811" spans="2:10" ht="15.75" customHeight="1">
      <c r="B811" s="32"/>
      <c r="C811" s="38"/>
      <c r="D811" s="34"/>
      <c r="E811" s="35"/>
      <c r="F811" s="35"/>
      <c r="G811" s="36"/>
      <c r="H811" s="36"/>
      <c r="I811" s="36"/>
      <c r="J811" s="14"/>
    </row>
    <row r="812" spans="2:10" ht="15.75" customHeight="1">
      <c r="B812" s="32"/>
      <c r="C812" s="38"/>
      <c r="D812" s="34"/>
      <c r="E812" s="35"/>
      <c r="F812" s="35"/>
      <c r="G812" s="36"/>
      <c r="H812" s="36"/>
      <c r="I812" s="36"/>
      <c r="J812" s="14"/>
    </row>
    <row r="813" spans="2:10" ht="15.75" customHeight="1">
      <c r="B813" s="32"/>
      <c r="C813" s="38"/>
      <c r="D813" s="34"/>
      <c r="E813" s="35"/>
      <c r="F813" s="35"/>
      <c r="G813" s="36"/>
      <c r="H813" s="36"/>
      <c r="I813" s="36"/>
      <c r="J813" s="14"/>
    </row>
    <row r="814" spans="2:10" ht="15.75" customHeight="1">
      <c r="B814" s="32"/>
      <c r="C814" s="38"/>
      <c r="D814" s="34"/>
      <c r="E814" s="35"/>
      <c r="F814" s="35"/>
      <c r="G814" s="36"/>
      <c r="H814" s="36"/>
      <c r="I814" s="36"/>
      <c r="J814" s="14"/>
    </row>
    <row r="815" spans="2:10" ht="15.75" customHeight="1">
      <c r="B815" s="32"/>
      <c r="C815" s="38"/>
      <c r="D815" s="34"/>
      <c r="E815" s="35"/>
      <c r="F815" s="35"/>
      <c r="G815" s="36"/>
      <c r="H815" s="36"/>
      <c r="I815" s="36"/>
      <c r="J815" s="14"/>
    </row>
    <row r="816" spans="2:10" ht="15.75" customHeight="1">
      <c r="B816" s="32"/>
      <c r="C816" s="38"/>
      <c r="D816" s="34"/>
      <c r="E816" s="35"/>
      <c r="F816" s="35"/>
      <c r="G816" s="36"/>
      <c r="H816" s="36"/>
      <c r="I816" s="36"/>
      <c r="J816" s="14"/>
    </row>
    <row r="817" spans="2:10" ht="15.75" customHeight="1">
      <c r="B817" s="32"/>
      <c r="C817" s="38"/>
      <c r="D817" s="34"/>
      <c r="E817" s="35"/>
      <c r="F817" s="35"/>
      <c r="G817" s="36"/>
      <c r="H817" s="36"/>
      <c r="I817" s="36"/>
      <c r="J817" s="14"/>
    </row>
    <row r="818" spans="2:10" ht="15.75" customHeight="1">
      <c r="B818" s="32"/>
      <c r="C818" s="38"/>
      <c r="D818" s="34"/>
      <c r="E818" s="35"/>
      <c r="F818" s="35"/>
      <c r="G818" s="36"/>
      <c r="H818" s="36"/>
      <c r="I818" s="36"/>
      <c r="J818" s="14"/>
    </row>
    <row r="819" spans="2:10" ht="15.75" customHeight="1">
      <c r="B819" s="32"/>
      <c r="C819" s="38"/>
      <c r="D819" s="34"/>
      <c r="E819" s="35"/>
      <c r="F819" s="35"/>
      <c r="G819" s="36"/>
      <c r="H819" s="36"/>
      <c r="I819" s="36"/>
      <c r="J819" s="14"/>
    </row>
    <row r="820" spans="2:10" ht="15.75" customHeight="1">
      <c r="B820" s="32"/>
      <c r="C820" s="38"/>
      <c r="D820" s="34"/>
      <c r="E820" s="35"/>
      <c r="F820" s="35"/>
      <c r="G820" s="36"/>
      <c r="H820" s="36"/>
      <c r="I820" s="36"/>
      <c r="J820" s="14"/>
    </row>
    <row r="821" spans="2:10" ht="15.75" customHeight="1">
      <c r="B821" s="32"/>
      <c r="C821" s="38"/>
      <c r="D821" s="34"/>
      <c r="E821" s="35"/>
      <c r="F821" s="35"/>
      <c r="G821" s="36"/>
      <c r="H821" s="36"/>
      <c r="I821" s="36"/>
      <c r="J821" s="14"/>
    </row>
    <row r="822" spans="2:10" ht="15.75" customHeight="1">
      <c r="B822" s="32"/>
      <c r="C822" s="38"/>
      <c r="D822" s="34"/>
      <c r="E822" s="35"/>
      <c r="F822" s="35"/>
      <c r="G822" s="36"/>
      <c r="H822" s="36"/>
      <c r="I822" s="36"/>
      <c r="J822" s="14"/>
    </row>
    <row r="823" spans="2:10" ht="15.75" customHeight="1">
      <c r="B823" s="32"/>
      <c r="C823" s="38"/>
      <c r="D823" s="34"/>
      <c r="E823" s="35"/>
      <c r="F823" s="35"/>
      <c r="G823" s="36"/>
      <c r="H823" s="36"/>
      <c r="I823" s="36"/>
      <c r="J823" s="14"/>
    </row>
    <row r="824" spans="2:10" ht="15.75" customHeight="1">
      <c r="B824" s="32"/>
      <c r="C824" s="38"/>
      <c r="D824" s="34"/>
      <c r="E824" s="35"/>
      <c r="F824" s="35"/>
      <c r="G824" s="36"/>
      <c r="H824" s="36"/>
      <c r="I824" s="36"/>
      <c r="J824" s="14"/>
    </row>
    <row r="825" spans="2:10" ht="15.75" customHeight="1">
      <c r="B825" s="32"/>
      <c r="C825" s="38"/>
      <c r="D825" s="34"/>
      <c r="E825" s="35"/>
      <c r="F825" s="35"/>
      <c r="G825" s="36"/>
      <c r="H825" s="36"/>
      <c r="I825" s="36"/>
      <c r="J825" s="14"/>
    </row>
    <row r="826" spans="2:10" ht="15.75" customHeight="1">
      <c r="B826" s="32"/>
      <c r="C826" s="38"/>
      <c r="D826" s="34"/>
      <c r="E826" s="35"/>
      <c r="F826" s="35"/>
      <c r="G826" s="36"/>
      <c r="H826" s="36"/>
      <c r="I826" s="36"/>
      <c r="J826" s="14"/>
    </row>
    <row r="827" spans="2:10" ht="15.75" customHeight="1">
      <c r="B827" s="32"/>
      <c r="C827" s="38"/>
      <c r="D827" s="34"/>
      <c r="E827" s="35"/>
      <c r="F827" s="35"/>
      <c r="G827" s="36"/>
      <c r="H827" s="36"/>
      <c r="I827" s="36"/>
      <c r="J827" s="14"/>
    </row>
    <row r="828" spans="2:10" ht="15.75" customHeight="1">
      <c r="B828" s="32"/>
      <c r="C828" s="38"/>
      <c r="D828" s="34"/>
      <c r="E828" s="35"/>
      <c r="F828" s="35"/>
      <c r="G828" s="36"/>
      <c r="H828" s="36"/>
      <c r="I828" s="36"/>
      <c r="J828" s="14"/>
    </row>
    <row r="829" spans="2:10" ht="15.75" customHeight="1">
      <c r="B829" s="32"/>
      <c r="C829" s="38"/>
      <c r="D829" s="34"/>
      <c r="E829" s="35"/>
      <c r="F829" s="35"/>
      <c r="G829" s="36"/>
      <c r="H829" s="36"/>
      <c r="I829" s="36"/>
      <c r="J829" s="14"/>
    </row>
    <row r="830" spans="2:10" ht="15.75" customHeight="1">
      <c r="B830" s="32"/>
      <c r="C830" s="38"/>
      <c r="D830" s="34"/>
      <c r="E830" s="35"/>
      <c r="F830" s="35"/>
      <c r="G830" s="36"/>
      <c r="H830" s="36"/>
      <c r="I830" s="36"/>
      <c r="J830" s="14"/>
    </row>
    <row r="831" spans="2:10" ht="15.75" customHeight="1">
      <c r="B831" s="32"/>
      <c r="C831" s="38"/>
      <c r="D831" s="34"/>
      <c r="E831" s="35"/>
      <c r="F831" s="35"/>
      <c r="G831" s="36"/>
      <c r="H831" s="36"/>
      <c r="I831" s="36"/>
      <c r="J831" s="14"/>
    </row>
    <row r="832" spans="2:10" ht="15.75" customHeight="1">
      <c r="B832" s="32"/>
      <c r="C832" s="38"/>
      <c r="D832" s="34"/>
      <c r="E832" s="35"/>
      <c r="F832" s="35"/>
      <c r="G832" s="36"/>
      <c r="H832" s="36"/>
      <c r="I832" s="36"/>
      <c r="J832" s="14"/>
    </row>
    <row r="833" spans="2:10" ht="15.75" customHeight="1">
      <c r="B833" s="32"/>
      <c r="C833" s="38"/>
      <c r="D833" s="34"/>
      <c r="E833" s="35"/>
      <c r="F833" s="35"/>
      <c r="G833" s="36"/>
      <c r="H833" s="36"/>
      <c r="I833" s="36"/>
      <c r="J833" s="14"/>
    </row>
    <row r="834" spans="2:10" ht="15.75" customHeight="1">
      <c r="B834" s="32"/>
      <c r="C834" s="38"/>
      <c r="D834" s="34"/>
      <c r="E834" s="35"/>
      <c r="F834" s="35"/>
      <c r="G834" s="36"/>
      <c r="H834" s="36"/>
      <c r="I834" s="36"/>
      <c r="J834" s="14"/>
    </row>
    <row r="835" spans="2:10" ht="15.75" customHeight="1">
      <c r="B835" s="32"/>
      <c r="C835" s="38"/>
      <c r="D835" s="34"/>
      <c r="E835" s="35"/>
      <c r="F835" s="35"/>
      <c r="G835" s="36"/>
      <c r="H835" s="36"/>
      <c r="I835" s="36"/>
      <c r="J835" s="14"/>
    </row>
    <row r="836" spans="2:10" ht="15.75" customHeight="1">
      <c r="B836" s="32"/>
      <c r="C836" s="38"/>
      <c r="D836" s="34"/>
      <c r="E836" s="35"/>
      <c r="F836" s="35"/>
      <c r="G836" s="36"/>
      <c r="H836" s="36"/>
      <c r="I836" s="36"/>
      <c r="J836" s="14"/>
    </row>
    <row r="837" spans="2:10" ht="15.75" customHeight="1">
      <c r="B837" s="32"/>
      <c r="C837" s="38"/>
      <c r="D837" s="34"/>
      <c r="E837" s="35"/>
      <c r="F837" s="35"/>
      <c r="G837" s="36"/>
      <c r="H837" s="36"/>
      <c r="I837" s="36"/>
      <c r="J837" s="14"/>
    </row>
    <row r="838" spans="2:10" ht="15.75" customHeight="1">
      <c r="B838" s="32"/>
      <c r="C838" s="38"/>
      <c r="D838" s="34"/>
      <c r="E838" s="35"/>
      <c r="F838" s="35"/>
      <c r="G838" s="36"/>
      <c r="H838" s="36"/>
      <c r="I838" s="36"/>
      <c r="J838" s="14"/>
    </row>
    <row r="839" spans="2:10" ht="15.75" customHeight="1">
      <c r="B839" s="32"/>
      <c r="C839" s="38"/>
      <c r="D839" s="34"/>
      <c r="E839" s="35"/>
      <c r="F839" s="35"/>
      <c r="G839" s="36"/>
      <c r="H839" s="36"/>
      <c r="I839" s="36"/>
      <c r="J839" s="14"/>
    </row>
    <row r="840" spans="2:10" ht="15.75" customHeight="1">
      <c r="B840" s="32"/>
      <c r="C840" s="38"/>
      <c r="D840" s="34"/>
      <c r="E840" s="35"/>
      <c r="F840" s="35"/>
      <c r="G840" s="36"/>
      <c r="H840" s="36"/>
      <c r="I840" s="36"/>
      <c r="J840" s="14"/>
    </row>
    <row r="841" spans="2:10" ht="15.75" customHeight="1">
      <c r="B841" s="32"/>
      <c r="C841" s="38"/>
      <c r="D841" s="34"/>
      <c r="E841" s="35"/>
      <c r="F841" s="35"/>
      <c r="G841" s="36"/>
      <c r="H841" s="36"/>
      <c r="I841" s="36"/>
      <c r="J841" s="14"/>
    </row>
    <row r="842" spans="2:10" ht="15.75" customHeight="1">
      <c r="B842" s="32"/>
      <c r="C842" s="38"/>
      <c r="D842" s="34"/>
      <c r="E842" s="35"/>
      <c r="F842" s="35"/>
      <c r="G842" s="36"/>
      <c r="H842" s="36"/>
      <c r="I842" s="36"/>
      <c r="J842" s="14"/>
    </row>
    <row r="843" spans="2:10" ht="15.75" customHeight="1">
      <c r="B843" s="32"/>
      <c r="C843" s="38"/>
      <c r="D843" s="34"/>
      <c r="E843" s="35"/>
      <c r="F843" s="35"/>
      <c r="G843" s="36"/>
      <c r="H843" s="36"/>
      <c r="I843" s="36"/>
      <c r="J843" s="14"/>
    </row>
    <row r="844" spans="2:10" ht="15.75" customHeight="1">
      <c r="B844" s="32"/>
      <c r="C844" s="38"/>
      <c r="D844" s="34"/>
      <c r="E844" s="35"/>
      <c r="F844" s="35"/>
      <c r="G844" s="36"/>
      <c r="H844" s="36"/>
      <c r="I844" s="36"/>
      <c r="J844" s="14"/>
    </row>
    <row r="845" spans="2:10" ht="15.75" customHeight="1">
      <c r="B845" s="32"/>
      <c r="C845" s="38"/>
      <c r="D845" s="34"/>
      <c r="E845" s="35"/>
      <c r="F845" s="35"/>
      <c r="G845" s="36"/>
      <c r="H845" s="36"/>
      <c r="I845" s="36"/>
      <c r="J845" s="14"/>
    </row>
    <row r="846" spans="2:10" ht="15.75" customHeight="1">
      <c r="B846" s="32"/>
      <c r="C846" s="38"/>
      <c r="D846" s="34"/>
      <c r="E846" s="35"/>
      <c r="F846" s="35"/>
      <c r="G846" s="36"/>
      <c r="H846" s="36"/>
      <c r="I846" s="36"/>
      <c r="J846" s="14"/>
    </row>
    <row r="847" spans="2:10" ht="15.75" customHeight="1">
      <c r="B847" s="32"/>
      <c r="C847" s="38"/>
      <c r="D847" s="34"/>
      <c r="E847" s="35"/>
      <c r="F847" s="35"/>
      <c r="G847" s="36"/>
      <c r="H847" s="36"/>
      <c r="I847" s="36"/>
      <c r="J847" s="14"/>
    </row>
    <row r="848" spans="2:10" ht="15.75" customHeight="1">
      <c r="B848" s="32"/>
      <c r="C848" s="38"/>
      <c r="D848" s="34"/>
      <c r="E848" s="35"/>
      <c r="F848" s="35"/>
      <c r="G848" s="36"/>
      <c r="H848" s="36"/>
      <c r="I848" s="36"/>
      <c r="J848" s="14"/>
    </row>
    <row r="849" spans="2:10" ht="15.75" customHeight="1">
      <c r="B849" s="32"/>
      <c r="C849" s="38"/>
      <c r="D849" s="34"/>
      <c r="E849" s="35"/>
      <c r="F849" s="35"/>
      <c r="G849" s="36"/>
      <c r="H849" s="36"/>
      <c r="I849" s="36"/>
      <c r="J849" s="14"/>
    </row>
    <row r="850" spans="2:10" ht="15.75" customHeight="1">
      <c r="B850" s="32"/>
      <c r="C850" s="38"/>
      <c r="D850" s="34"/>
      <c r="E850" s="35"/>
      <c r="F850" s="35"/>
      <c r="G850" s="36"/>
      <c r="H850" s="36"/>
      <c r="I850" s="36"/>
      <c r="J850" s="14"/>
    </row>
    <row r="851" spans="2:10" ht="15.75" customHeight="1">
      <c r="B851" s="32"/>
      <c r="C851" s="38"/>
      <c r="D851" s="34"/>
      <c r="E851" s="35"/>
      <c r="F851" s="35"/>
      <c r="G851" s="36"/>
      <c r="H851" s="36"/>
      <c r="I851" s="36"/>
      <c r="J851" s="14"/>
    </row>
    <row r="852" spans="2:10" ht="15.75" customHeight="1">
      <c r="B852" s="32"/>
      <c r="C852" s="38"/>
      <c r="D852" s="34"/>
      <c r="E852" s="35"/>
      <c r="F852" s="35"/>
      <c r="G852" s="36"/>
      <c r="H852" s="36"/>
      <c r="I852" s="36"/>
      <c r="J852" s="14"/>
    </row>
    <row r="853" spans="2:10" ht="15.75" customHeight="1">
      <c r="B853" s="32"/>
      <c r="C853" s="38"/>
      <c r="D853" s="34"/>
      <c r="E853" s="35"/>
      <c r="F853" s="35"/>
      <c r="G853" s="36"/>
      <c r="H853" s="36"/>
      <c r="I853" s="36"/>
      <c r="J853" s="14"/>
    </row>
    <row r="854" spans="2:10" ht="15.75" customHeight="1">
      <c r="B854" s="32"/>
      <c r="C854" s="38"/>
      <c r="D854" s="34"/>
      <c r="E854" s="35"/>
      <c r="F854" s="35"/>
      <c r="G854" s="36"/>
      <c r="H854" s="36"/>
      <c r="I854" s="36"/>
      <c r="J854" s="14"/>
    </row>
    <row r="855" spans="2:10" ht="15.75" customHeight="1">
      <c r="B855" s="32"/>
      <c r="C855" s="38"/>
      <c r="D855" s="34"/>
      <c r="E855" s="35"/>
      <c r="F855" s="35"/>
      <c r="G855" s="36"/>
      <c r="H855" s="36"/>
      <c r="I855" s="36"/>
      <c r="J855" s="14"/>
    </row>
    <row r="856" spans="2:10" ht="15.75" customHeight="1">
      <c r="B856" s="32"/>
      <c r="C856" s="38"/>
      <c r="D856" s="34"/>
      <c r="E856" s="35"/>
      <c r="F856" s="35"/>
      <c r="G856" s="36"/>
      <c r="H856" s="36"/>
      <c r="I856" s="36"/>
      <c r="J856" s="14"/>
    </row>
    <row r="857" spans="2:10" ht="15.75" customHeight="1">
      <c r="B857" s="32"/>
      <c r="C857" s="38"/>
      <c r="D857" s="34"/>
      <c r="E857" s="35"/>
      <c r="F857" s="35"/>
      <c r="G857" s="36"/>
      <c r="H857" s="36"/>
      <c r="I857" s="36"/>
      <c r="J857" s="14"/>
    </row>
    <row r="858" spans="2:10" ht="15.75" customHeight="1">
      <c r="B858" s="32"/>
      <c r="C858" s="38"/>
      <c r="D858" s="34"/>
      <c r="E858" s="35"/>
      <c r="F858" s="35"/>
      <c r="G858" s="36"/>
      <c r="H858" s="36"/>
      <c r="I858" s="36"/>
      <c r="J858" s="14"/>
    </row>
    <row r="859" spans="2:10" ht="15.75" customHeight="1">
      <c r="B859" s="32"/>
      <c r="C859" s="38"/>
      <c r="D859" s="34"/>
      <c r="E859" s="35"/>
      <c r="F859" s="35"/>
      <c r="G859" s="36"/>
      <c r="H859" s="36"/>
      <c r="I859" s="36"/>
      <c r="J859" s="14"/>
    </row>
    <row r="860" spans="2:10" ht="15.75" customHeight="1">
      <c r="B860" s="32"/>
      <c r="C860" s="38"/>
      <c r="D860" s="34"/>
      <c r="E860" s="35"/>
      <c r="F860" s="35"/>
      <c r="G860" s="36"/>
      <c r="H860" s="36"/>
      <c r="I860" s="36"/>
      <c r="J860" s="14"/>
    </row>
    <row r="861" spans="2:10" ht="15.75" customHeight="1">
      <c r="B861" s="32"/>
      <c r="C861" s="38"/>
      <c r="D861" s="34"/>
      <c r="E861" s="35"/>
      <c r="F861" s="35"/>
      <c r="G861" s="36"/>
      <c r="H861" s="36"/>
      <c r="I861" s="36"/>
      <c r="J861" s="14"/>
    </row>
    <row r="862" spans="2:10" ht="15.75" customHeight="1">
      <c r="B862" s="32"/>
      <c r="C862" s="38"/>
      <c r="D862" s="34"/>
      <c r="E862" s="35"/>
      <c r="F862" s="35"/>
      <c r="G862" s="36"/>
      <c r="H862" s="36"/>
      <c r="I862" s="36"/>
      <c r="J862" s="14"/>
    </row>
    <row r="863" spans="2:10" ht="15.75" customHeight="1">
      <c r="B863" s="32"/>
      <c r="C863" s="38"/>
      <c r="D863" s="34"/>
      <c r="E863" s="35"/>
      <c r="F863" s="35"/>
      <c r="G863" s="36"/>
      <c r="H863" s="36"/>
      <c r="I863" s="36"/>
      <c r="J863" s="14"/>
    </row>
    <row r="864" spans="2:10" ht="15.75" customHeight="1">
      <c r="B864" s="32"/>
      <c r="C864" s="38"/>
      <c r="D864" s="34"/>
      <c r="E864" s="35"/>
      <c r="F864" s="35"/>
      <c r="G864" s="36"/>
      <c r="H864" s="36"/>
      <c r="I864" s="36"/>
      <c r="J864" s="14"/>
    </row>
    <row r="865" spans="2:10" ht="15.75" customHeight="1">
      <c r="B865" s="32"/>
      <c r="C865" s="38"/>
      <c r="D865" s="34"/>
      <c r="E865" s="35"/>
      <c r="F865" s="35"/>
      <c r="G865" s="36"/>
      <c r="H865" s="36"/>
      <c r="I865" s="36"/>
      <c r="J865" s="14"/>
    </row>
    <row r="866" spans="2:10" ht="15.75" customHeight="1">
      <c r="B866" s="32"/>
      <c r="C866" s="38"/>
      <c r="D866" s="34"/>
      <c r="E866" s="35"/>
      <c r="F866" s="35"/>
      <c r="G866" s="36"/>
      <c r="H866" s="36"/>
      <c r="I866" s="36"/>
      <c r="J866" s="14"/>
    </row>
    <row r="867" spans="2:10" ht="15.75" customHeight="1">
      <c r="B867" s="32"/>
      <c r="C867" s="38"/>
      <c r="D867" s="34"/>
      <c r="E867" s="35"/>
      <c r="F867" s="35"/>
      <c r="G867" s="36"/>
      <c r="H867" s="36"/>
      <c r="I867" s="36"/>
      <c r="J867" s="14"/>
    </row>
    <row r="868" spans="2:10" ht="15.75" customHeight="1">
      <c r="B868" s="32"/>
      <c r="C868" s="38"/>
      <c r="D868" s="34"/>
      <c r="E868" s="35"/>
      <c r="F868" s="35"/>
      <c r="G868" s="36"/>
      <c r="H868" s="36"/>
      <c r="I868" s="36"/>
      <c r="J868" s="14"/>
    </row>
    <row r="869" spans="2:10" ht="15.75" customHeight="1">
      <c r="B869" s="32"/>
      <c r="C869" s="38"/>
      <c r="D869" s="34"/>
      <c r="E869" s="35"/>
      <c r="F869" s="35"/>
      <c r="G869" s="36"/>
      <c r="H869" s="36"/>
      <c r="I869" s="36"/>
      <c r="J869" s="14"/>
    </row>
    <row r="870" spans="2:10" ht="15.75" customHeight="1">
      <c r="B870" s="32"/>
      <c r="C870" s="38"/>
      <c r="D870" s="34"/>
      <c r="E870" s="35"/>
      <c r="F870" s="35"/>
      <c r="G870" s="36"/>
      <c r="H870" s="36"/>
      <c r="I870" s="36"/>
      <c r="J870" s="14"/>
    </row>
    <row r="871" spans="2:10" ht="15.75" customHeight="1">
      <c r="B871" s="32"/>
      <c r="C871" s="38"/>
      <c r="D871" s="34"/>
      <c r="E871" s="35"/>
      <c r="F871" s="35"/>
      <c r="G871" s="36"/>
      <c r="H871" s="36"/>
      <c r="I871" s="36"/>
      <c r="J871" s="14"/>
    </row>
    <row r="872" spans="2:10" ht="15.75" customHeight="1">
      <c r="B872" s="32"/>
      <c r="C872" s="38"/>
      <c r="D872" s="34"/>
      <c r="E872" s="35"/>
      <c r="F872" s="35"/>
      <c r="G872" s="36"/>
      <c r="H872" s="36"/>
      <c r="I872" s="36"/>
      <c r="J872" s="14"/>
    </row>
    <row r="873" spans="2:10" ht="15.75" customHeight="1">
      <c r="B873" s="32"/>
      <c r="C873" s="38"/>
      <c r="D873" s="34"/>
      <c r="E873" s="35"/>
      <c r="F873" s="35"/>
      <c r="G873" s="36"/>
      <c r="H873" s="36"/>
      <c r="I873" s="36"/>
      <c r="J873" s="14"/>
    </row>
    <row r="874" spans="2:10" ht="15.75" customHeight="1">
      <c r="B874" s="32"/>
      <c r="C874" s="38"/>
      <c r="D874" s="34"/>
      <c r="E874" s="35"/>
      <c r="F874" s="35"/>
      <c r="G874" s="36"/>
      <c r="H874" s="36"/>
      <c r="I874" s="36"/>
      <c r="J874" s="14"/>
    </row>
    <row r="875" spans="2:10" ht="15.75" customHeight="1">
      <c r="B875" s="32"/>
      <c r="C875" s="38"/>
      <c r="D875" s="34"/>
      <c r="E875" s="35"/>
      <c r="F875" s="35"/>
      <c r="G875" s="36"/>
      <c r="H875" s="36"/>
      <c r="I875" s="36"/>
      <c r="J875" s="14"/>
    </row>
    <row r="876" spans="2:10" ht="15.75" customHeight="1">
      <c r="B876" s="32"/>
      <c r="C876" s="38"/>
      <c r="D876" s="34"/>
      <c r="E876" s="35"/>
      <c r="F876" s="35"/>
      <c r="G876" s="36"/>
      <c r="H876" s="36"/>
      <c r="I876" s="36"/>
      <c r="J876" s="14"/>
    </row>
    <row r="877" spans="2:10" ht="15.75" customHeight="1">
      <c r="B877" s="32"/>
      <c r="C877" s="38"/>
      <c r="D877" s="34"/>
      <c r="E877" s="35"/>
      <c r="F877" s="35"/>
      <c r="G877" s="36"/>
      <c r="H877" s="36"/>
      <c r="I877" s="36"/>
      <c r="J877" s="14"/>
    </row>
    <row r="878" spans="2:10" ht="15.75" customHeight="1">
      <c r="B878" s="32"/>
      <c r="C878" s="38"/>
      <c r="D878" s="34"/>
      <c r="E878" s="35"/>
      <c r="F878" s="35"/>
      <c r="G878" s="36"/>
      <c r="H878" s="36"/>
      <c r="I878" s="36"/>
      <c r="J878" s="14"/>
    </row>
    <row r="879" spans="2:10" ht="15.75" customHeight="1">
      <c r="B879" s="32"/>
      <c r="C879" s="38"/>
      <c r="D879" s="34"/>
      <c r="E879" s="35"/>
      <c r="F879" s="35"/>
      <c r="G879" s="36"/>
      <c r="H879" s="36"/>
      <c r="I879" s="36"/>
      <c r="J879" s="14"/>
    </row>
    <row r="880" spans="2:10" ht="15.75" customHeight="1">
      <c r="B880" s="32"/>
      <c r="C880" s="38"/>
      <c r="D880" s="34"/>
      <c r="E880" s="35"/>
      <c r="F880" s="35"/>
      <c r="G880" s="36"/>
      <c r="H880" s="36"/>
      <c r="I880" s="36"/>
      <c r="J880" s="14"/>
    </row>
    <row r="881" spans="2:10" ht="15.75" customHeight="1">
      <c r="B881" s="32"/>
      <c r="C881" s="38"/>
      <c r="D881" s="34"/>
      <c r="E881" s="35"/>
      <c r="F881" s="35"/>
      <c r="G881" s="36"/>
      <c r="H881" s="36"/>
      <c r="I881" s="36"/>
      <c r="J881" s="14"/>
    </row>
    <row r="882" spans="2:10" ht="15.75" customHeight="1">
      <c r="B882" s="32"/>
      <c r="C882" s="38"/>
      <c r="D882" s="34"/>
      <c r="E882" s="35"/>
      <c r="F882" s="35"/>
      <c r="G882" s="36"/>
      <c r="H882" s="36"/>
      <c r="I882" s="36"/>
      <c r="J882" s="14"/>
    </row>
    <row r="883" spans="2:10" ht="15.75" customHeight="1">
      <c r="B883" s="32"/>
      <c r="C883" s="38"/>
      <c r="D883" s="34"/>
      <c r="E883" s="35"/>
      <c r="F883" s="35"/>
      <c r="G883" s="36"/>
      <c r="H883" s="36"/>
      <c r="I883" s="36"/>
      <c r="J883" s="14"/>
    </row>
    <row r="884" spans="2:10" ht="15.75" customHeight="1">
      <c r="B884" s="32"/>
      <c r="C884" s="38"/>
      <c r="D884" s="34"/>
      <c r="E884" s="35"/>
      <c r="F884" s="35"/>
      <c r="G884" s="36"/>
      <c r="H884" s="36"/>
      <c r="I884" s="36"/>
      <c r="J884" s="14"/>
    </row>
    <row r="885" spans="2:10" ht="15.75" customHeight="1">
      <c r="B885" s="32"/>
      <c r="C885" s="38"/>
      <c r="D885" s="34"/>
      <c r="E885" s="35"/>
      <c r="F885" s="35"/>
      <c r="G885" s="36"/>
      <c r="H885" s="36"/>
      <c r="I885" s="36"/>
      <c r="J885" s="14"/>
    </row>
    <row r="886" spans="2:10" ht="15.75" customHeight="1">
      <c r="B886" s="32"/>
      <c r="C886" s="38"/>
      <c r="D886" s="34"/>
      <c r="E886" s="35"/>
      <c r="F886" s="35"/>
      <c r="G886" s="36"/>
      <c r="H886" s="36"/>
      <c r="I886" s="36"/>
      <c r="J886" s="14"/>
    </row>
    <row r="887" spans="2:10" ht="15.75" customHeight="1">
      <c r="B887" s="32"/>
      <c r="C887" s="38"/>
      <c r="D887" s="34"/>
      <c r="E887" s="35"/>
      <c r="F887" s="35"/>
      <c r="G887" s="36"/>
      <c r="H887" s="36"/>
      <c r="I887" s="36"/>
      <c r="J887" s="14"/>
    </row>
    <row r="888" spans="2:10" ht="15.75" customHeight="1">
      <c r="B888" s="32"/>
      <c r="C888" s="38"/>
      <c r="D888" s="34"/>
      <c r="E888" s="35"/>
      <c r="F888" s="35"/>
      <c r="G888" s="36"/>
      <c r="H888" s="36"/>
      <c r="I888" s="36"/>
      <c r="J888" s="14"/>
    </row>
    <row r="889" spans="2:10" ht="15.75" customHeight="1">
      <c r="B889" s="32"/>
      <c r="C889" s="38"/>
      <c r="D889" s="34"/>
      <c r="E889" s="35"/>
      <c r="F889" s="35"/>
      <c r="G889" s="36"/>
      <c r="H889" s="36"/>
      <c r="I889" s="36"/>
      <c r="J889" s="14"/>
    </row>
    <row r="890" spans="2:10" ht="15.75" customHeight="1">
      <c r="B890" s="32"/>
      <c r="C890" s="38"/>
      <c r="D890" s="34"/>
      <c r="E890" s="35"/>
      <c r="F890" s="35"/>
      <c r="G890" s="36"/>
      <c r="H890" s="36"/>
      <c r="I890" s="36"/>
      <c r="J890" s="14"/>
    </row>
    <row r="891" spans="2:10" ht="15.75" customHeight="1">
      <c r="B891" s="32"/>
      <c r="C891" s="38"/>
      <c r="D891" s="34"/>
      <c r="E891" s="35"/>
      <c r="F891" s="35"/>
      <c r="G891" s="36"/>
      <c r="H891" s="36"/>
      <c r="I891" s="36"/>
      <c r="J891" s="14"/>
    </row>
    <row r="892" spans="2:10" ht="15.75" customHeight="1">
      <c r="B892" s="32"/>
      <c r="C892" s="38"/>
      <c r="D892" s="34"/>
      <c r="E892" s="35"/>
      <c r="F892" s="35"/>
      <c r="G892" s="36"/>
      <c r="H892" s="36"/>
      <c r="I892" s="36"/>
      <c r="J892" s="14"/>
    </row>
    <row r="893" spans="2:10" ht="15.75" customHeight="1">
      <c r="B893" s="32"/>
      <c r="C893" s="38"/>
      <c r="D893" s="34"/>
      <c r="E893" s="35"/>
      <c r="F893" s="35"/>
      <c r="G893" s="36"/>
      <c r="H893" s="36"/>
      <c r="I893" s="36"/>
      <c r="J893" s="14"/>
    </row>
    <row r="894" spans="2:10" ht="15.75" customHeight="1">
      <c r="B894" s="32"/>
      <c r="C894" s="38"/>
      <c r="D894" s="34"/>
      <c r="E894" s="35"/>
      <c r="F894" s="35"/>
      <c r="G894" s="36"/>
      <c r="H894" s="36"/>
      <c r="I894" s="36"/>
      <c r="J894" s="14"/>
    </row>
    <row r="895" spans="2:10" ht="15.75" customHeight="1">
      <c r="B895" s="32"/>
      <c r="C895" s="38"/>
      <c r="D895" s="34"/>
      <c r="E895" s="35"/>
      <c r="F895" s="35"/>
      <c r="G895" s="36"/>
      <c r="H895" s="36"/>
      <c r="I895" s="36"/>
      <c r="J895" s="14"/>
    </row>
    <row r="896" spans="2:10" ht="15.75" customHeight="1">
      <c r="B896" s="32"/>
      <c r="C896" s="38"/>
      <c r="D896" s="34"/>
      <c r="E896" s="35"/>
      <c r="F896" s="35"/>
      <c r="G896" s="36"/>
      <c r="H896" s="36"/>
      <c r="I896" s="36"/>
      <c r="J896" s="14"/>
    </row>
    <row r="897" spans="2:10" ht="15.75" customHeight="1">
      <c r="B897" s="32"/>
      <c r="C897" s="38"/>
      <c r="D897" s="34"/>
      <c r="E897" s="35"/>
      <c r="F897" s="35"/>
      <c r="G897" s="36"/>
      <c r="H897" s="36"/>
      <c r="I897" s="36"/>
      <c r="J897" s="14"/>
    </row>
    <row r="898" spans="2:10" ht="15.75" customHeight="1">
      <c r="B898" s="32"/>
      <c r="C898" s="38"/>
      <c r="D898" s="34"/>
      <c r="E898" s="35"/>
      <c r="F898" s="35"/>
      <c r="G898" s="36"/>
      <c r="H898" s="36"/>
      <c r="I898" s="36"/>
      <c r="J898" s="14"/>
    </row>
    <row r="899" spans="2:10" ht="15.75" customHeight="1">
      <c r="B899" s="32"/>
      <c r="C899" s="38"/>
      <c r="D899" s="34"/>
      <c r="E899" s="35"/>
      <c r="F899" s="35"/>
      <c r="G899" s="36"/>
      <c r="H899" s="36"/>
      <c r="I899" s="36"/>
      <c r="J899" s="14"/>
    </row>
    <row r="900" spans="2:10" ht="15.75" customHeight="1">
      <c r="B900" s="32"/>
      <c r="C900" s="38"/>
      <c r="D900" s="34"/>
      <c r="E900" s="35"/>
      <c r="F900" s="35"/>
      <c r="G900" s="36"/>
      <c r="H900" s="36"/>
      <c r="I900" s="36"/>
      <c r="J900" s="14"/>
    </row>
    <row r="901" spans="2:10" ht="15.75" customHeight="1">
      <c r="B901" s="32"/>
      <c r="C901" s="38"/>
      <c r="D901" s="34"/>
      <c r="E901" s="35"/>
      <c r="F901" s="35"/>
      <c r="G901" s="36"/>
      <c r="H901" s="36"/>
      <c r="I901" s="36"/>
      <c r="J901" s="14"/>
    </row>
    <row r="902" spans="2:10" ht="15.75" customHeight="1">
      <c r="B902" s="32"/>
      <c r="C902" s="38"/>
      <c r="D902" s="34"/>
      <c r="E902" s="35"/>
      <c r="F902" s="35"/>
      <c r="G902" s="36"/>
      <c r="H902" s="36"/>
      <c r="I902" s="36"/>
      <c r="J902" s="14"/>
    </row>
    <row r="903" spans="2:10" ht="15.75" customHeight="1">
      <c r="B903" s="32"/>
      <c r="C903" s="38"/>
      <c r="D903" s="34"/>
      <c r="E903" s="35"/>
      <c r="F903" s="35"/>
      <c r="G903" s="36"/>
      <c r="H903" s="36"/>
      <c r="I903" s="36"/>
      <c r="J903" s="14"/>
    </row>
    <row r="904" spans="2:10" ht="15.75" customHeight="1">
      <c r="B904" s="32"/>
      <c r="C904" s="38"/>
      <c r="D904" s="34"/>
      <c r="E904" s="35"/>
      <c r="F904" s="35"/>
      <c r="G904" s="36"/>
      <c r="H904" s="36"/>
      <c r="I904" s="36"/>
      <c r="J904" s="14"/>
    </row>
    <row r="905" spans="2:10" ht="15.75" customHeight="1">
      <c r="B905" s="32"/>
      <c r="C905" s="38"/>
      <c r="D905" s="34"/>
      <c r="E905" s="35"/>
      <c r="F905" s="35"/>
      <c r="G905" s="36"/>
      <c r="H905" s="36"/>
      <c r="I905" s="36"/>
      <c r="J905" s="14"/>
    </row>
    <row r="906" spans="2:10" ht="15.75" customHeight="1">
      <c r="B906" s="32"/>
      <c r="C906" s="38"/>
      <c r="D906" s="34"/>
      <c r="E906" s="35"/>
      <c r="F906" s="35"/>
      <c r="G906" s="36"/>
      <c r="H906" s="36"/>
      <c r="I906" s="36"/>
      <c r="J906" s="14"/>
    </row>
    <row r="907" spans="2:10" ht="15.75" customHeight="1">
      <c r="B907" s="32"/>
      <c r="C907" s="38"/>
      <c r="D907" s="34"/>
      <c r="E907" s="35"/>
      <c r="F907" s="35"/>
      <c r="G907" s="36"/>
      <c r="H907" s="36"/>
      <c r="I907" s="36"/>
      <c r="J907" s="14"/>
    </row>
    <row r="908" spans="2:10" ht="15.75" customHeight="1">
      <c r="B908" s="32"/>
      <c r="C908" s="38"/>
      <c r="D908" s="34"/>
      <c r="E908" s="35"/>
      <c r="F908" s="35"/>
      <c r="G908" s="36"/>
      <c r="H908" s="36"/>
      <c r="I908" s="36"/>
      <c r="J908" s="14"/>
    </row>
    <row r="909" spans="2:10" ht="15.75" customHeight="1">
      <c r="B909" s="32"/>
      <c r="C909" s="38"/>
      <c r="D909" s="34"/>
      <c r="E909" s="35"/>
      <c r="F909" s="35"/>
      <c r="G909" s="36"/>
      <c r="H909" s="36"/>
      <c r="I909" s="36"/>
      <c r="J909" s="14"/>
    </row>
    <row r="910" spans="2:10" ht="15.75" customHeight="1">
      <c r="B910" s="32"/>
      <c r="C910" s="38"/>
      <c r="D910" s="34"/>
      <c r="E910" s="35"/>
      <c r="F910" s="35"/>
      <c r="G910" s="36"/>
      <c r="H910" s="36"/>
      <c r="I910" s="36"/>
      <c r="J910" s="14"/>
    </row>
    <row r="911" spans="2:10" ht="15.75" customHeight="1">
      <c r="B911" s="32"/>
      <c r="C911" s="38"/>
      <c r="D911" s="34"/>
      <c r="E911" s="35"/>
      <c r="F911" s="35"/>
      <c r="G911" s="36"/>
      <c r="H911" s="36"/>
      <c r="I911" s="36"/>
      <c r="J911" s="14"/>
    </row>
    <row r="912" spans="2:10" ht="15.75" customHeight="1">
      <c r="B912" s="32"/>
      <c r="C912" s="38"/>
      <c r="D912" s="34"/>
      <c r="E912" s="35"/>
      <c r="F912" s="35"/>
      <c r="G912" s="36"/>
      <c r="H912" s="36"/>
      <c r="I912" s="36"/>
      <c r="J912" s="14"/>
    </row>
    <row r="913" spans="2:10" ht="15.75" customHeight="1">
      <c r="B913" s="32"/>
      <c r="C913" s="38"/>
      <c r="D913" s="34"/>
      <c r="E913" s="35"/>
      <c r="F913" s="35"/>
      <c r="G913" s="36"/>
      <c r="H913" s="36"/>
      <c r="I913" s="36"/>
      <c r="J913" s="14"/>
    </row>
    <row r="914" spans="2:10" ht="15.75" customHeight="1">
      <c r="B914" s="32"/>
      <c r="C914" s="38"/>
      <c r="D914" s="34"/>
      <c r="E914" s="35"/>
      <c r="F914" s="35"/>
      <c r="G914" s="36"/>
      <c r="H914" s="36"/>
      <c r="I914" s="36"/>
      <c r="J914" s="14"/>
    </row>
    <row r="915" spans="2:10" ht="15.75" customHeight="1">
      <c r="B915" s="32"/>
      <c r="C915" s="38"/>
      <c r="D915" s="34"/>
      <c r="E915" s="35"/>
      <c r="F915" s="35"/>
      <c r="G915" s="36"/>
      <c r="H915" s="36"/>
      <c r="I915" s="36"/>
      <c r="J915" s="14"/>
    </row>
    <row r="916" spans="2:10" ht="15.75" customHeight="1">
      <c r="B916" s="32"/>
      <c r="C916" s="38"/>
      <c r="D916" s="34"/>
      <c r="E916" s="35"/>
      <c r="F916" s="35"/>
      <c r="G916" s="36"/>
      <c r="H916" s="36"/>
      <c r="I916" s="36"/>
      <c r="J916" s="14"/>
    </row>
    <row r="917" spans="2:10" ht="15.75" customHeight="1">
      <c r="B917" s="32"/>
      <c r="C917" s="38"/>
      <c r="D917" s="34"/>
      <c r="E917" s="35"/>
      <c r="F917" s="35"/>
      <c r="G917" s="36"/>
      <c r="H917" s="36"/>
      <c r="I917" s="36"/>
      <c r="J917" s="14"/>
    </row>
    <row r="918" spans="2:10" ht="15.75" customHeight="1">
      <c r="B918" s="32"/>
      <c r="C918" s="38"/>
      <c r="D918" s="34"/>
      <c r="E918" s="35"/>
      <c r="F918" s="35"/>
      <c r="G918" s="36"/>
      <c r="H918" s="36"/>
      <c r="I918" s="36"/>
      <c r="J918" s="14"/>
    </row>
    <row r="919" spans="2:10" ht="15.75" customHeight="1">
      <c r="B919" s="32"/>
      <c r="C919" s="38"/>
      <c r="D919" s="34"/>
      <c r="E919" s="35"/>
      <c r="F919" s="35"/>
      <c r="G919" s="36"/>
      <c r="H919" s="36"/>
      <c r="I919" s="36"/>
      <c r="J919" s="14"/>
    </row>
    <row r="920" spans="2:10" ht="15.75" customHeight="1">
      <c r="B920" s="32"/>
      <c r="C920" s="38"/>
      <c r="D920" s="34"/>
      <c r="E920" s="35"/>
      <c r="F920" s="35"/>
      <c r="G920" s="36"/>
      <c r="H920" s="36"/>
      <c r="I920" s="36"/>
      <c r="J920" s="14"/>
    </row>
    <row r="921" spans="2:10" ht="15.75" customHeight="1">
      <c r="B921" s="32"/>
      <c r="C921" s="38"/>
      <c r="D921" s="34"/>
      <c r="E921" s="35"/>
      <c r="F921" s="35"/>
      <c r="G921" s="36"/>
      <c r="H921" s="36"/>
      <c r="I921" s="36"/>
      <c r="J921" s="14"/>
    </row>
    <row r="922" spans="2:10" ht="15.75" customHeight="1">
      <c r="B922" s="32"/>
      <c r="C922" s="38"/>
      <c r="D922" s="34"/>
      <c r="E922" s="35"/>
      <c r="F922" s="35"/>
      <c r="G922" s="36"/>
      <c r="H922" s="36"/>
      <c r="I922" s="36"/>
      <c r="J922" s="14"/>
    </row>
    <row r="923" spans="2:10" ht="15.75" customHeight="1">
      <c r="B923" s="32"/>
      <c r="C923" s="38"/>
      <c r="D923" s="34"/>
      <c r="E923" s="35"/>
      <c r="F923" s="35"/>
      <c r="G923" s="36"/>
      <c r="H923" s="36"/>
      <c r="I923" s="36"/>
      <c r="J923" s="14"/>
    </row>
    <row r="924" spans="2:10" ht="15.75" customHeight="1">
      <c r="B924" s="32"/>
      <c r="C924" s="38"/>
      <c r="D924" s="34"/>
      <c r="E924" s="35"/>
      <c r="F924" s="35"/>
      <c r="G924" s="36"/>
      <c r="H924" s="36"/>
      <c r="I924" s="36"/>
      <c r="J924" s="14"/>
    </row>
    <row r="925" spans="2:10" ht="15.75" customHeight="1">
      <c r="B925" s="32"/>
      <c r="C925" s="38"/>
      <c r="D925" s="34"/>
      <c r="E925" s="35"/>
      <c r="F925" s="35"/>
      <c r="G925" s="36"/>
      <c r="H925" s="36"/>
      <c r="I925" s="36"/>
      <c r="J925" s="14"/>
    </row>
    <row r="926" spans="2:10" ht="15.75" customHeight="1">
      <c r="B926" s="32"/>
      <c r="C926" s="38"/>
      <c r="D926" s="34"/>
      <c r="E926" s="35"/>
      <c r="F926" s="35"/>
      <c r="G926" s="36"/>
      <c r="H926" s="36"/>
      <c r="I926" s="36"/>
      <c r="J926" s="14"/>
    </row>
    <row r="927" spans="2:10" ht="15.75" customHeight="1">
      <c r="B927" s="32"/>
      <c r="C927" s="38"/>
      <c r="D927" s="34"/>
      <c r="E927" s="35"/>
      <c r="F927" s="35"/>
      <c r="G927" s="36"/>
      <c r="H927" s="36"/>
      <c r="I927" s="36"/>
      <c r="J927" s="14"/>
    </row>
    <row r="928" spans="2:10" ht="15.75" customHeight="1">
      <c r="B928" s="32"/>
      <c r="C928" s="38"/>
      <c r="D928" s="34"/>
      <c r="E928" s="35"/>
      <c r="F928" s="35"/>
      <c r="G928" s="36"/>
      <c r="H928" s="36"/>
      <c r="I928" s="36"/>
      <c r="J928" s="14"/>
    </row>
    <row r="929" spans="2:10" ht="15.75" customHeight="1">
      <c r="B929" s="32"/>
      <c r="C929" s="38"/>
      <c r="D929" s="34"/>
      <c r="E929" s="35"/>
      <c r="F929" s="35"/>
      <c r="G929" s="36"/>
      <c r="H929" s="36"/>
      <c r="I929" s="36"/>
      <c r="J929" s="14"/>
    </row>
    <row r="930" spans="2:10" ht="15.75" customHeight="1">
      <c r="B930" s="32"/>
      <c r="C930" s="38"/>
      <c r="D930" s="34"/>
      <c r="E930" s="35"/>
      <c r="F930" s="35"/>
      <c r="G930" s="36"/>
      <c r="H930" s="36"/>
      <c r="I930" s="36"/>
      <c r="J930" s="14"/>
    </row>
    <row r="931" spans="2:10" ht="15.75" customHeight="1">
      <c r="B931" s="32"/>
      <c r="C931" s="38"/>
      <c r="D931" s="34"/>
      <c r="E931" s="35"/>
      <c r="F931" s="35"/>
      <c r="G931" s="36"/>
      <c r="H931" s="36"/>
      <c r="I931" s="36"/>
      <c r="J931" s="14"/>
    </row>
    <row r="932" spans="2:10" ht="15.75" customHeight="1">
      <c r="B932" s="32"/>
      <c r="C932" s="38"/>
      <c r="D932" s="34"/>
      <c r="E932" s="35"/>
      <c r="F932" s="35"/>
      <c r="G932" s="36"/>
      <c r="H932" s="36"/>
      <c r="I932" s="36"/>
      <c r="J932" s="14"/>
    </row>
    <row r="933" spans="2:10" ht="15.75" customHeight="1">
      <c r="B933" s="32"/>
      <c r="C933" s="38"/>
      <c r="D933" s="34"/>
      <c r="E933" s="35"/>
      <c r="F933" s="35"/>
      <c r="G933" s="36"/>
      <c r="H933" s="36"/>
      <c r="I933" s="36"/>
      <c r="J933" s="14"/>
    </row>
    <row r="934" spans="2:10" ht="15.75" customHeight="1">
      <c r="B934" s="32"/>
      <c r="C934" s="38"/>
      <c r="D934" s="34"/>
      <c r="E934" s="35"/>
      <c r="F934" s="35"/>
      <c r="G934" s="36"/>
      <c r="H934" s="36"/>
      <c r="I934" s="36"/>
      <c r="J934" s="14"/>
    </row>
    <row r="935" spans="2:10" ht="15.75" customHeight="1">
      <c r="B935" s="32"/>
      <c r="C935" s="38"/>
      <c r="D935" s="34"/>
      <c r="E935" s="35"/>
      <c r="F935" s="35"/>
      <c r="G935" s="36"/>
      <c r="H935" s="36"/>
      <c r="I935" s="36"/>
      <c r="J935" s="14"/>
    </row>
    <row r="936" spans="2:10" ht="15.75" customHeight="1">
      <c r="B936" s="32"/>
      <c r="C936" s="38"/>
      <c r="D936" s="34"/>
      <c r="E936" s="35"/>
      <c r="F936" s="35"/>
      <c r="G936" s="36"/>
      <c r="H936" s="36"/>
      <c r="I936" s="36"/>
      <c r="J936" s="14"/>
    </row>
    <row r="937" spans="2:10" ht="15.75" customHeight="1">
      <c r="B937" s="32"/>
      <c r="C937" s="38"/>
      <c r="D937" s="34"/>
      <c r="E937" s="35"/>
      <c r="F937" s="35"/>
      <c r="G937" s="36"/>
      <c r="H937" s="36"/>
      <c r="I937" s="36"/>
      <c r="J937" s="14"/>
    </row>
    <row r="938" spans="2:10" ht="15.75" customHeight="1">
      <c r="B938" s="32"/>
      <c r="C938" s="38"/>
      <c r="D938" s="34"/>
      <c r="E938" s="35"/>
      <c r="F938" s="35"/>
      <c r="G938" s="36"/>
      <c r="H938" s="36"/>
      <c r="I938" s="36"/>
      <c r="J938" s="14"/>
    </row>
    <row r="939" spans="2:10" ht="15.75" customHeight="1">
      <c r="B939" s="32"/>
      <c r="C939" s="38"/>
      <c r="D939" s="34"/>
      <c r="E939" s="35"/>
      <c r="F939" s="35"/>
      <c r="G939" s="36"/>
      <c r="H939" s="36"/>
      <c r="I939" s="36"/>
      <c r="J939" s="14"/>
    </row>
    <row r="940" spans="2:10" ht="15.75" customHeight="1">
      <c r="B940" s="32"/>
      <c r="C940" s="38"/>
      <c r="D940" s="34"/>
      <c r="E940" s="35"/>
      <c r="F940" s="35"/>
      <c r="G940" s="36"/>
      <c r="H940" s="36"/>
      <c r="I940" s="36"/>
      <c r="J940" s="14"/>
    </row>
    <row r="941" spans="2:10" ht="15.75" customHeight="1">
      <c r="B941" s="32"/>
      <c r="C941" s="38"/>
      <c r="D941" s="34"/>
      <c r="E941" s="35"/>
      <c r="F941" s="35"/>
      <c r="G941" s="36"/>
      <c r="H941" s="36"/>
      <c r="I941" s="36"/>
      <c r="J941" s="14"/>
    </row>
    <row r="942" spans="2:10" ht="15.75" customHeight="1">
      <c r="B942" s="32"/>
      <c r="C942" s="38"/>
      <c r="D942" s="34"/>
      <c r="E942" s="35"/>
      <c r="F942" s="35"/>
      <c r="G942" s="36"/>
      <c r="H942" s="36"/>
      <c r="I942" s="36"/>
      <c r="J942" s="14"/>
    </row>
    <row r="943" spans="2:10" ht="15.75" customHeight="1">
      <c r="B943" s="32"/>
      <c r="C943" s="38"/>
      <c r="D943" s="34"/>
      <c r="E943" s="35"/>
      <c r="F943" s="35"/>
      <c r="G943" s="36"/>
      <c r="H943" s="36"/>
      <c r="I943" s="36"/>
      <c r="J943" s="14"/>
    </row>
    <row r="944" spans="2:10" ht="15.75" customHeight="1">
      <c r="B944" s="32"/>
      <c r="C944" s="38"/>
      <c r="D944" s="34"/>
      <c r="E944" s="35"/>
      <c r="F944" s="35"/>
      <c r="G944" s="36"/>
      <c r="H944" s="36"/>
      <c r="I944" s="36"/>
      <c r="J944" s="14"/>
    </row>
    <row r="945" spans="2:10" ht="15.75" customHeight="1">
      <c r="B945" s="32"/>
      <c r="C945" s="38"/>
      <c r="D945" s="34"/>
      <c r="E945" s="35"/>
      <c r="F945" s="35"/>
      <c r="G945" s="36"/>
      <c r="H945" s="36"/>
      <c r="I945" s="36"/>
      <c r="J945" s="14"/>
    </row>
    <row r="946" spans="2:10" ht="15.75" customHeight="1">
      <c r="B946" s="32"/>
      <c r="C946" s="38"/>
      <c r="D946" s="34"/>
      <c r="E946" s="35"/>
      <c r="F946" s="35"/>
      <c r="G946" s="36"/>
      <c r="H946" s="36"/>
      <c r="I946" s="36"/>
      <c r="J946" s="14"/>
    </row>
    <row r="947" spans="2:10" ht="15.75" customHeight="1">
      <c r="B947" s="32"/>
      <c r="C947" s="38"/>
      <c r="D947" s="34"/>
      <c r="E947" s="35"/>
      <c r="F947" s="35"/>
      <c r="G947" s="36"/>
      <c r="H947" s="36"/>
      <c r="I947" s="36"/>
      <c r="J947" s="14"/>
    </row>
    <row r="948" spans="2:10" ht="15.75" customHeight="1">
      <c r="B948" s="32"/>
      <c r="C948" s="38"/>
      <c r="D948" s="34"/>
      <c r="E948" s="35"/>
      <c r="F948" s="35"/>
      <c r="G948" s="36"/>
      <c r="H948" s="36"/>
      <c r="I948" s="36"/>
      <c r="J948" s="14"/>
    </row>
    <row r="949" spans="2:10" ht="15.75" customHeight="1">
      <c r="B949" s="32"/>
      <c r="C949" s="38"/>
      <c r="D949" s="34"/>
      <c r="E949" s="35"/>
      <c r="F949" s="35"/>
      <c r="G949" s="36"/>
      <c r="H949" s="36"/>
      <c r="I949" s="36"/>
      <c r="J949" s="14"/>
    </row>
    <row r="950" spans="2:10" ht="15.75" customHeight="1">
      <c r="B950" s="32"/>
      <c r="C950" s="38"/>
      <c r="D950" s="34"/>
      <c r="E950" s="35"/>
      <c r="F950" s="35"/>
      <c r="G950" s="36"/>
      <c r="H950" s="36"/>
      <c r="I950" s="36"/>
      <c r="J950" s="14"/>
    </row>
    <row r="951" spans="2:10" ht="15.75" customHeight="1">
      <c r="B951" s="32"/>
      <c r="C951" s="38"/>
      <c r="D951" s="34"/>
      <c r="E951" s="35"/>
      <c r="F951" s="35"/>
      <c r="G951" s="36"/>
      <c r="H951" s="36"/>
      <c r="I951" s="36"/>
      <c r="J951" s="14"/>
    </row>
    <row r="952" spans="2:10" ht="15.75" customHeight="1">
      <c r="B952" s="32"/>
      <c r="C952" s="38"/>
      <c r="D952" s="34"/>
      <c r="E952" s="35"/>
      <c r="F952" s="35"/>
      <c r="G952" s="36"/>
      <c r="H952" s="36"/>
      <c r="I952" s="36"/>
      <c r="J952" s="14"/>
    </row>
    <row r="953" spans="2:10" ht="15.75" customHeight="1">
      <c r="B953" s="32"/>
      <c r="C953" s="38"/>
      <c r="D953" s="34"/>
      <c r="E953" s="35"/>
      <c r="F953" s="35"/>
      <c r="G953" s="36"/>
      <c r="H953" s="36"/>
      <c r="I953" s="36"/>
      <c r="J953" s="14"/>
    </row>
    <row r="954" spans="2:10" ht="15.75" customHeight="1">
      <c r="B954" s="32"/>
      <c r="C954" s="38"/>
      <c r="D954" s="34"/>
      <c r="E954" s="35"/>
      <c r="F954" s="35"/>
      <c r="G954" s="36"/>
      <c r="H954" s="36"/>
      <c r="I954" s="36"/>
      <c r="J954" s="14"/>
    </row>
    <row r="955" spans="2:10" ht="15.75" customHeight="1">
      <c r="B955" s="32"/>
      <c r="C955" s="38"/>
      <c r="D955" s="34"/>
      <c r="E955" s="35"/>
      <c r="F955" s="35"/>
      <c r="G955" s="36"/>
      <c r="H955" s="36"/>
      <c r="I955" s="36"/>
      <c r="J955" s="14"/>
    </row>
    <row r="956" spans="2:10" ht="15.75" customHeight="1">
      <c r="B956" s="32"/>
      <c r="C956" s="38"/>
      <c r="D956" s="34"/>
      <c r="E956" s="35"/>
      <c r="F956" s="35"/>
      <c r="G956" s="36"/>
      <c r="H956" s="36"/>
      <c r="I956" s="36"/>
      <c r="J956" s="14"/>
    </row>
    <row r="957" spans="2:10" ht="15.75" customHeight="1">
      <c r="B957" s="32"/>
      <c r="C957" s="38"/>
      <c r="D957" s="34"/>
      <c r="E957" s="35"/>
      <c r="F957" s="35"/>
      <c r="G957" s="36"/>
      <c r="H957" s="36"/>
      <c r="I957" s="36"/>
      <c r="J957" s="14"/>
    </row>
    <row r="958" spans="2:10" ht="15.75" customHeight="1">
      <c r="B958" s="32"/>
      <c r="C958" s="38"/>
      <c r="D958" s="34"/>
      <c r="E958" s="35"/>
      <c r="F958" s="35"/>
      <c r="G958" s="36"/>
      <c r="H958" s="36"/>
      <c r="I958" s="36"/>
      <c r="J958" s="14"/>
    </row>
    <row r="959" spans="2:10" ht="15.75" customHeight="1">
      <c r="B959" s="32"/>
      <c r="C959" s="38"/>
      <c r="D959" s="34"/>
      <c r="E959" s="35"/>
      <c r="F959" s="35"/>
      <c r="G959" s="36"/>
      <c r="H959" s="36"/>
      <c r="I959" s="36"/>
      <c r="J959" s="14"/>
    </row>
    <row r="960" spans="2:10" ht="15.75" customHeight="1">
      <c r="B960" s="32"/>
      <c r="C960" s="38"/>
      <c r="D960" s="34"/>
      <c r="E960" s="35"/>
      <c r="F960" s="35"/>
      <c r="G960" s="36"/>
      <c r="H960" s="36"/>
      <c r="I960" s="36"/>
      <c r="J960" s="14"/>
    </row>
    <row r="961" spans="2:10" ht="15.75" customHeight="1">
      <c r="B961" s="32"/>
      <c r="C961" s="38"/>
      <c r="D961" s="34"/>
      <c r="E961" s="35"/>
      <c r="F961" s="35"/>
      <c r="G961" s="36"/>
      <c r="H961" s="36"/>
      <c r="I961" s="36"/>
      <c r="J961" s="14"/>
    </row>
    <row r="962" spans="2:10" ht="15.75" customHeight="1">
      <c r="B962" s="32"/>
      <c r="C962" s="38"/>
      <c r="D962" s="34"/>
      <c r="E962" s="35"/>
      <c r="F962" s="35"/>
      <c r="G962" s="36"/>
      <c r="H962" s="36"/>
      <c r="I962" s="36"/>
      <c r="J962" s="14"/>
    </row>
    <row r="963" spans="2:10" ht="15.75" customHeight="1">
      <c r="B963" s="32"/>
      <c r="C963" s="38"/>
      <c r="D963" s="34"/>
      <c r="E963" s="35"/>
      <c r="F963" s="35"/>
      <c r="G963" s="36"/>
      <c r="H963" s="36"/>
      <c r="I963" s="36"/>
      <c r="J963" s="14"/>
    </row>
    <row r="964" spans="2:10" ht="15.75" customHeight="1">
      <c r="B964" s="32"/>
      <c r="C964" s="38"/>
      <c r="D964" s="34"/>
      <c r="E964" s="35"/>
      <c r="F964" s="35"/>
      <c r="G964" s="36"/>
      <c r="H964" s="36"/>
      <c r="I964" s="36"/>
      <c r="J964" s="14"/>
    </row>
    <row r="965" spans="2:10" ht="15.75" customHeight="1">
      <c r="B965" s="32"/>
      <c r="C965" s="38"/>
      <c r="D965" s="34"/>
      <c r="E965" s="35"/>
      <c r="F965" s="35"/>
      <c r="G965" s="36"/>
      <c r="H965" s="36"/>
      <c r="I965" s="36"/>
      <c r="J965" s="14"/>
    </row>
    <row r="966" spans="2:10" ht="15.75" customHeight="1">
      <c r="B966" s="32"/>
      <c r="C966" s="38"/>
      <c r="D966" s="34"/>
      <c r="E966" s="35"/>
      <c r="F966" s="35"/>
      <c r="G966" s="36"/>
      <c r="H966" s="36"/>
      <c r="I966" s="36"/>
      <c r="J966" s="14"/>
    </row>
    <row r="967" spans="2:10" ht="15.75" customHeight="1">
      <c r="B967" s="32"/>
      <c r="C967" s="38"/>
      <c r="D967" s="34"/>
      <c r="E967" s="35"/>
      <c r="F967" s="35"/>
      <c r="G967" s="36"/>
      <c r="H967" s="36"/>
      <c r="I967" s="36"/>
      <c r="J967" s="14"/>
    </row>
    <row r="968" spans="2:10" ht="15.75" customHeight="1">
      <c r="B968" s="32"/>
      <c r="C968" s="38"/>
      <c r="D968" s="34"/>
      <c r="E968" s="35"/>
      <c r="F968" s="35"/>
      <c r="G968" s="36"/>
      <c r="H968" s="36"/>
      <c r="I968" s="36"/>
      <c r="J968" s="14"/>
    </row>
    <row r="969" spans="2:10" ht="15.75" customHeight="1">
      <c r="B969" s="32"/>
      <c r="C969" s="38"/>
      <c r="D969" s="34"/>
      <c r="E969" s="35"/>
      <c r="F969" s="35"/>
      <c r="G969" s="36"/>
      <c r="H969" s="36"/>
      <c r="I969" s="36"/>
      <c r="J969" s="14"/>
    </row>
    <row r="970" spans="2:10" ht="15.75" customHeight="1">
      <c r="B970" s="32"/>
      <c r="C970" s="38"/>
      <c r="D970" s="34"/>
      <c r="E970" s="35"/>
      <c r="F970" s="35"/>
      <c r="G970" s="36"/>
      <c r="H970" s="36"/>
      <c r="I970" s="36"/>
      <c r="J970" s="14"/>
    </row>
    <row r="971" spans="2:10" ht="15.75" customHeight="1">
      <c r="B971" s="32"/>
      <c r="C971" s="38"/>
      <c r="D971" s="34"/>
      <c r="E971" s="35"/>
      <c r="F971" s="35"/>
      <c r="G971" s="36"/>
      <c r="H971" s="36"/>
      <c r="I971" s="36"/>
      <c r="J971" s="14"/>
    </row>
    <row r="972" spans="2:10" ht="15.75" customHeight="1">
      <c r="B972" s="32"/>
      <c r="C972" s="38"/>
      <c r="D972" s="34"/>
      <c r="E972" s="35"/>
      <c r="F972" s="35"/>
      <c r="G972" s="36"/>
      <c r="H972" s="36"/>
      <c r="I972" s="36"/>
      <c r="J972" s="14"/>
    </row>
    <row r="973" spans="2:10" ht="15.75" customHeight="1">
      <c r="B973" s="32"/>
      <c r="C973" s="38"/>
      <c r="D973" s="34"/>
      <c r="E973" s="35"/>
      <c r="F973" s="35"/>
      <c r="G973" s="36"/>
      <c r="H973" s="36"/>
      <c r="I973" s="36"/>
      <c r="J973" s="14"/>
    </row>
    <row r="974" spans="2:10" ht="15.75" customHeight="1">
      <c r="B974" s="32"/>
      <c r="C974" s="38"/>
      <c r="D974" s="34"/>
      <c r="E974" s="35"/>
      <c r="F974" s="35"/>
      <c r="G974" s="36"/>
      <c r="H974" s="36"/>
      <c r="I974" s="36"/>
      <c r="J974" s="14"/>
    </row>
    <row r="975" spans="2:10" ht="15.75" customHeight="1">
      <c r="B975" s="32"/>
      <c r="C975" s="38"/>
      <c r="D975" s="34"/>
      <c r="E975" s="35"/>
      <c r="F975" s="35"/>
      <c r="G975" s="36"/>
      <c r="H975" s="36"/>
      <c r="I975" s="36"/>
      <c r="J975" s="14"/>
    </row>
    <row r="976" spans="2:10" ht="15.75" customHeight="1">
      <c r="B976" s="32"/>
      <c r="C976" s="38"/>
      <c r="D976" s="34"/>
      <c r="E976" s="35"/>
      <c r="F976" s="35"/>
      <c r="G976" s="36"/>
      <c r="H976" s="36"/>
      <c r="I976" s="36"/>
      <c r="J976" s="14"/>
    </row>
    <row r="977" spans="2:10" ht="15.75" customHeight="1">
      <c r="B977" s="32"/>
      <c r="C977" s="38"/>
      <c r="D977" s="34"/>
      <c r="E977" s="35"/>
      <c r="F977" s="35"/>
      <c r="G977" s="36"/>
      <c r="H977" s="36"/>
      <c r="I977" s="36"/>
      <c r="J977" s="14"/>
    </row>
    <row r="978" spans="2:10" ht="15.75" customHeight="1">
      <c r="B978" s="32"/>
      <c r="C978" s="38"/>
      <c r="D978" s="34"/>
      <c r="E978" s="35"/>
      <c r="F978" s="35"/>
      <c r="G978" s="36"/>
      <c r="H978" s="36"/>
      <c r="I978" s="36"/>
      <c r="J978" s="14"/>
    </row>
    <row r="979" spans="2:10" ht="15.75" customHeight="1">
      <c r="B979" s="32"/>
      <c r="C979" s="38"/>
      <c r="D979" s="34"/>
      <c r="E979" s="35"/>
      <c r="F979" s="35"/>
      <c r="G979" s="36"/>
      <c r="H979" s="36"/>
      <c r="I979" s="36"/>
      <c r="J979" s="14"/>
    </row>
    <row r="980" spans="2:10" ht="15.75" customHeight="1">
      <c r="B980" s="32"/>
      <c r="C980" s="38"/>
      <c r="D980" s="34"/>
      <c r="E980" s="35"/>
      <c r="F980" s="35"/>
      <c r="G980" s="36"/>
      <c r="H980" s="36"/>
      <c r="I980" s="36"/>
      <c r="J980" s="14"/>
    </row>
    <row r="981" spans="2:10" ht="15.75" customHeight="1">
      <c r="B981" s="32"/>
      <c r="C981" s="38"/>
      <c r="D981" s="34"/>
      <c r="E981" s="35"/>
      <c r="F981" s="35"/>
      <c r="G981" s="36"/>
      <c r="H981" s="36"/>
      <c r="I981" s="36"/>
      <c r="J981" s="14"/>
    </row>
    <row r="982" spans="2:10" ht="15.75" customHeight="1">
      <c r="B982" s="32"/>
      <c r="C982" s="38"/>
      <c r="D982" s="34"/>
      <c r="E982" s="35"/>
      <c r="F982" s="35"/>
      <c r="G982" s="36"/>
      <c r="H982" s="36"/>
      <c r="I982" s="36"/>
      <c r="J982" s="14"/>
    </row>
    <row r="983" spans="2:10" ht="15.75" customHeight="1">
      <c r="B983" s="32"/>
      <c r="C983" s="38"/>
      <c r="D983" s="34"/>
      <c r="E983" s="35"/>
      <c r="F983" s="35"/>
      <c r="G983" s="36"/>
      <c r="H983" s="36"/>
      <c r="I983" s="36"/>
      <c r="J983" s="14"/>
    </row>
    <row r="984" spans="2:10" ht="15.75" customHeight="1">
      <c r="B984" s="32"/>
      <c r="C984" s="38"/>
      <c r="D984" s="34"/>
      <c r="E984" s="35"/>
      <c r="F984" s="35"/>
      <c r="G984" s="36"/>
      <c r="H984" s="36"/>
      <c r="I984" s="36"/>
      <c r="J984" s="14"/>
    </row>
    <row r="985" spans="2:10" ht="15.75" customHeight="1">
      <c r="B985" s="32"/>
      <c r="C985" s="38"/>
      <c r="D985" s="34"/>
      <c r="E985" s="35"/>
      <c r="F985" s="35"/>
      <c r="G985" s="36"/>
      <c r="H985" s="36"/>
      <c r="I985" s="36"/>
      <c r="J985" s="14"/>
    </row>
    <row r="986" spans="2:10" ht="15.75" customHeight="1">
      <c r="B986" s="32"/>
      <c r="C986" s="38"/>
      <c r="D986" s="34"/>
      <c r="E986" s="35"/>
      <c r="F986" s="35"/>
      <c r="G986" s="36"/>
      <c r="H986" s="36"/>
      <c r="I986" s="36"/>
      <c r="J986" s="14"/>
    </row>
    <row r="987" spans="2:10" ht="15.75" customHeight="1">
      <c r="B987" s="32"/>
      <c r="C987" s="38"/>
      <c r="D987" s="34"/>
      <c r="E987" s="35"/>
      <c r="F987" s="35"/>
      <c r="G987" s="36"/>
      <c r="H987" s="36"/>
      <c r="I987" s="36"/>
      <c r="J987" s="14"/>
    </row>
    <row r="988" spans="2:10" ht="15.75" customHeight="1">
      <c r="B988" s="32"/>
      <c r="C988" s="38"/>
      <c r="D988" s="34"/>
      <c r="E988" s="35"/>
      <c r="F988" s="35"/>
      <c r="G988" s="36"/>
      <c r="H988" s="36"/>
      <c r="I988" s="36"/>
      <c r="J988" s="14"/>
    </row>
    <row r="989" spans="2:10" ht="15.75" customHeight="1">
      <c r="B989" s="32"/>
      <c r="C989" s="38"/>
      <c r="D989" s="34"/>
      <c r="E989" s="35"/>
      <c r="F989" s="35"/>
      <c r="G989" s="36"/>
      <c r="H989" s="36"/>
      <c r="I989" s="36"/>
      <c r="J989" s="14"/>
    </row>
    <row r="990" spans="2:10" ht="15.75" customHeight="1">
      <c r="B990" s="32"/>
      <c r="C990" s="38"/>
      <c r="D990" s="34"/>
      <c r="E990" s="35"/>
      <c r="F990" s="35"/>
      <c r="G990" s="36"/>
      <c r="H990" s="36"/>
      <c r="I990" s="36"/>
      <c r="J990" s="14"/>
    </row>
    <row r="991" spans="2:10" ht="15.75" customHeight="1">
      <c r="B991" s="32"/>
      <c r="C991" s="38"/>
      <c r="D991" s="34"/>
      <c r="E991" s="35"/>
      <c r="F991" s="35"/>
      <c r="G991" s="36"/>
      <c r="H991" s="36"/>
      <c r="I991" s="36"/>
      <c r="J991" s="14"/>
    </row>
    <row r="992" spans="2:10" ht="15.75" customHeight="1">
      <c r="B992" s="32"/>
      <c r="C992" s="38"/>
      <c r="D992" s="34"/>
      <c r="E992" s="35"/>
      <c r="F992" s="35"/>
      <c r="G992" s="36"/>
      <c r="H992" s="36"/>
      <c r="I992" s="36"/>
      <c r="J992" s="14"/>
    </row>
    <row r="993" spans="2:10" ht="15.75" customHeight="1">
      <c r="B993" s="32"/>
      <c r="C993" s="38"/>
      <c r="D993" s="34"/>
      <c r="E993" s="35"/>
      <c r="F993" s="35"/>
      <c r="G993" s="36"/>
      <c r="H993" s="36"/>
      <c r="I993" s="36"/>
      <c r="J993" s="14"/>
    </row>
  </sheetData>
  <autoFilter ref="A1:J3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1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5.625" customWidth="1"/>
    <col min="2" max="3" width="10.75" customWidth="1"/>
    <col min="4" max="4" width="10.125" customWidth="1"/>
    <col min="5" max="5" width="10.2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75" customWidth="1"/>
    <col min="14" max="15" width="12.375" customWidth="1"/>
    <col min="16" max="16" width="25.125" customWidth="1"/>
    <col min="17" max="31" width="10.5" customWidth="1"/>
  </cols>
  <sheetData>
    <row r="1" spans="1:17" ht="15.75" customHeight="1">
      <c r="A1" s="39" t="s">
        <v>0</v>
      </c>
      <c r="B1" s="40" t="s">
        <v>1</v>
      </c>
      <c r="C1" s="41" t="s">
        <v>2</v>
      </c>
      <c r="D1" s="40" t="s">
        <v>64</v>
      </c>
      <c r="E1" s="41" t="s">
        <v>65</v>
      </c>
      <c r="F1" s="42" t="s">
        <v>66</v>
      </c>
      <c r="G1" s="40" t="s">
        <v>67</v>
      </c>
      <c r="H1" s="41" t="s">
        <v>68</v>
      </c>
      <c r="I1" s="5" t="s">
        <v>69</v>
      </c>
      <c r="J1" s="5" t="s">
        <v>70</v>
      </c>
      <c r="K1" s="5" t="s">
        <v>71</v>
      </c>
      <c r="L1" s="42" t="s">
        <v>72</v>
      </c>
      <c r="M1" s="43" t="s">
        <v>73</v>
      </c>
      <c r="N1" s="5" t="s">
        <v>7</v>
      </c>
      <c r="O1" s="5" t="s">
        <v>8</v>
      </c>
      <c r="P1" s="6" t="s">
        <v>9</v>
      </c>
    </row>
    <row r="2" spans="1:17" ht="15.75" customHeight="1">
      <c r="A2" s="44" t="s">
        <v>74</v>
      </c>
      <c r="B2" s="45">
        <v>45009</v>
      </c>
      <c r="C2" s="46" t="s">
        <v>75</v>
      </c>
      <c r="D2" s="45">
        <v>45009</v>
      </c>
      <c r="E2" s="46">
        <v>0.64583333333333337</v>
      </c>
      <c r="F2" s="47">
        <v>41</v>
      </c>
      <c r="G2" s="45">
        <v>45010</v>
      </c>
      <c r="H2" s="46">
        <v>0.64583333333333337</v>
      </c>
      <c r="I2" s="48">
        <v>41</v>
      </c>
      <c r="J2" s="49">
        <v>0</v>
      </c>
      <c r="K2" s="49">
        <v>0</v>
      </c>
      <c r="L2" s="47" t="s">
        <v>76</v>
      </c>
      <c r="M2" s="50" t="str">
        <f t="shared" ref="M2:M52" si="0">IF(L2="&lt; 1","&lt; 10",IF(L2="&gt; 2419.6","&gt; 24196",L2*10))</f>
        <v>&lt; 10</v>
      </c>
      <c r="N2" s="51" t="s">
        <v>12</v>
      </c>
      <c r="O2" s="51" t="s">
        <v>13</v>
      </c>
      <c r="P2" s="401" t="s">
        <v>77</v>
      </c>
      <c r="Q2" s="52"/>
    </row>
    <row r="3" spans="1:17" ht="15.75" customHeight="1">
      <c r="A3" s="44" t="s">
        <v>78</v>
      </c>
      <c r="B3" s="45">
        <v>45010</v>
      </c>
      <c r="C3" s="46" t="s">
        <v>75</v>
      </c>
      <c r="D3" s="45">
        <v>45009</v>
      </c>
      <c r="E3" s="46">
        <v>0.64583333333333337</v>
      </c>
      <c r="F3" s="47">
        <v>41</v>
      </c>
      <c r="G3" s="45">
        <v>45010</v>
      </c>
      <c r="H3" s="46">
        <v>0.64583333333333337</v>
      </c>
      <c r="I3" s="48">
        <v>41</v>
      </c>
      <c r="J3" s="49">
        <v>0</v>
      </c>
      <c r="K3" s="49">
        <v>0</v>
      </c>
      <c r="L3" s="47" t="s">
        <v>76</v>
      </c>
      <c r="M3" s="50" t="str">
        <f t="shared" si="0"/>
        <v>&lt; 10</v>
      </c>
      <c r="N3" s="51" t="s">
        <v>12</v>
      </c>
      <c r="O3" s="51" t="s">
        <v>13</v>
      </c>
      <c r="P3" s="402"/>
      <c r="Q3" s="52"/>
    </row>
    <row r="4" spans="1:17" ht="15.75" customHeight="1">
      <c r="A4" s="44" t="s">
        <v>79</v>
      </c>
      <c r="B4" s="45">
        <v>45011</v>
      </c>
      <c r="C4" s="46" t="s">
        <v>75</v>
      </c>
      <c r="D4" s="45">
        <v>45009</v>
      </c>
      <c r="E4" s="46">
        <v>0.64583333333333337</v>
      </c>
      <c r="F4" s="47">
        <v>41</v>
      </c>
      <c r="G4" s="45">
        <v>45010</v>
      </c>
      <c r="H4" s="46">
        <v>0.64583333333333337</v>
      </c>
      <c r="I4" s="48">
        <v>41</v>
      </c>
      <c r="J4" s="49">
        <v>49</v>
      </c>
      <c r="K4" s="49">
        <v>48</v>
      </c>
      <c r="L4" s="47" t="s">
        <v>80</v>
      </c>
      <c r="M4" s="50" t="str">
        <f t="shared" si="0"/>
        <v>&gt; 24196</v>
      </c>
      <c r="N4" s="51" t="s">
        <v>12</v>
      </c>
      <c r="O4" s="51" t="s">
        <v>13</v>
      </c>
      <c r="P4" s="402"/>
      <c r="Q4" s="52"/>
    </row>
    <row r="5" spans="1:17" ht="15.75" customHeight="1">
      <c r="A5" s="53" t="s">
        <v>81</v>
      </c>
      <c r="B5" s="45">
        <v>45011</v>
      </c>
      <c r="C5" s="46" t="s">
        <v>75</v>
      </c>
      <c r="D5" s="45">
        <v>45009</v>
      </c>
      <c r="E5" s="46">
        <v>0.64583333333333337</v>
      </c>
      <c r="F5" s="47">
        <v>41</v>
      </c>
      <c r="G5" s="45">
        <v>45010</v>
      </c>
      <c r="H5" s="46">
        <v>0.64583333333333337</v>
      </c>
      <c r="I5" s="48">
        <v>41</v>
      </c>
      <c r="J5" s="49">
        <v>0</v>
      </c>
      <c r="K5" s="49">
        <v>0</v>
      </c>
      <c r="L5" s="47" t="s">
        <v>76</v>
      </c>
      <c r="M5" s="50" t="str">
        <f t="shared" si="0"/>
        <v>&lt; 10</v>
      </c>
      <c r="N5" s="51" t="s">
        <v>12</v>
      </c>
      <c r="O5" s="51" t="s">
        <v>13</v>
      </c>
      <c r="P5" s="403"/>
      <c r="Q5" s="52"/>
    </row>
    <row r="6" spans="1:17" ht="15.75" customHeight="1">
      <c r="A6" s="53" t="s">
        <v>82</v>
      </c>
      <c r="B6" s="45">
        <v>45390</v>
      </c>
      <c r="C6" s="46">
        <v>0.37916666666666665</v>
      </c>
      <c r="D6" s="45">
        <v>45390</v>
      </c>
      <c r="E6" s="46">
        <v>0.54027777777777775</v>
      </c>
      <c r="F6" s="47">
        <v>41</v>
      </c>
      <c r="G6" s="45">
        <v>45391</v>
      </c>
      <c r="H6" s="46">
        <v>0.54027777777777775</v>
      </c>
      <c r="I6" s="48">
        <v>41</v>
      </c>
      <c r="J6" s="49">
        <v>0</v>
      </c>
      <c r="K6" s="49">
        <v>0</v>
      </c>
      <c r="L6" s="47" t="s">
        <v>76</v>
      </c>
      <c r="M6" s="50" t="str">
        <f t="shared" si="0"/>
        <v>&lt; 10</v>
      </c>
      <c r="N6" s="51" t="s">
        <v>12</v>
      </c>
      <c r="O6" s="51" t="s">
        <v>13</v>
      </c>
      <c r="P6" s="51"/>
      <c r="Q6" s="52"/>
    </row>
    <row r="7" spans="1:17" ht="15.75" customHeight="1">
      <c r="A7" s="16" t="s">
        <v>83</v>
      </c>
      <c r="B7" s="45">
        <v>45390</v>
      </c>
      <c r="C7" s="46">
        <v>0.40277777777777779</v>
      </c>
      <c r="D7" s="45">
        <v>45390</v>
      </c>
      <c r="E7" s="46">
        <v>0.54166666666666663</v>
      </c>
      <c r="F7" s="47">
        <v>41</v>
      </c>
      <c r="G7" s="45">
        <v>45391</v>
      </c>
      <c r="H7" s="46">
        <v>0.54166666666666663</v>
      </c>
      <c r="I7" s="48">
        <v>41</v>
      </c>
      <c r="J7" s="49">
        <v>0</v>
      </c>
      <c r="K7" s="49">
        <v>0</v>
      </c>
      <c r="L7" s="47" t="s">
        <v>76</v>
      </c>
      <c r="M7" s="50" t="str">
        <f t="shared" si="0"/>
        <v>&lt; 10</v>
      </c>
      <c r="N7" s="51" t="s">
        <v>12</v>
      </c>
      <c r="O7" s="51" t="s">
        <v>13</v>
      </c>
      <c r="P7" s="51"/>
      <c r="Q7" s="52"/>
    </row>
    <row r="8" spans="1:17" ht="15.75" customHeight="1">
      <c r="A8" s="16" t="s">
        <v>84</v>
      </c>
      <c r="B8" s="45">
        <v>45390</v>
      </c>
      <c r="C8" s="46">
        <v>0.42499999999999999</v>
      </c>
      <c r="D8" s="45">
        <v>45390</v>
      </c>
      <c r="E8" s="46">
        <v>0.5444444444444444</v>
      </c>
      <c r="F8" s="47">
        <v>41</v>
      </c>
      <c r="G8" s="45">
        <v>45391</v>
      </c>
      <c r="H8" s="46">
        <v>0.5444444444444444</v>
      </c>
      <c r="I8" s="48">
        <v>41</v>
      </c>
      <c r="J8" s="49">
        <v>0</v>
      </c>
      <c r="K8" s="49">
        <v>0</v>
      </c>
      <c r="L8" s="47" t="s">
        <v>76</v>
      </c>
      <c r="M8" s="50" t="str">
        <f t="shared" si="0"/>
        <v>&lt; 10</v>
      </c>
      <c r="N8" s="51" t="s">
        <v>12</v>
      </c>
      <c r="O8" s="51" t="s">
        <v>13</v>
      </c>
      <c r="P8" s="51"/>
      <c r="Q8" s="52"/>
    </row>
    <row r="9" spans="1:17" ht="15.75" customHeight="1">
      <c r="A9" s="16" t="s">
        <v>85</v>
      </c>
      <c r="B9" s="45">
        <v>45391</v>
      </c>
      <c r="C9" s="46">
        <v>0.34305555555555556</v>
      </c>
      <c r="D9" s="45">
        <v>45391</v>
      </c>
      <c r="E9" s="46">
        <v>0.52986111111111112</v>
      </c>
      <c r="F9" s="47">
        <v>41</v>
      </c>
      <c r="G9" s="45">
        <v>45392</v>
      </c>
      <c r="H9" s="46">
        <v>0.57152777777777775</v>
      </c>
      <c r="I9" s="48">
        <v>41</v>
      </c>
      <c r="J9" s="49">
        <v>0</v>
      </c>
      <c r="K9" s="49">
        <v>0</v>
      </c>
      <c r="L9" s="47" t="s">
        <v>76</v>
      </c>
      <c r="M9" s="50" t="str">
        <f t="shared" si="0"/>
        <v>&lt; 10</v>
      </c>
      <c r="N9" s="51" t="s">
        <v>12</v>
      </c>
      <c r="O9" s="11" t="s">
        <v>13</v>
      </c>
      <c r="P9" s="51"/>
      <c r="Q9" s="52"/>
    </row>
    <row r="10" spans="1:17" ht="15.75" customHeight="1">
      <c r="A10" s="16" t="s">
        <v>86</v>
      </c>
      <c r="B10" s="45">
        <v>45391</v>
      </c>
      <c r="C10" s="46">
        <v>0.3659722222222222</v>
      </c>
      <c r="D10" s="45">
        <v>45391</v>
      </c>
      <c r="E10" s="46">
        <v>0.53194444444444444</v>
      </c>
      <c r="F10" s="47">
        <v>41</v>
      </c>
      <c r="G10" s="45">
        <v>45392</v>
      </c>
      <c r="H10" s="46">
        <v>0.57361111111111107</v>
      </c>
      <c r="I10" s="48">
        <v>41</v>
      </c>
      <c r="J10" s="49">
        <v>0</v>
      </c>
      <c r="K10" s="49">
        <v>0</v>
      </c>
      <c r="L10" s="47" t="s">
        <v>76</v>
      </c>
      <c r="M10" s="50" t="str">
        <f t="shared" si="0"/>
        <v>&lt; 10</v>
      </c>
      <c r="N10" s="51" t="s">
        <v>12</v>
      </c>
      <c r="O10" s="11" t="s">
        <v>13</v>
      </c>
      <c r="P10" s="51"/>
      <c r="Q10" s="52"/>
    </row>
    <row r="11" spans="1:17" ht="16.5" customHeight="1">
      <c r="A11" s="16" t="s">
        <v>87</v>
      </c>
      <c r="B11" s="45">
        <v>45391</v>
      </c>
      <c r="C11" s="46">
        <v>0.40138888888888891</v>
      </c>
      <c r="D11" s="45">
        <v>45391</v>
      </c>
      <c r="E11" s="46">
        <v>0.53333333333333333</v>
      </c>
      <c r="F11" s="47">
        <v>41</v>
      </c>
      <c r="G11" s="45">
        <v>45392</v>
      </c>
      <c r="H11" s="46">
        <v>0.57499999999999996</v>
      </c>
      <c r="I11" s="48">
        <v>41</v>
      </c>
      <c r="J11" s="49">
        <v>0</v>
      </c>
      <c r="K11" s="49">
        <v>0</v>
      </c>
      <c r="L11" s="47" t="s">
        <v>76</v>
      </c>
      <c r="M11" s="50" t="str">
        <f t="shared" si="0"/>
        <v>&lt; 10</v>
      </c>
      <c r="N11" s="51" t="s">
        <v>12</v>
      </c>
      <c r="O11" s="11" t="s">
        <v>13</v>
      </c>
      <c r="P11" s="51"/>
      <c r="Q11" s="52"/>
    </row>
    <row r="12" spans="1:17" ht="15.75" customHeight="1">
      <c r="A12" s="16" t="s">
        <v>88</v>
      </c>
      <c r="B12" s="45">
        <v>45391</v>
      </c>
      <c r="C12" s="46">
        <v>0.44930555555555557</v>
      </c>
      <c r="D12" s="45">
        <v>45391</v>
      </c>
      <c r="E12" s="46">
        <v>0.53472222222222221</v>
      </c>
      <c r="F12" s="47">
        <v>41</v>
      </c>
      <c r="G12" s="45">
        <v>45392</v>
      </c>
      <c r="H12" s="46">
        <v>0.57638888888888884</v>
      </c>
      <c r="I12" s="48">
        <v>41</v>
      </c>
      <c r="J12" s="49">
        <v>0</v>
      </c>
      <c r="K12" s="49">
        <v>0</v>
      </c>
      <c r="L12" s="47" t="s">
        <v>76</v>
      </c>
      <c r="M12" s="50" t="str">
        <f t="shared" si="0"/>
        <v>&lt; 10</v>
      </c>
      <c r="N12" s="51" t="s">
        <v>12</v>
      </c>
      <c r="O12" s="11" t="s">
        <v>13</v>
      </c>
      <c r="P12" s="51"/>
      <c r="Q12" s="52"/>
    </row>
    <row r="13" spans="1:17" ht="15.75" customHeight="1">
      <c r="A13" s="16" t="s">
        <v>89</v>
      </c>
      <c r="B13" s="45">
        <v>45392</v>
      </c>
      <c r="C13" s="46">
        <v>0.36666666666666664</v>
      </c>
      <c r="D13" s="45">
        <v>45392</v>
      </c>
      <c r="E13" s="46">
        <v>0.56458333333333333</v>
      </c>
      <c r="F13" s="47">
        <v>41</v>
      </c>
      <c r="G13" s="45">
        <v>45393</v>
      </c>
      <c r="H13" s="46">
        <v>0.60624999999999996</v>
      </c>
      <c r="I13" s="48">
        <v>41</v>
      </c>
      <c r="J13" s="49">
        <v>0</v>
      </c>
      <c r="K13" s="49">
        <v>0</v>
      </c>
      <c r="L13" s="47" t="s">
        <v>76</v>
      </c>
      <c r="M13" s="50" t="str">
        <f t="shared" si="0"/>
        <v>&lt; 10</v>
      </c>
      <c r="N13" s="51" t="s">
        <v>12</v>
      </c>
      <c r="O13" s="11" t="s">
        <v>13</v>
      </c>
      <c r="P13" s="51"/>
      <c r="Q13" s="52"/>
    </row>
    <row r="14" spans="1:17" ht="15.75" customHeight="1">
      <c r="A14" s="16" t="s">
        <v>90</v>
      </c>
      <c r="B14" s="45">
        <v>45392</v>
      </c>
      <c r="C14" s="46">
        <v>0.38680555555555557</v>
      </c>
      <c r="D14" s="45">
        <v>45392</v>
      </c>
      <c r="E14" s="46">
        <v>0.56527777777777777</v>
      </c>
      <c r="F14" s="47">
        <v>41</v>
      </c>
      <c r="G14" s="45">
        <v>45393</v>
      </c>
      <c r="H14" s="46">
        <v>0.6069444444444444</v>
      </c>
      <c r="I14" s="48">
        <v>41</v>
      </c>
      <c r="J14" s="49">
        <v>0</v>
      </c>
      <c r="K14" s="49">
        <v>0</v>
      </c>
      <c r="L14" s="47" t="s">
        <v>76</v>
      </c>
      <c r="M14" s="50" t="str">
        <f t="shared" si="0"/>
        <v>&lt; 10</v>
      </c>
      <c r="N14" s="51" t="s">
        <v>12</v>
      </c>
      <c r="O14" s="11" t="s">
        <v>13</v>
      </c>
      <c r="P14" s="51"/>
      <c r="Q14" s="52"/>
    </row>
    <row r="15" spans="1:17" ht="15.75" customHeight="1">
      <c r="A15" s="16" t="s">
        <v>91</v>
      </c>
      <c r="B15" s="45">
        <v>45392</v>
      </c>
      <c r="C15" s="46">
        <v>0.44027777777777777</v>
      </c>
      <c r="D15" s="45">
        <v>45392</v>
      </c>
      <c r="E15" s="46">
        <v>0.56666666666666665</v>
      </c>
      <c r="F15" s="47">
        <v>41</v>
      </c>
      <c r="G15" s="45">
        <v>45393</v>
      </c>
      <c r="H15" s="46">
        <v>0.60833333333333328</v>
      </c>
      <c r="I15" s="48">
        <v>41</v>
      </c>
      <c r="J15" s="49">
        <v>0</v>
      </c>
      <c r="K15" s="49">
        <v>0</v>
      </c>
      <c r="L15" s="47" t="s">
        <v>76</v>
      </c>
      <c r="M15" s="50" t="str">
        <f t="shared" si="0"/>
        <v>&lt; 10</v>
      </c>
      <c r="N15" s="51" t="s">
        <v>12</v>
      </c>
      <c r="O15" s="11" t="s">
        <v>13</v>
      </c>
      <c r="P15" s="51"/>
      <c r="Q15" s="52"/>
    </row>
    <row r="16" spans="1:17" ht="15.75" customHeight="1">
      <c r="A16" s="16" t="s">
        <v>92</v>
      </c>
      <c r="B16" s="45">
        <v>45392</v>
      </c>
      <c r="C16" s="46">
        <v>0.4909722222222222</v>
      </c>
      <c r="D16" s="45">
        <v>45392</v>
      </c>
      <c r="E16" s="46">
        <v>0.56736111111111109</v>
      </c>
      <c r="F16" s="47">
        <v>41</v>
      </c>
      <c r="G16" s="45">
        <v>45393</v>
      </c>
      <c r="H16" s="46">
        <v>0.60902777777777772</v>
      </c>
      <c r="I16" s="48">
        <v>41</v>
      </c>
      <c r="J16" s="49">
        <v>0</v>
      </c>
      <c r="K16" s="49">
        <v>0</v>
      </c>
      <c r="L16" s="47" t="s">
        <v>76</v>
      </c>
      <c r="M16" s="50" t="str">
        <f t="shared" si="0"/>
        <v>&lt; 10</v>
      </c>
      <c r="N16" s="51" t="s">
        <v>12</v>
      </c>
      <c r="O16" s="11" t="s">
        <v>13</v>
      </c>
      <c r="P16" s="51"/>
      <c r="Q16" s="52"/>
    </row>
    <row r="17" spans="1:31" ht="15.75" customHeight="1">
      <c r="A17" s="16" t="s">
        <v>93</v>
      </c>
      <c r="B17" s="45">
        <v>45392</v>
      </c>
      <c r="C17" s="46">
        <v>1.1111111111111112E-2</v>
      </c>
      <c r="D17" s="45">
        <v>45392</v>
      </c>
      <c r="E17" s="46">
        <v>0.56805555555555554</v>
      </c>
      <c r="F17" s="47">
        <v>41</v>
      </c>
      <c r="G17" s="45">
        <v>45393</v>
      </c>
      <c r="H17" s="46">
        <v>0.60972222222222228</v>
      </c>
      <c r="I17" s="48">
        <v>41</v>
      </c>
      <c r="J17" s="49">
        <v>0</v>
      </c>
      <c r="K17" s="49">
        <v>0</v>
      </c>
      <c r="L17" s="47" t="s">
        <v>76</v>
      </c>
      <c r="M17" s="50" t="str">
        <f t="shared" si="0"/>
        <v>&lt; 10</v>
      </c>
      <c r="N17" s="51" t="s">
        <v>12</v>
      </c>
      <c r="O17" s="11" t="s">
        <v>13</v>
      </c>
      <c r="P17" s="51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ht="15.75" customHeight="1">
      <c r="A18" s="53" t="s">
        <v>94</v>
      </c>
      <c r="B18" s="45">
        <v>45400</v>
      </c>
      <c r="C18" s="46">
        <v>0.38472222222222224</v>
      </c>
      <c r="D18" s="45">
        <v>45400</v>
      </c>
      <c r="E18" s="46">
        <v>0.59722222222222221</v>
      </c>
      <c r="F18" s="47">
        <v>41</v>
      </c>
      <c r="G18" s="45">
        <v>45401</v>
      </c>
      <c r="H18" s="46">
        <v>0.59722222222222221</v>
      </c>
      <c r="I18" s="48">
        <v>41</v>
      </c>
      <c r="J18" s="49">
        <v>0</v>
      </c>
      <c r="K18" s="49">
        <v>0</v>
      </c>
      <c r="L18" s="47" t="s">
        <v>76</v>
      </c>
      <c r="M18" s="50" t="str">
        <f t="shared" si="0"/>
        <v>&lt; 10</v>
      </c>
      <c r="N18" s="51" t="s">
        <v>12</v>
      </c>
      <c r="O18" s="11" t="s">
        <v>95</v>
      </c>
      <c r="P18" s="51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ht="15.75" customHeight="1">
      <c r="A19" s="53" t="s">
        <v>96</v>
      </c>
      <c r="B19" s="45">
        <v>45400</v>
      </c>
      <c r="C19" s="46">
        <v>0.40694444444444444</v>
      </c>
      <c r="D19" s="45">
        <v>45400</v>
      </c>
      <c r="E19" s="46">
        <v>0.6</v>
      </c>
      <c r="F19" s="47">
        <v>41</v>
      </c>
      <c r="G19" s="45">
        <v>45401</v>
      </c>
      <c r="H19" s="46">
        <v>0.6</v>
      </c>
      <c r="I19" s="48">
        <v>41</v>
      </c>
      <c r="J19" s="49">
        <v>0</v>
      </c>
      <c r="K19" s="49">
        <v>0</v>
      </c>
      <c r="L19" s="47" t="s">
        <v>76</v>
      </c>
      <c r="M19" s="50" t="str">
        <f t="shared" si="0"/>
        <v>&lt; 10</v>
      </c>
      <c r="N19" s="51" t="s">
        <v>12</v>
      </c>
      <c r="O19" s="11" t="s">
        <v>95</v>
      </c>
      <c r="P19" s="51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ht="15.75" customHeight="1">
      <c r="A20" s="53" t="s">
        <v>97</v>
      </c>
      <c r="B20" s="45">
        <v>45400</v>
      </c>
      <c r="C20" s="46">
        <v>0.45902777777777776</v>
      </c>
      <c r="D20" s="45">
        <v>45400</v>
      </c>
      <c r="E20" s="46">
        <v>0.60347222222222219</v>
      </c>
      <c r="F20" s="47">
        <v>41</v>
      </c>
      <c r="G20" s="45">
        <v>45401</v>
      </c>
      <c r="H20" s="46">
        <v>0.60347222222222219</v>
      </c>
      <c r="I20" s="48">
        <v>41</v>
      </c>
      <c r="J20" s="49">
        <v>0</v>
      </c>
      <c r="K20" s="49">
        <v>0</v>
      </c>
      <c r="L20" s="47" t="s">
        <v>76</v>
      </c>
      <c r="M20" s="50" t="str">
        <f t="shared" si="0"/>
        <v>&lt; 10</v>
      </c>
      <c r="N20" s="51" t="s">
        <v>12</v>
      </c>
      <c r="O20" s="11" t="s">
        <v>95</v>
      </c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spans="1:31" ht="15.75" customHeight="1">
      <c r="A21" s="53" t="s">
        <v>98</v>
      </c>
      <c r="B21" s="45">
        <v>45400</v>
      </c>
      <c r="C21" s="46">
        <v>0.48888888888888887</v>
      </c>
      <c r="D21" s="45">
        <v>45400</v>
      </c>
      <c r="E21" s="46">
        <v>0.6069444444444444</v>
      </c>
      <c r="F21" s="47">
        <v>41</v>
      </c>
      <c r="G21" s="45">
        <v>45401</v>
      </c>
      <c r="H21" s="46">
        <v>0.6069444444444444</v>
      </c>
      <c r="I21" s="48">
        <v>41</v>
      </c>
      <c r="J21" s="49">
        <v>0</v>
      </c>
      <c r="K21" s="49">
        <v>0</v>
      </c>
      <c r="L21" s="47" t="s">
        <v>76</v>
      </c>
      <c r="M21" s="50" t="str">
        <f t="shared" si="0"/>
        <v>&lt; 10</v>
      </c>
      <c r="N21" s="51" t="s">
        <v>12</v>
      </c>
      <c r="O21" s="11" t="s">
        <v>95</v>
      </c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ht="15.75" customHeight="1">
      <c r="A22" s="53" t="s">
        <v>99</v>
      </c>
      <c r="B22" s="45">
        <v>45400</v>
      </c>
      <c r="C22" s="46">
        <v>0.54722222222222228</v>
      </c>
      <c r="D22" s="45">
        <v>45400</v>
      </c>
      <c r="E22" s="46">
        <v>0.59305555555555556</v>
      </c>
      <c r="F22" s="47">
        <v>41</v>
      </c>
      <c r="G22" s="45">
        <v>45401</v>
      </c>
      <c r="H22" s="46">
        <v>0.59305555555555556</v>
      </c>
      <c r="I22" s="48">
        <v>41</v>
      </c>
      <c r="J22" s="49">
        <v>0</v>
      </c>
      <c r="K22" s="49">
        <v>0</v>
      </c>
      <c r="L22" s="47" t="s">
        <v>76</v>
      </c>
      <c r="M22" s="50" t="str">
        <f t="shared" si="0"/>
        <v>&lt; 10</v>
      </c>
      <c r="N22" s="51" t="s">
        <v>12</v>
      </c>
      <c r="O22" s="11" t="s">
        <v>95</v>
      </c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 spans="1:31" ht="15.75" customHeight="1">
      <c r="A23" s="16" t="s">
        <v>100</v>
      </c>
      <c r="B23" s="45">
        <v>45405</v>
      </c>
      <c r="C23" s="54">
        <v>0.3888888888888889</v>
      </c>
      <c r="D23" s="45">
        <v>45405</v>
      </c>
      <c r="E23" s="46">
        <v>0.56388888888888888</v>
      </c>
      <c r="F23" s="47">
        <v>41</v>
      </c>
      <c r="G23" s="45">
        <v>45406</v>
      </c>
      <c r="H23" s="46">
        <v>0.56388888888888888</v>
      </c>
      <c r="I23" s="48">
        <v>41</v>
      </c>
      <c r="J23" s="49">
        <v>0</v>
      </c>
      <c r="K23" s="49">
        <v>0</v>
      </c>
      <c r="L23" s="47" t="s">
        <v>76</v>
      </c>
      <c r="M23" s="50" t="str">
        <f t="shared" si="0"/>
        <v>&lt; 10</v>
      </c>
      <c r="N23" s="51" t="s">
        <v>12</v>
      </c>
      <c r="O23" s="11" t="s">
        <v>101</v>
      </c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 spans="1:31" ht="15.75" customHeight="1">
      <c r="A24" s="16" t="s">
        <v>102</v>
      </c>
      <c r="B24" s="45">
        <v>45405</v>
      </c>
      <c r="C24" s="55">
        <v>0.40833333333333333</v>
      </c>
      <c r="D24" s="45">
        <v>45405</v>
      </c>
      <c r="E24" s="46">
        <v>0.55972222222222223</v>
      </c>
      <c r="F24" s="47">
        <v>41</v>
      </c>
      <c r="G24" s="45">
        <v>45406</v>
      </c>
      <c r="H24" s="46">
        <v>0.55972222222222223</v>
      </c>
      <c r="I24" s="48">
        <v>41</v>
      </c>
      <c r="J24" s="49">
        <v>0</v>
      </c>
      <c r="K24" s="49">
        <v>0</v>
      </c>
      <c r="L24" s="47" t="s">
        <v>76</v>
      </c>
      <c r="M24" s="50" t="str">
        <f t="shared" si="0"/>
        <v>&lt; 10</v>
      </c>
      <c r="N24" s="51" t="s">
        <v>12</v>
      </c>
      <c r="O24" s="11" t="s">
        <v>101</v>
      </c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 spans="1:31" ht="15.75" customHeight="1">
      <c r="A25" s="16" t="s">
        <v>103</v>
      </c>
      <c r="B25" s="45">
        <v>45405</v>
      </c>
      <c r="C25" s="55">
        <v>0.42291666666666666</v>
      </c>
      <c r="D25" s="45">
        <v>45405</v>
      </c>
      <c r="E25" s="46">
        <v>0.56736111111111109</v>
      </c>
      <c r="F25" s="47">
        <v>41</v>
      </c>
      <c r="G25" s="45">
        <v>45406</v>
      </c>
      <c r="H25" s="46">
        <v>0.56736111111111109</v>
      </c>
      <c r="I25" s="48">
        <v>41</v>
      </c>
      <c r="J25" s="49">
        <v>0</v>
      </c>
      <c r="K25" s="49">
        <v>0</v>
      </c>
      <c r="L25" s="47" t="s">
        <v>76</v>
      </c>
      <c r="M25" s="50" t="str">
        <f t="shared" si="0"/>
        <v>&lt; 10</v>
      </c>
      <c r="N25" s="51" t="s">
        <v>12</v>
      </c>
      <c r="O25" s="11" t="s">
        <v>101</v>
      </c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</row>
    <row r="26" spans="1:31" ht="15.75" customHeight="1">
      <c r="A26" s="16" t="s">
        <v>104</v>
      </c>
      <c r="B26" s="45">
        <v>45405</v>
      </c>
      <c r="C26" s="46">
        <v>0.48749999999999999</v>
      </c>
      <c r="D26" s="45">
        <v>45405</v>
      </c>
      <c r="E26" s="56">
        <v>0.6069444444444444</v>
      </c>
      <c r="F26" s="47">
        <v>41</v>
      </c>
      <c r="G26" s="45">
        <v>45406</v>
      </c>
      <c r="H26" s="56">
        <v>0.6069444444444444</v>
      </c>
      <c r="I26" s="48">
        <v>41</v>
      </c>
      <c r="J26" s="49">
        <v>0</v>
      </c>
      <c r="K26" s="49">
        <v>0</v>
      </c>
      <c r="L26" s="47" t="s">
        <v>76</v>
      </c>
      <c r="M26" s="50" t="str">
        <f t="shared" si="0"/>
        <v>&lt; 10</v>
      </c>
      <c r="N26" s="51" t="s">
        <v>12</v>
      </c>
      <c r="O26" s="11" t="s">
        <v>101</v>
      </c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</row>
    <row r="27" spans="1:31" ht="15.75" customHeight="1">
      <c r="A27" s="16" t="s">
        <v>105</v>
      </c>
      <c r="B27" s="45">
        <v>45405</v>
      </c>
      <c r="C27" s="54">
        <v>6.9444444444444441E-3</v>
      </c>
      <c r="D27" s="45">
        <v>45405</v>
      </c>
      <c r="E27" s="57">
        <v>0.61388888888888893</v>
      </c>
      <c r="F27" s="47">
        <v>41</v>
      </c>
      <c r="G27" s="45">
        <v>45406</v>
      </c>
      <c r="H27" s="57">
        <v>0.61388888888888893</v>
      </c>
      <c r="I27" s="48">
        <v>41</v>
      </c>
      <c r="J27" s="49">
        <v>0</v>
      </c>
      <c r="K27" s="49">
        <v>0</v>
      </c>
      <c r="L27" s="47" t="s">
        <v>76</v>
      </c>
      <c r="M27" s="50" t="str">
        <f t="shared" si="0"/>
        <v>&lt; 10</v>
      </c>
      <c r="N27" s="51" t="s">
        <v>12</v>
      </c>
      <c r="O27" s="11" t="s">
        <v>101</v>
      </c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 spans="1:31" ht="15.75" customHeight="1">
      <c r="A28" s="16" t="s">
        <v>106</v>
      </c>
      <c r="B28" s="45">
        <v>45405</v>
      </c>
      <c r="C28" s="55">
        <v>0.52361111111111114</v>
      </c>
      <c r="D28" s="45">
        <v>45405</v>
      </c>
      <c r="E28" s="57">
        <v>0.61736111111111114</v>
      </c>
      <c r="F28" s="47">
        <v>41</v>
      </c>
      <c r="G28" s="45">
        <v>45406</v>
      </c>
      <c r="H28" s="57">
        <v>0.61736111111111114</v>
      </c>
      <c r="I28" s="48">
        <v>41</v>
      </c>
      <c r="J28" s="49">
        <v>0</v>
      </c>
      <c r="K28" s="49">
        <v>0</v>
      </c>
      <c r="L28" s="47" t="s">
        <v>76</v>
      </c>
      <c r="M28" s="50" t="str">
        <f t="shared" si="0"/>
        <v>&lt; 10</v>
      </c>
      <c r="N28" s="51" t="s">
        <v>12</v>
      </c>
      <c r="O28" s="11" t="s">
        <v>101</v>
      </c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 spans="1:31" ht="15.75" customHeight="1">
      <c r="A29" s="16" t="s">
        <v>107</v>
      </c>
      <c r="B29" s="45">
        <v>45407</v>
      </c>
      <c r="C29" s="46">
        <v>0.35486111111111113</v>
      </c>
      <c r="D29" s="58">
        <v>45407</v>
      </c>
      <c r="E29" s="57">
        <v>0.59444444444444444</v>
      </c>
      <c r="F29" s="47">
        <v>41</v>
      </c>
      <c r="G29" s="45">
        <v>45408</v>
      </c>
      <c r="H29" s="57">
        <v>0.59444444444444444</v>
      </c>
      <c r="I29" s="48">
        <v>41</v>
      </c>
      <c r="J29" s="49">
        <v>0</v>
      </c>
      <c r="K29" s="49">
        <v>0</v>
      </c>
      <c r="L29" s="47" t="s">
        <v>76</v>
      </c>
      <c r="M29" s="50" t="str">
        <f t="shared" si="0"/>
        <v>&lt; 10</v>
      </c>
      <c r="N29" s="51" t="s">
        <v>12</v>
      </c>
      <c r="O29" s="11" t="s">
        <v>101</v>
      </c>
      <c r="P29" s="51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ht="15.75" customHeight="1">
      <c r="A30" s="16" t="s">
        <v>108</v>
      </c>
      <c r="B30" s="45">
        <v>45407</v>
      </c>
      <c r="C30" s="59">
        <v>0.37291666666666667</v>
      </c>
      <c r="D30" s="58">
        <v>45407</v>
      </c>
      <c r="E30" s="59">
        <v>0.59791666666666665</v>
      </c>
      <c r="F30" s="47">
        <v>41</v>
      </c>
      <c r="G30" s="45">
        <v>45408</v>
      </c>
      <c r="H30" s="59">
        <v>0.59791666666666665</v>
      </c>
      <c r="I30" s="48">
        <v>41</v>
      </c>
      <c r="J30" s="49">
        <v>0</v>
      </c>
      <c r="K30" s="49">
        <v>0</v>
      </c>
      <c r="L30" s="47" t="s">
        <v>76</v>
      </c>
      <c r="M30" s="50" t="str">
        <f t="shared" si="0"/>
        <v>&lt; 10</v>
      </c>
      <c r="N30" s="51" t="s">
        <v>12</v>
      </c>
      <c r="O30" s="11" t="s">
        <v>101</v>
      </c>
      <c r="P30" s="51"/>
      <c r="Q30" s="60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spans="1:31" ht="15.75" customHeight="1">
      <c r="A31" s="16" t="s">
        <v>109</v>
      </c>
      <c r="B31" s="45">
        <v>45407</v>
      </c>
      <c r="C31" s="61">
        <v>0.4</v>
      </c>
      <c r="D31" s="58">
        <v>45407</v>
      </c>
      <c r="E31" s="20">
        <v>0.6</v>
      </c>
      <c r="F31" s="47">
        <v>41</v>
      </c>
      <c r="G31" s="45">
        <v>45408</v>
      </c>
      <c r="H31" s="20">
        <v>0.6</v>
      </c>
      <c r="I31" s="48">
        <v>41</v>
      </c>
      <c r="J31" s="49">
        <v>0</v>
      </c>
      <c r="K31" s="49">
        <v>0</v>
      </c>
      <c r="L31" s="47" t="s">
        <v>76</v>
      </c>
      <c r="M31" s="50" t="str">
        <f t="shared" si="0"/>
        <v>&lt; 10</v>
      </c>
      <c r="N31" s="51" t="s">
        <v>12</v>
      </c>
      <c r="O31" s="11" t="s">
        <v>101</v>
      </c>
      <c r="P31" s="51"/>
      <c r="Q31" s="60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spans="1:31" ht="15.75" customHeight="1">
      <c r="A32" s="16" t="s">
        <v>110</v>
      </c>
      <c r="B32" s="45">
        <v>45407</v>
      </c>
      <c r="C32" s="61">
        <v>0.42569444444444443</v>
      </c>
      <c r="D32" s="58">
        <v>45407</v>
      </c>
      <c r="E32" s="20">
        <v>0.60555555555555551</v>
      </c>
      <c r="F32" s="47">
        <v>41</v>
      </c>
      <c r="G32" s="45">
        <v>45408</v>
      </c>
      <c r="H32" s="20">
        <v>0.60555555555555551</v>
      </c>
      <c r="I32" s="48">
        <v>41</v>
      </c>
      <c r="J32" s="49">
        <v>0</v>
      </c>
      <c r="K32" s="49">
        <v>0</v>
      </c>
      <c r="L32" s="47" t="s">
        <v>76</v>
      </c>
      <c r="M32" s="50" t="str">
        <f t="shared" si="0"/>
        <v>&lt; 10</v>
      </c>
      <c r="N32" s="51" t="s">
        <v>12</v>
      </c>
      <c r="O32" s="11" t="s">
        <v>101</v>
      </c>
      <c r="P32" s="51"/>
      <c r="Q32" s="60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spans="1:31" ht="15.75" customHeight="1">
      <c r="A33" s="16" t="s">
        <v>111</v>
      </c>
      <c r="B33" s="45">
        <v>45407</v>
      </c>
      <c r="C33" s="61">
        <v>0.4465277777777778</v>
      </c>
      <c r="D33" s="58">
        <v>45407</v>
      </c>
      <c r="E33" s="20">
        <v>0.60902777777777772</v>
      </c>
      <c r="F33" s="47">
        <v>41</v>
      </c>
      <c r="G33" s="45">
        <v>45408</v>
      </c>
      <c r="H33" s="20">
        <v>0.60902777777777772</v>
      </c>
      <c r="I33" s="48">
        <v>41</v>
      </c>
      <c r="J33" s="49">
        <v>0</v>
      </c>
      <c r="K33" s="49">
        <v>0</v>
      </c>
      <c r="L33" s="47" t="s">
        <v>76</v>
      </c>
      <c r="M33" s="50" t="str">
        <f t="shared" si="0"/>
        <v>&lt; 10</v>
      </c>
      <c r="N33" s="51" t="s">
        <v>12</v>
      </c>
      <c r="O33" s="11" t="s">
        <v>101</v>
      </c>
      <c r="P33" s="51"/>
      <c r="Q33" s="62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</row>
    <row r="34" spans="1:31" ht="15.75" customHeight="1">
      <c r="A34" s="16" t="s">
        <v>112</v>
      </c>
      <c r="B34" s="45">
        <v>45407</v>
      </c>
      <c r="C34" s="61">
        <v>0.46458333333333335</v>
      </c>
      <c r="D34" s="58">
        <v>45407</v>
      </c>
      <c r="E34" s="20">
        <v>0.61597222222222225</v>
      </c>
      <c r="F34" s="47">
        <v>41</v>
      </c>
      <c r="G34" s="45">
        <v>45408</v>
      </c>
      <c r="H34" s="20">
        <v>0.61597222222222225</v>
      </c>
      <c r="I34" s="48">
        <v>41</v>
      </c>
      <c r="J34" s="49">
        <v>0</v>
      </c>
      <c r="K34" s="49">
        <v>0</v>
      </c>
      <c r="L34" s="47" t="s">
        <v>76</v>
      </c>
      <c r="M34" s="50" t="str">
        <f t="shared" si="0"/>
        <v>&lt; 10</v>
      </c>
      <c r="N34" s="51" t="s">
        <v>12</v>
      </c>
      <c r="O34" s="11" t="s">
        <v>101</v>
      </c>
      <c r="P34" s="51"/>
      <c r="Q34" s="62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</row>
    <row r="35" spans="1:31" ht="15.75" customHeight="1">
      <c r="A35" s="16" t="s">
        <v>113</v>
      </c>
      <c r="B35" s="45">
        <v>45407</v>
      </c>
      <c r="C35" s="61">
        <v>0.49513888888888891</v>
      </c>
      <c r="D35" s="58">
        <v>45407</v>
      </c>
      <c r="E35" s="20">
        <v>0.62013888888888891</v>
      </c>
      <c r="F35" s="47">
        <v>41</v>
      </c>
      <c r="G35" s="45">
        <v>45408</v>
      </c>
      <c r="H35" s="20">
        <v>0.62013888888888891</v>
      </c>
      <c r="I35" s="48">
        <v>41</v>
      </c>
      <c r="J35" s="49">
        <v>0</v>
      </c>
      <c r="K35" s="49">
        <v>0</v>
      </c>
      <c r="L35" s="47" t="s">
        <v>76</v>
      </c>
      <c r="M35" s="50" t="str">
        <f t="shared" si="0"/>
        <v>&lt; 10</v>
      </c>
      <c r="N35" s="51" t="s">
        <v>12</v>
      </c>
      <c r="O35" s="11" t="s">
        <v>101</v>
      </c>
      <c r="P35" s="51"/>
      <c r="Q35" s="62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</row>
    <row r="36" spans="1:31" ht="15.75" customHeight="1">
      <c r="A36" s="16" t="s">
        <v>114</v>
      </c>
      <c r="B36" s="45">
        <v>45407</v>
      </c>
      <c r="C36" s="61">
        <v>0.51041666666666663</v>
      </c>
      <c r="D36" s="58">
        <v>45407</v>
      </c>
      <c r="E36" s="20">
        <v>0.62291666666666667</v>
      </c>
      <c r="F36" s="47">
        <v>41</v>
      </c>
      <c r="G36" s="45">
        <v>45408</v>
      </c>
      <c r="H36" s="20">
        <v>0.62291666666666667</v>
      </c>
      <c r="I36" s="48">
        <v>41</v>
      </c>
      <c r="J36" s="49">
        <v>0</v>
      </c>
      <c r="K36" s="49">
        <v>0</v>
      </c>
      <c r="L36" s="47" t="s">
        <v>76</v>
      </c>
      <c r="M36" s="50" t="str">
        <f t="shared" si="0"/>
        <v>&lt; 10</v>
      </c>
      <c r="N36" s="51" t="s">
        <v>12</v>
      </c>
      <c r="O36" s="11" t="s">
        <v>101</v>
      </c>
      <c r="P36" s="51"/>
      <c r="Q36" s="62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</row>
    <row r="37" spans="1:31" ht="15.75" customHeight="1">
      <c r="A37" s="16" t="s">
        <v>115</v>
      </c>
      <c r="B37" s="45">
        <v>45407</v>
      </c>
      <c r="C37" s="61">
        <v>0.5131944444444444</v>
      </c>
      <c r="D37" s="58">
        <v>45407</v>
      </c>
      <c r="E37" s="20">
        <v>0.625</v>
      </c>
      <c r="F37" s="47">
        <v>41</v>
      </c>
      <c r="G37" s="45">
        <v>45408</v>
      </c>
      <c r="H37" s="20">
        <v>0.625</v>
      </c>
      <c r="I37" s="48">
        <v>41</v>
      </c>
      <c r="J37" s="49">
        <v>0</v>
      </c>
      <c r="K37" s="49">
        <v>0</v>
      </c>
      <c r="L37" s="47" t="s">
        <v>76</v>
      </c>
      <c r="M37" s="50" t="str">
        <f t="shared" si="0"/>
        <v>&lt; 10</v>
      </c>
      <c r="N37" s="51" t="s">
        <v>12</v>
      </c>
      <c r="O37" s="11" t="s">
        <v>101</v>
      </c>
      <c r="P37" s="51"/>
      <c r="Q37" s="62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 spans="1:31" ht="15.75" customHeight="1">
      <c r="A38" s="64" t="s">
        <v>116</v>
      </c>
      <c r="B38" s="45">
        <v>45415</v>
      </c>
      <c r="C38" s="61">
        <v>0.31666666666666665</v>
      </c>
      <c r="D38" s="45">
        <v>45415</v>
      </c>
      <c r="E38" s="20">
        <v>0.54791666666666672</v>
      </c>
      <c r="F38" s="47">
        <v>42</v>
      </c>
      <c r="G38" s="65">
        <v>45416</v>
      </c>
      <c r="H38" s="20">
        <v>0.54791666666666672</v>
      </c>
      <c r="I38" s="47">
        <v>42</v>
      </c>
      <c r="J38" s="49">
        <v>0</v>
      </c>
      <c r="K38" s="49">
        <v>0</v>
      </c>
      <c r="L38" s="47" t="s">
        <v>76</v>
      </c>
      <c r="M38" s="50" t="str">
        <f t="shared" si="0"/>
        <v>&lt; 10</v>
      </c>
      <c r="N38" s="51" t="s">
        <v>12</v>
      </c>
      <c r="O38" s="11" t="s">
        <v>117</v>
      </c>
      <c r="P38" s="51"/>
      <c r="Q38" s="62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</row>
    <row r="39" spans="1:31" ht="15.75" customHeight="1">
      <c r="A39" s="16" t="s">
        <v>118</v>
      </c>
      <c r="B39" s="45">
        <v>45415</v>
      </c>
      <c r="C39" s="61">
        <v>0.3347222222222222</v>
      </c>
      <c r="D39" s="45">
        <v>45415</v>
      </c>
      <c r="E39" s="20">
        <v>0.54791666666666672</v>
      </c>
      <c r="F39" s="47">
        <v>42</v>
      </c>
      <c r="G39" s="65">
        <v>45416</v>
      </c>
      <c r="H39" s="20">
        <v>0.54791666666666672</v>
      </c>
      <c r="I39" s="47">
        <v>42</v>
      </c>
      <c r="J39" s="49">
        <v>0</v>
      </c>
      <c r="K39" s="49">
        <v>0</v>
      </c>
      <c r="L39" s="47" t="s">
        <v>76</v>
      </c>
      <c r="M39" s="50" t="str">
        <f t="shared" si="0"/>
        <v>&lt; 10</v>
      </c>
      <c r="N39" s="51" t="s">
        <v>12</v>
      </c>
      <c r="O39" s="11" t="s">
        <v>117</v>
      </c>
      <c r="P39" s="51"/>
      <c r="Q39" s="62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</row>
    <row r="40" spans="1:31" ht="15.75" customHeight="1">
      <c r="A40" s="16" t="s">
        <v>119</v>
      </c>
      <c r="B40" s="45">
        <v>45415</v>
      </c>
      <c r="C40" s="61">
        <v>0.43055555555555558</v>
      </c>
      <c r="D40" s="45">
        <v>45415</v>
      </c>
      <c r="E40" s="46">
        <v>0.54861111111111116</v>
      </c>
      <c r="F40" s="47">
        <v>42</v>
      </c>
      <c r="G40" s="65">
        <v>45416</v>
      </c>
      <c r="H40" s="46">
        <v>0.54861111111111116</v>
      </c>
      <c r="I40" s="47">
        <v>42</v>
      </c>
      <c r="J40" s="49">
        <v>0</v>
      </c>
      <c r="K40" s="49">
        <v>0</v>
      </c>
      <c r="L40" s="47" t="s">
        <v>76</v>
      </c>
      <c r="M40" s="50" t="str">
        <f t="shared" si="0"/>
        <v>&lt; 10</v>
      </c>
      <c r="N40" s="51" t="s">
        <v>12</v>
      </c>
      <c r="O40" s="11" t="s">
        <v>117</v>
      </c>
      <c r="P40" s="51"/>
      <c r="Q40" s="62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</row>
    <row r="41" spans="1:31" ht="15.75" customHeight="1">
      <c r="A41" s="16" t="s">
        <v>120</v>
      </c>
      <c r="B41" s="45">
        <v>45415</v>
      </c>
      <c r="C41" s="61">
        <v>0.44583333333333336</v>
      </c>
      <c r="D41" s="45">
        <v>45415</v>
      </c>
      <c r="E41" s="46">
        <v>0.54861111111111116</v>
      </c>
      <c r="F41" s="47">
        <v>42</v>
      </c>
      <c r="G41" s="65">
        <v>45416</v>
      </c>
      <c r="H41" s="46">
        <v>0.54861111111111116</v>
      </c>
      <c r="I41" s="47">
        <v>42</v>
      </c>
      <c r="J41" s="49">
        <v>0</v>
      </c>
      <c r="K41" s="49">
        <v>0</v>
      </c>
      <c r="L41" s="47" t="s">
        <v>76</v>
      </c>
      <c r="M41" s="50" t="str">
        <f t="shared" si="0"/>
        <v>&lt; 10</v>
      </c>
      <c r="N41" s="51" t="s">
        <v>12</v>
      </c>
      <c r="O41" s="11" t="s">
        <v>117</v>
      </c>
      <c r="P41" s="51"/>
      <c r="Q41" s="62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</row>
    <row r="42" spans="1:31" ht="15.75" customHeight="1">
      <c r="A42" s="16" t="s">
        <v>121</v>
      </c>
      <c r="B42" s="65">
        <v>45416</v>
      </c>
      <c r="C42" s="46">
        <v>0.39166666666666666</v>
      </c>
      <c r="D42" s="65">
        <v>45416</v>
      </c>
      <c r="E42" s="66">
        <v>0.60277777777777775</v>
      </c>
      <c r="F42" s="47">
        <v>42</v>
      </c>
      <c r="G42" s="58">
        <v>45417</v>
      </c>
      <c r="H42" s="66">
        <v>0.60277777777777775</v>
      </c>
      <c r="I42" s="47">
        <v>42</v>
      </c>
      <c r="J42" s="49">
        <v>0</v>
      </c>
      <c r="K42" s="49">
        <v>0</v>
      </c>
      <c r="L42" s="47" t="s">
        <v>76</v>
      </c>
      <c r="M42" s="50" t="str">
        <f t="shared" si="0"/>
        <v>&lt; 10</v>
      </c>
      <c r="N42" s="51" t="s">
        <v>12</v>
      </c>
      <c r="O42" s="11" t="s">
        <v>122</v>
      </c>
      <c r="P42" s="51"/>
      <c r="Q42" s="62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</row>
    <row r="43" spans="1:31" ht="15.75" customHeight="1">
      <c r="A43" s="16" t="s">
        <v>123</v>
      </c>
      <c r="B43" s="65">
        <v>45416</v>
      </c>
      <c r="C43" s="46">
        <v>0.46388888888888891</v>
      </c>
      <c r="D43" s="65">
        <v>45416</v>
      </c>
      <c r="E43" s="46">
        <v>0.60486111111111107</v>
      </c>
      <c r="F43" s="47">
        <v>41</v>
      </c>
      <c r="G43" s="58">
        <v>45417</v>
      </c>
      <c r="H43" s="46">
        <v>0.60486111111111107</v>
      </c>
      <c r="I43" s="48">
        <v>41</v>
      </c>
      <c r="J43" s="49">
        <v>0</v>
      </c>
      <c r="K43" s="49">
        <v>0</v>
      </c>
      <c r="L43" s="47" t="s">
        <v>76</v>
      </c>
      <c r="M43" s="50" t="str">
        <f t="shared" si="0"/>
        <v>&lt; 10</v>
      </c>
      <c r="N43" s="51" t="s">
        <v>12</v>
      </c>
      <c r="O43" s="11" t="s">
        <v>122</v>
      </c>
      <c r="P43" s="51"/>
      <c r="Q43" s="62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spans="1:31" ht="15.75" customHeight="1">
      <c r="A44" s="16" t="s">
        <v>124</v>
      </c>
      <c r="B44" s="65">
        <v>45416</v>
      </c>
      <c r="C44" s="46">
        <v>0.49652777777777779</v>
      </c>
      <c r="D44" s="65">
        <v>45416</v>
      </c>
      <c r="E44" s="46">
        <v>0.60763888888888884</v>
      </c>
      <c r="F44" s="47">
        <v>41</v>
      </c>
      <c r="G44" s="58">
        <v>45417</v>
      </c>
      <c r="H44" s="46">
        <v>0.60763888888888884</v>
      </c>
      <c r="I44" s="48">
        <v>41</v>
      </c>
      <c r="J44" s="49">
        <v>0</v>
      </c>
      <c r="K44" s="49">
        <v>0</v>
      </c>
      <c r="L44" s="47" t="s">
        <v>76</v>
      </c>
      <c r="M44" s="50" t="str">
        <f t="shared" si="0"/>
        <v>&lt; 10</v>
      </c>
      <c r="N44" s="51" t="s">
        <v>12</v>
      </c>
      <c r="O44" s="11" t="s">
        <v>122</v>
      </c>
      <c r="P44" s="51"/>
      <c r="Q44" s="62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 spans="1:31" ht="15.75" customHeight="1">
      <c r="A45" s="16" t="s">
        <v>125</v>
      </c>
      <c r="B45" s="65">
        <v>45416</v>
      </c>
      <c r="C45" s="46">
        <v>0.54861111111111116</v>
      </c>
      <c r="D45" s="65">
        <v>45416</v>
      </c>
      <c r="E45" s="46">
        <v>0.61041666666666672</v>
      </c>
      <c r="F45" s="47">
        <v>41</v>
      </c>
      <c r="G45" s="58">
        <v>45417</v>
      </c>
      <c r="H45" s="46">
        <v>0.61041666666666672</v>
      </c>
      <c r="I45" s="48">
        <v>41</v>
      </c>
      <c r="J45" s="49">
        <v>0</v>
      </c>
      <c r="K45" s="49">
        <v>0</v>
      </c>
      <c r="L45" s="47" t="s">
        <v>76</v>
      </c>
      <c r="M45" s="50" t="str">
        <f t="shared" si="0"/>
        <v>&lt; 10</v>
      </c>
      <c r="N45" s="51" t="s">
        <v>12</v>
      </c>
      <c r="O45" s="11" t="s">
        <v>122</v>
      </c>
      <c r="P45" s="51"/>
      <c r="Q45" s="52"/>
    </row>
    <row r="46" spans="1:31" ht="15.75" customHeight="1">
      <c r="A46" s="67" t="s">
        <v>126</v>
      </c>
      <c r="B46" s="58">
        <v>45417</v>
      </c>
      <c r="C46" s="61">
        <v>0.31041666666666667</v>
      </c>
      <c r="D46" s="58">
        <v>45417</v>
      </c>
      <c r="E46" s="46">
        <v>0.51944444444444449</v>
      </c>
      <c r="F46" s="47">
        <v>41</v>
      </c>
      <c r="G46" s="58">
        <v>45418</v>
      </c>
      <c r="H46" s="46">
        <v>0.51944444444444449</v>
      </c>
      <c r="I46" s="48">
        <v>41</v>
      </c>
      <c r="J46" s="49">
        <v>0</v>
      </c>
      <c r="K46" s="49">
        <v>0</v>
      </c>
      <c r="L46" s="47" t="s">
        <v>76</v>
      </c>
      <c r="M46" s="50" t="str">
        <f t="shared" si="0"/>
        <v>&lt; 10</v>
      </c>
      <c r="N46" s="51" t="s">
        <v>12</v>
      </c>
      <c r="O46" s="11" t="s">
        <v>122</v>
      </c>
      <c r="P46" s="51"/>
      <c r="Q46" s="52"/>
    </row>
    <row r="47" spans="1:31" ht="15.75" customHeight="1">
      <c r="A47" s="67" t="s">
        <v>127</v>
      </c>
      <c r="B47" s="58">
        <v>45417</v>
      </c>
      <c r="C47" s="61">
        <v>0.34236111111111112</v>
      </c>
      <c r="D47" s="58">
        <v>45417</v>
      </c>
      <c r="E47" s="46">
        <v>0.52083333333333337</v>
      </c>
      <c r="F47" s="47">
        <v>41</v>
      </c>
      <c r="G47" s="58">
        <v>45418</v>
      </c>
      <c r="H47" s="46">
        <v>0.52083333333333337</v>
      </c>
      <c r="I47" s="48">
        <v>41</v>
      </c>
      <c r="J47" s="49">
        <v>0</v>
      </c>
      <c r="K47" s="49">
        <v>0</v>
      </c>
      <c r="L47" s="47" t="s">
        <v>76</v>
      </c>
      <c r="M47" s="50" t="str">
        <f t="shared" si="0"/>
        <v>&lt; 10</v>
      </c>
      <c r="N47" s="51" t="s">
        <v>12</v>
      </c>
      <c r="O47" s="68" t="s">
        <v>122</v>
      </c>
      <c r="P47" s="51"/>
      <c r="Q47" s="52"/>
    </row>
    <row r="48" spans="1:31" ht="15.75" customHeight="1">
      <c r="A48" s="67" t="s">
        <v>128</v>
      </c>
      <c r="B48" s="58">
        <v>45417</v>
      </c>
      <c r="C48" s="61">
        <v>0.36180555555555555</v>
      </c>
      <c r="D48" s="58">
        <v>45417</v>
      </c>
      <c r="E48" s="46">
        <v>0.52152777777777781</v>
      </c>
      <c r="F48" s="47">
        <v>41</v>
      </c>
      <c r="G48" s="58">
        <v>45418</v>
      </c>
      <c r="H48" s="46">
        <v>0.52152777777777781</v>
      </c>
      <c r="I48" s="48">
        <v>41</v>
      </c>
      <c r="J48" s="49">
        <v>0</v>
      </c>
      <c r="K48" s="49">
        <v>0</v>
      </c>
      <c r="L48" s="47" t="s">
        <v>76</v>
      </c>
      <c r="M48" s="50" t="str">
        <f t="shared" si="0"/>
        <v>&lt; 10</v>
      </c>
      <c r="N48" s="51" t="s">
        <v>12</v>
      </c>
      <c r="O48" s="68" t="s">
        <v>122</v>
      </c>
      <c r="P48" s="51"/>
      <c r="Q48" s="52"/>
    </row>
    <row r="49" spans="1:17" ht="15.75" customHeight="1">
      <c r="A49" s="16" t="s">
        <v>129</v>
      </c>
      <c r="B49" s="58">
        <v>45417</v>
      </c>
      <c r="C49" s="46">
        <v>0.38472222222222224</v>
      </c>
      <c r="D49" s="58">
        <v>45417</v>
      </c>
      <c r="E49" s="46">
        <v>0.52430555555555558</v>
      </c>
      <c r="F49" s="47">
        <v>41</v>
      </c>
      <c r="G49" s="58">
        <v>45418</v>
      </c>
      <c r="H49" s="46">
        <v>0.52430555555555558</v>
      </c>
      <c r="I49" s="48">
        <v>41</v>
      </c>
      <c r="J49" s="49">
        <v>0</v>
      </c>
      <c r="K49" s="49">
        <v>0</v>
      </c>
      <c r="L49" s="47" t="s">
        <v>76</v>
      </c>
      <c r="M49" s="50" t="str">
        <f t="shared" si="0"/>
        <v>&lt; 10</v>
      </c>
      <c r="N49" s="51" t="s">
        <v>12</v>
      </c>
      <c r="O49" s="68" t="s">
        <v>122</v>
      </c>
      <c r="P49" s="51"/>
      <c r="Q49" s="52"/>
    </row>
    <row r="50" spans="1:17" ht="15.75" customHeight="1">
      <c r="A50" s="16" t="s">
        <v>130</v>
      </c>
      <c r="B50" s="58">
        <v>45417</v>
      </c>
      <c r="C50" s="46">
        <v>0.41458333333333336</v>
      </c>
      <c r="D50" s="58">
        <v>45417</v>
      </c>
      <c r="E50" s="69">
        <v>0.52569444444444446</v>
      </c>
      <c r="F50" s="47">
        <v>41</v>
      </c>
      <c r="G50" s="58">
        <v>45418</v>
      </c>
      <c r="H50" s="69">
        <v>0.52569444444444446</v>
      </c>
      <c r="I50" s="48">
        <v>41</v>
      </c>
      <c r="J50" s="49">
        <v>0</v>
      </c>
      <c r="K50" s="49">
        <v>0</v>
      </c>
      <c r="L50" s="47" t="s">
        <v>76</v>
      </c>
      <c r="M50" s="50" t="str">
        <f t="shared" si="0"/>
        <v>&lt; 10</v>
      </c>
      <c r="N50" s="51" t="s">
        <v>12</v>
      </c>
      <c r="O50" s="68" t="s">
        <v>122</v>
      </c>
      <c r="P50" s="51"/>
      <c r="Q50" s="52"/>
    </row>
    <row r="51" spans="1:17" ht="15.75" customHeight="1">
      <c r="A51" s="53" t="s">
        <v>131</v>
      </c>
      <c r="B51" s="58">
        <v>45417</v>
      </c>
      <c r="C51" s="46">
        <v>0.44166666666666665</v>
      </c>
      <c r="D51" s="58">
        <v>45417</v>
      </c>
      <c r="E51" s="69">
        <v>0.52777777777777779</v>
      </c>
      <c r="F51" s="47">
        <v>41</v>
      </c>
      <c r="G51" s="58">
        <v>45418</v>
      </c>
      <c r="H51" s="69">
        <v>0.52777777777777779</v>
      </c>
      <c r="I51" s="48">
        <v>41</v>
      </c>
      <c r="J51" s="49">
        <v>0</v>
      </c>
      <c r="K51" s="49">
        <v>0</v>
      </c>
      <c r="L51" s="47" t="s">
        <v>76</v>
      </c>
      <c r="M51" s="50" t="str">
        <f t="shared" si="0"/>
        <v>&lt; 10</v>
      </c>
      <c r="N51" s="51" t="s">
        <v>12</v>
      </c>
      <c r="O51" s="68" t="s">
        <v>122</v>
      </c>
      <c r="P51" s="51"/>
      <c r="Q51" s="52"/>
    </row>
    <row r="52" spans="1:17" ht="15.75" customHeight="1">
      <c r="A52" s="53" t="s">
        <v>132</v>
      </c>
      <c r="B52" s="58">
        <v>45417</v>
      </c>
      <c r="C52" s="70">
        <v>0.46597222222222223</v>
      </c>
      <c r="D52" s="58">
        <v>45417</v>
      </c>
      <c r="E52" s="69">
        <v>0.52916666666666667</v>
      </c>
      <c r="F52" s="47">
        <v>41</v>
      </c>
      <c r="G52" s="58">
        <v>45418</v>
      </c>
      <c r="H52" s="69">
        <v>0.52916666666666667</v>
      </c>
      <c r="I52" s="48">
        <v>41</v>
      </c>
      <c r="J52" s="49">
        <v>0</v>
      </c>
      <c r="K52" s="49">
        <v>0</v>
      </c>
      <c r="L52" s="47" t="s">
        <v>76</v>
      </c>
      <c r="M52" s="50" t="str">
        <f t="shared" si="0"/>
        <v>&lt; 10</v>
      </c>
      <c r="N52" s="51" t="s">
        <v>12</v>
      </c>
      <c r="O52" s="68" t="s">
        <v>122</v>
      </c>
      <c r="P52" s="51"/>
      <c r="Q52" s="52"/>
    </row>
    <row r="53" spans="1:17" ht="15.75" customHeight="1">
      <c r="A53" s="71"/>
      <c r="B53" s="72"/>
      <c r="C53" s="73"/>
      <c r="D53" s="72"/>
      <c r="E53" s="73"/>
      <c r="F53" s="74"/>
      <c r="G53" s="72"/>
      <c r="H53" s="73"/>
      <c r="I53" s="75"/>
      <c r="J53" s="75"/>
      <c r="K53" s="75"/>
      <c r="L53" s="74"/>
      <c r="M53" s="76"/>
      <c r="N53" s="75"/>
      <c r="O53" s="75"/>
      <c r="P53" s="75"/>
    </row>
    <row r="54" spans="1:17" ht="15.75" customHeight="1">
      <c r="A54" s="71"/>
      <c r="B54" s="72"/>
      <c r="C54" s="73"/>
      <c r="D54" s="72"/>
      <c r="E54" s="73"/>
      <c r="F54" s="74"/>
      <c r="G54" s="72"/>
      <c r="H54" s="73"/>
      <c r="I54" s="75"/>
      <c r="J54" s="75"/>
      <c r="K54" s="75"/>
      <c r="L54" s="74"/>
      <c r="M54" s="76"/>
      <c r="N54" s="75"/>
      <c r="O54" s="75"/>
      <c r="P54" s="75"/>
    </row>
    <row r="55" spans="1:17" ht="15.75" customHeight="1">
      <c r="A55" s="71"/>
      <c r="B55" s="72"/>
      <c r="C55" s="73"/>
      <c r="D55" s="72"/>
      <c r="E55" s="73"/>
      <c r="F55" s="74"/>
      <c r="G55" s="72"/>
      <c r="H55" s="73"/>
      <c r="I55" s="75"/>
      <c r="J55" s="75"/>
      <c r="K55" s="75"/>
      <c r="L55" s="74"/>
      <c r="M55" s="76"/>
      <c r="N55" s="75"/>
      <c r="O55" s="75"/>
      <c r="P55" s="75"/>
    </row>
    <row r="56" spans="1:17" ht="15.75" customHeight="1">
      <c r="A56" s="71"/>
      <c r="B56" s="72"/>
      <c r="C56" s="73"/>
      <c r="D56" s="72"/>
      <c r="E56" s="73"/>
      <c r="F56" s="74"/>
      <c r="G56" s="72"/>
      <c r="H56" s="73"/>
      <c r="I56" s="75"/>
      <c r="J56" s="75"/>
      <c r="K56" s="75"/>
      <c r="L56" s="74"/>
      <c r="M56" s="76"/>
      <c r="N56" s="75"/>
      <c r="O56" s="75"/>
      <c r="P56" s="75"/>
    </row>
    <row r="57" spans="1:17" ht="15.75" customHeight="1">
      <c r="A57" s="71"/>
      <c r="B57" s="72"/>
      <c r="C57" s="73"/>
      <c r="D57" s="72"/>
      <c r="E57" s="73"/>
      <c r="F57" s="74"/>
      <c r="G57" s="72"/>
      <c r="H57" s="73"/>
      <c r="I57" s="75"/>
      <c r="J57" s="75"/>
      <c r="K57" s="75"/>
      <c r="L57" s="74"/>
      <c r="M57" s="76"/>
      <c r="N57" s="75"/>
      <c r="O57" s="75"/>
      <c r="P57" s="75"/>
    </row>
    <row r="58" spans="1:17" ht="15.75" customHeight="1">
      <c r="A58" s="71"/>
      <c r="B58" s="72"/>
      <c r="C58" s="73"/>
      <c r="D58" s="72"/>
      <c r="E58" s="73"/>
      <c r="F58" s="74"/>
      <c r="G58" s="72"/>
      <c r="H58" s="73"/>
      <c r="I58" s="75"/>
      <c r="J58" s="75"/>
      <c r="K58" s="75"/>
      <c r="L58" s="74"/>
      <c r="M58" s="76"/>
      <c r="N58" s="75"/>
      <c r="O58" s="75"/>
      <c r="P58" s="75"/>
    </row>
    <row r="59" spans="1:17" ht="15.75" customHeight="1">
      <c r="A59" s="71"/>
      <c r="B59" s="72"/>
      <c r="C59" s="73"/>
      <c r="D59" s="72"/>
      <c r="E59" s="73"/>
      <c r="F59" s="74"/>
      <c r="G59" s="72"/>
      <c r="H59" s="73"/>
      <c r="I59" s="75"/>
      <c r="J59" s="75"/>
      <c r="K59" s="75"/>
      <c r="L59" s="74"/>
      <c r="M59" s="76"/>
      <c r="N59" s="75"/>
      <c r="O59" s="75"/>
      <c r="P59" s="75"/>
    </row>
    <row r="60" spans="1:17" ht="15.75" customHeight="1">
      <c r="A60" s="71"/>
      <c r="B60" s="72"/>
      <c r="C60" s="73"/>
      <c r="D60" s="72"/>
      <c r="E60" s="73"/>
      <c r="F60" s="74"/>
      <c r="G60" s="72"/>
      <c r="H60" s="73"/>
      <c r="I60" s="75"/>
      <c r="J60" s="75"/>
      <c r="K60" s="75"/>
      <c r="L60" s="74"/>
      <c r="M60" s="76"/>
      <c r="N60" s="75"/>
      <c r="O60" s="75"/>
      <c r="P60" s="75"/>
    </row>
    <row r="61" spans="1:17" ht="15.75" customHeight="1">
      <c r="A61" s="71"/>
      <c r="B61" s="72"/>
      <c r="C61" s="73"/>
      <c r="D61" s="72"/>
      <c r="E61" s="73"/>
      <c r="F61" s="74"/>
      <c r="G61" s="72"/>
      <c r="H61" s="73"/>
      <c r="I61" s="75"/>
      <c r="J61" s="75"/>
      <c r="K61" s="75"/>
      <c r="L61" s="74"/>
      <c r="M61" s="76"/>
      <c r="N61" s="75"/>
      <c r="O61" s="75"/>
      <c r="P61" s="75"/>
    </row>
    <row r="62" spans="1:17" ht="15.75" customHeight="1">
      <c r="A62" s="71"/>
      <c r="B62" s="72"/>
      <c r="C62" s="73"/>
      <c r="D62" s="72"/>
      <c r="E62" s="73"/>
      <c r="F62" s="74"/>
      <c r="G62" s="72"/>
      <c r="H62" s="73"/>
      <c r="I62" s="75"/>
      <c r="J62" s="75"/>
      <c r="K62" s="75"/>
      <c r="L62" s="74"/>
      <c r="M62" s="76"/>
      <c r="N62" s="75"/>
      <c r="O62" s="75"/>
      <c r="P62" s="75"/>
    </row>
    <row r="63" spans="1:17" ht="15.75" customHeight="1">
      <c r="A63" s="71"/>
      <c r="B63" s="72"/>
      <c r="C63" s="73"/>
      <c r="D63" s="72"/>
      <c r="E63" s="73"/>
      <c r="F63" s="74"/>
      <c r="G63" s="72"/>
      <c r="H63" s="73"/>
      <c r="I63" s="75"/>
      <c r="J63" s="75"/>
      <c r="K63" s="75"/>
      <c r="L63" s="74"/>
      <c r="M63" s="76"/>
      <c r="N63" s="75"/>
      <c r="O63" s="75"/>
      <c r="P63" s="75"/>
    </row>
    <row r="64" spans="1:17" ht="15.75" customHeight="1">
      <c r="A64" s="71"/>
      <c r="B64" s="72"/>
      <c r="C64" s="73"/>
      <c r="D64" s="72"/>
      <c r="E64" s="73"/>
      <c r="F64" s="74"/>
      <c r="G64" s="72"/>
      <c r="H64" s="73"/>
      <c r="I64" s="75"/>
      <c r="J64" s="75"/>
      <c r="K64" s="75"/>
      <c r="L64" s="74"/>
      <c r="M64" s="76"/>
      <c r="N64" s="75"/>
      <c r="O64" s="75"/>
      <c r="P64" s="75"/>
    </row>
    <row r="65" spans="1:16" ht="15.75" customHeight="1">
      <c r="A65" s="71"/>
      <c r="B65" s="72"/>
      <c r="C65" s="73"/>
      <c r="D65" s="72"/>
      <c r="E65" s="73"/>
      <c r="F65" s="74"/>
      <c r="G65" s="72"/>
      <c r="H65" s="73"/>
      <c r="I65" s="75"/>
      <c r="J65" s="75"/>
      <c r="K65" s="75"/>
      <c r="L65" s="74"/>
      <c r="M65" s="76"/>
      <c r="N65" s="75"/>
      <c r="O65" s="75"/>
      <c r="P65" s="75"/>
    </row>
    <row r="66" spans="1:16" ht="15.75" customHeight="1">
      <c r="A66" s="71"/>
      <c r="B66" s="72"/>
      <c r="C66" s="73"/>
      <c r="D66" s="72"/>
      <c r="E66" s="73"/>
      <c r="F66" s="74"/>
      <c r="G66" s="72"/>
      <c r="H66" s="73"/>
      <c r="I66" s="75"/>
      <c r="J66" s="75"/>
      <c r="K66" s="75"/>
      <c r="L66" s="74"/>
      <c r="M66" s="76"/>
      <c r="N66" s="75"/>
      <c r="O66" s="75"/>
      <c r="P66" s="75"/>
    </row>
    <row r="67" spans="1:16" ht="15.75" customHeight="1">
      <c r="A67" s="71"/>
      <c r="B67" s="72"/>
      <c r="C67" s="73"/>
      <c r="D67" s="72"/>
      <c r="E67" s="73"/>
      <c r="F67" s="74"/>
      <c r="G67" s="72"/>
      <c r="H67" s="73"/>
      <c r="I67" s="75"/>
      <c r="J67" s="75"/>
      <c r="K67" s="75"/>
      <c r="L67" s="74"/>
      <c r="M67" s="76"/>
      <c r="N67" s="75"/>
      <c r="O67" s="75"/>
      <c r="P67" s="75"/>
    </row>
    <row r="68" spans="1:16" ht="15.75" customHeight="1">
      <c r="A68" s="71"/>
      <c r="B68" s="72"/>
      <c r="C68" s="73"/>
      <c r="D68" s="72"/>
      <c r="E68" s="73"/>
      <c r="F68" s="74"/>
      <c r="G68" s="72"/>
      <c r="H68" s="73"/>
      <c r="I68" s="75"/>
      <c r="J68" s="75"/>
      <c r="K68" s="75"/>
      <c r="L68" s="74"/>
      <c r="M68" s="76"/>
      <c r="N68" s="75"/>
      <c r="O68" s="75"/>
      <c r="P68" s="75"/>
    </row>
    <row r="69" spans="1:16" ht="15.75" customHeight="1">
      <c r="A69" s="71"/>
      <c r="B69" s="72"/>
      <c r="C69" s="73"/>
      <c r="D69" s="72"/>
      <c r="E69" s="73"/>
      <c r="F69" s="74"/>
      <c r="G69" s="72"/>
      <c r="H69" s="73"/>
      <c r="I69" s="75"/>
      <c r="J69" s="75"/>
      <c r="K69" s="75"/>
      <c r="L69" s="74"/>
      <c r="M69" s="76"/>
      <c r="N69" s="75"/>
      <c r="O69" s="75"/>
      <c r="P69" s="75"/>
    </row>
    <row r="70" spans="1:16" ht="15.75" customHeight="1">
      <c r="A70" s="71"/>
      <c r="B70" s="72"/>
      <c r="C70" s="73"/>
      <c r="D70" s="72"/>
      <c r="E70" s="73"/>
      <c r="F70" s="74"/>
      <c r="G70" s="72"/>
      <c r="H70" s="73"/>
      <c r="I70" s="75"/>
      <c r="J70" s="75"/>
      <c r="K70" s="75"/>
      <c r="L70" s="74"/>
      <c r="M70" s="76"/>
      <c r="N70" s="75"/>
      <c r="O70" s="75"/>
      <c r="P70" s="75"/>
    </row>
    <row r="71" spans="1:16" ht="15.75" customHeight="1">
      <c r="A71" s="71"/>
      <c r="B71" s="72"/>
      <c r="C71" s="73"/>
      <c r="D71" s="72"/>
      <c r="E71" s="73"/>
      <c r="F71" s="74"/>
      <c r="G71" s="72"/>
      <c r="H71" s="73"/>
      <c r="I71" s="75"/>
      <c r="J71" s="75"/>
      <c r="K71" s="75"/>
      <c r="L71" s="74"/>
      <c r="M71" s="76"/>
      <c r="N71" s="75"/>
      <c r="O71" s="75"/>
      <c r="P71" s="75"/>
    </row>
    <row r="72" spans="1:16" ht="15.75" customHeight="1">
      <c r="A72" s="71"/>
      <c r="B72" s="72"/>
      <c r="C72" s="73"/>
      <c r="D72" s="72"/>
      <c r="E72" s="73"/>
      <c r="F72" s="74"/>
      <c r="G72" s="72"/>
      <c r="H72" s="73"/>
      <c r="I72" s="75"/>
      <c r="J72" s="75"/>
      <c r="K72" s="75"/>
      <c r="L72" s="74"/>
      <c r="M72" s="76"/>
      <c r="N72" s="75"/>
      <c r="O72" s="75"/>
      <c r="P72" s="75"/>
    </row>
    <row r="73" spans="1:16" ht="15.75" customHeight="1">
      <c r="A73" s="71"/>
      <c r="B73" s="72"/>
      <c r="C73" s="73"/>
      <c r="D73" s="72"/>
      <c r="E73" s="73"/>
      <c r="F73" s="74"/>
      <c r="G73" s="72"/>
      <c r="H73" s="73"/>
      <c r="I73" s="75"/>
      <c r="J73" s="75"/>
      <c r="K73" s="75"/>
      <c r="L73" s="74"/>
      <c r="M73" s="76"/>
      <c r="N73" s="75"/>
      <c r="O73" s="75"/>
      <c r="P73" s="75"/>
    </row>
    <row r="74" spans="1:16" ht="15.75" customHeight="1">
      <c r="A74" s="71"/>
      <c r="B74" s="72"/>
      <c r="C74" s="73"/>
      <c r="D74" s="72"/>
      <c r="E74" s="73"/>
      <c r="F74" s="74"/>
      <c r="G74" s="72"/>
      <c r="H74" s="73"/>
      <c r="I74" s="75"/>
      <c r="J74" s="75"/>
      <c r="K74" s="75"/>
      <c r="L74" s="74"/>
      <c r="M74" s="76"/>
      <c r="N74" s="75"/>
      <c r="O74" s="75"/>
      <c r="P74" s="75"/>
    </row>
    <row r="75" spans="1:16" ht="15.75" customHeight="1">
      <c r="A75" s="71"/>
      <c r="B75" s="72"/>
      <c r="C75" s="73"/>
      <c r="D75" s="72"/>
      <c r="E75" s="73"/>
      <c r="F75" s="74"/>
      <c r="G75" s="72"/>
      <c r="H75" s="73"/>
      <c r="I75" s="75"/>
      <c r="J75" s="75"/>
      <c r="K75" s="75"/>
      <c r="L75" s="74"/>
      <c r="M75" s="76"/>
      <c r="N75" s="75"/>
      <c r="O75" s="75"/>
      <c r="P75" s="75"/>
    </row>
    <row r="76" spans="1:16" ht="15.75" customHeight="1">
      <c r="A76" s="71"/>
      <c r="B76" s="72"/>
      <c r="C76" s="73"/>
      <c r="D76" s="72"/>
      <c r="E76" s="73"/>
      <c r="F76" s="74"/>
      <c r="G76" s="72"/>
      <c r="H76" s="73"/>
      <c r="I76" s="75"/>
      <c r="J76" s="75"/>
      <c r="K76" s="75"/>
      <c r="L76" s="74"/>
      <c r="M76" s="76"/>
      <c r="N76" s="75"/>
      <c r="O76" s="75"/>
      <c r="P76" s="75"/>
    </row>
    <row r="77" spans="1:16" ht="15.75" customHeight="1">
      <c r="A77" s="71"/>
      <c r="B77" s="72"/>
      <c r="C77" s="73"/>
      <c r="D77" s="72"/>
      <c r="E77" s="73"/>
      <c r="F77" s="74"/>
      <c r="G77" s="72"/>
      <c r="H77" s="73"/>
      <c r="I77" s="75"/>
      <c r="J77" s="75"/>
      <c r="K77" s="75"/>
      <c r="L77" s="74"/>
      <c r="M77" s="76"/>
      <c r="N77" s="75"/>
      <c r="O77" s="75"/>
      <c r="P77" s="75"/>
    </row>
    <row r="78" spans="1:16" ht="15.75" customHeight="1">
      <c r="A78" s="71"/>
      <c r="B78" s="72"/>
      <c r="C78" s="73"/>
      <c r="D78" s="72"/>
      <c r="E78" s="73"/>
      <c r="F78" s="74"/>
      <c r="G78" s="72"/>
      <c r="H78" s="73"/>
      <c r="I78" s="75"/>
      <c r="J78" s="75"/>
      <c r="K78" s="75"/>
      <c r="L78" s="74"/>
      <c r="M78" s="76"/>
      <c r="N78" s="75"/>
      <c r="O78" s="75"/>
      <c r="P78" s="75"/>
    </row>
    <row r="79" spans="1:16" ht="15.75" customHeight="1">
      <c r="A79" s="71"/>
      <c r="B79" s="72"/>
      <c r="C79" s="73"/>
      <c r="D79" s="72"/>
      <c r="E79" s="73"/>
      <c r="F79" s="74"/>
      <c r="G79" s="72"/>
      <c r="H79" s="73"/>
      <c r="I79" s="75"/>
      <c r="J79" s="75"/>
      <c r="K79" s="75"/>
      <c r="L79" s="74"/>
      <c r="M79" s="76"/>
      <c r="N79" s="75"/>
      <c r="O79" s="75"/>
      <c r="P79" s="75"/>
    </row>
    <row r="80" spans="1:16" ht="15.75" customHeight="1">
      <c r="A80" s="71"/>
      <c r="B80" s="72"/>
      <c r="C80" s="73"/>
      <c r="D80" s="72"/>
      <c r="E80" s="73"/>
      <c r="F80" s="74"/>
      <c r="G80" s="72"/>
      <c r="H80" s="73"/>
      <c r="I80" s="75"/>
      <c r="J80" s="75"/>
      <c r="K80" s="75"/>
      <c r="L80" s="74"/>
      <c r="M80" s="76"/>
      <c r="N80" s="75"/>
      <c r="O80" s="75"/>
      <c r="P80" s="75"/>
    </row>
    <row r="81" spans="1:16" ht="15.75" customHeight="1">
      <c r="A81" s="71"/>
      <c r="B81" s="72"/>
      <c r="C81" s="73"/>
      <c r="D81" s="72"/>
      <c r="E81" s="73"/>
      <c r="F81" s="74"/>
      <c r="G81" s="72"/>
      <c r="H81" s="73"/>
      <c r="I81" s="75"/>
      <c r="J81" s="75"/>
      <c r="K81" s="75"/>
      <c r="L81" s="74"/>
      <c r="M81" s="76"/>
      <c r="N81" s="75"/>
      <c r="O81" s="75"/>
      <c r="P81" s="75"/>
    </row>
    <row r="82" spans="1:16" ht="15.75" customHeight="1">
      <c r="A82" s="71"/>
      <c r="B82" s="72"/>
      <c r="C82" s="73"/>
      <c r="D82" s="72"/>
      <c r="E82" s="73"/>
      <c r="F82" s="74"/>
      <c r="G82" s="72"/>
      <c r="H82" s="73"/>
      <c r="I82" s="75"/>
      <c r="J82" s="75"/>
      <c r="K82" s="75"/>
      <c r="L82" s="74"/>
      <c r="M82" s="76"/>
      <c r="N82" s="75"/>
      <c r="O82" s="75"/>
      <c r="P82" s="75"/>
    </row>
    <row r="83" spans="1:16" ht="15.75" customHeight="1">
      <c r="A83" s="71"/>
      <c r="B83" s="72"/>
      <c r="C83" s="73"/>
      <c r="D83" s="72"/>
      <c r="E83" s="73"/>
      <c r="F83" s="74"/>
      <c r="G83" s="72"/>
      <c r="H83" s="73"/>
      <c r="I83" s="75"/>
      <c r="J83" s="75"/>
      <c r="K83" s="75"/>
      <c r="L83" s="74"/>
      <c r="M83" s="76"/>
      <c r="N83" s="75"/>
      <c r="O83" s="75"/>
      <c r="P83" s="75"/>
    </row>
    <row r="84" spans="1:16" ht="15.75" customHeight="1">
      <c r="A84" s="71"/>
      <c r="B84" s="72"/>
      <c r="C84" s="73"/>
      <c r="D84" s="72"/>
      <c r="E84" s="73"/>
      <c r="F84" s="74"/>
      <c r="G84" s="72"/>
      <c r="H84" s="73"/>
      <c r="I84" s="75"/>
      <c r="J84" s="75"/>
      <c r="K84" s="75"/>
      <c r="L84" s="74"/>
      <c r="M84" s="76"/>
      <c r="N84" s="75"/>
      <c r="O84" s="75"/>
      <c r="P84" s="75"/>
    </row>
    <row r="85" spans="1:16" ht="15.75" customHeight="1">
      <c r="A85" s="71"/>
      <c r="B85" s="72"/>
      <c r="C85" s="73"/>
      <c r="D85" s="72"/>
      <c r="E85" s="73"/>
      <c r="F85" s="74"/>
      <c r="G85" s="72"/>
      <c r="H85" s="73"/>
      <c r="I85" s="75"/>
      <c r="J85" s="75"/>
      <c r="K85" s="75"/>
      <c r="L85" s="74"/>
      <c r="M85" s="76"/>
      <c r="N85" s="75"/>
      <c r="O85" s="75"/>
      <c r="P85" s="75"/>
    </row>
    <row r="86" spans="1:16" ht="15.75" customHeight="1">
      <c r="A86" s="71"/>
      <c r="B86" s="72"/>
      <c r="C86" s="73"/>
      <c r="D86" s="72"/>
      <c r="E86" s="73"/>
      <c r="F86" s="74"/>
      <c r="G86" s="72"/>
      <c r="H86" s="73"/>
      <c r="I86" s="75"/>
      <c r="J86" s="75"/>
      <c r="K86" s="75"/>
      <c r="L86" s="74"/>
      <c r="M86" s="76"/>
      <c r="N86" s="75"/>
      <c r="O86" s="75"/>
      <c r="P86" s="75"/>
    </row>
    <row r="87" spans="1:16" ht="15.75" customHeight="1">
      <c r="A87" s="71"/>
      <c r="B87" s="72"/>
      <c r="C87" s="73"/>
      <c r="D87" s="72"/>
      <c r="E87" s="73"/>
      <c r="F87" s="74"/>
      <c r="G87" s="72"/>
      <c r="H87" s="73"/>
      <c r="I87" s="75"/>
      <c r="J87" s="75"/>
      <c r="K87" s="75"/>
      <c r="L87" s="74"/>
      <c r="M87" s="76"/>
      <c r="N87" s="75"/>
      <c r="O87" s="75"/>
      <c r="P87" s="75"/>
    </row>
    <row r="88" spans="1:16" ht="15.75" customHeight="1">
      <c r="A88" s="71"/>
      <c r="B88" s="72"/>
      <c r="C88" s="73"/>
      <c r="D88" s="72"/>
      <c r="E88" s="73"/>
      <c r="F88" s="74"/>
      <c r="G88" s="72"/>
      <c r="H88" s="73"/>
      <c r="I88" s="75"/>
      <c r="J88" s="75"/>
      <c r="K88" s="75"/>
      <c r="L88" s="74"/>
      <c r="M88" s="76"/>
      <c r="N88" s="75"/>
      <c r="O88" s="75"/>
      <c r="P88" s="75"/>
    </row>
    <row r="89" spans="1:16" ht="15.75" customHeight="1">
      <c r="A89" s="71"/>
      <c r="B89" s="72"/>
      <c r="C89" s="73"/>
      <c r="D89" s="72"/>
      <c r="E89" s="73"/>
      <c r="F89" s="74"/>
      <c r="G89" s="72"/>
      <c r="H89" s="73"/>
      <c r="I89" s="75"/>
      <c r="J89" s="75"/>
      <c r="K89" s="75"/>
      <c r="L89" s="74"/>
      <c r="M89" s="76"/>
      <c r="N89" s="75"/>
      <c r="O89" s="75"/>
      <c r="P89" s="75"/>
    </row>
    <row r="90" spans="1:16" ht="15.75" customHeight="1">
      <c r="A90" s="71"/>
      <c r="B90" s="72"/>
      <c r="C90" s="73"/>
      <c r="D90" s="72"/>
      <c r="E90" s="73"/>
      <c r="F90" s="74"/>
      <c r="G90" s="72"/>
      <c r="H90" s="73"/>
      <c r="I90" s="75"/>
      <c r="J90" s="75"/>
      <c r="K90" s="75"/>
      <c r="L90" s="74"/>
      <c r="M90" s="76"/>
      <c r="N90" s="75"/>
      <c r="O90" s="75"/>
      <c r="P90" s="75"/>
    </row>
    <row r="91" spans="1:16" ht="15.75" customHeight="1">
      <c r="A91" s="71"/>
      <c r="B91" s="72"/>
      <c r="C91" s="73"/>
      <c r="D91" s="72"/>
      <c r="E91" s="73"/>
      <c r="F91" s="74"/>
      <c r="G91" s="72"/>
      <c r="H91" s="73"/>
      <c r="I91" s="75"/>
      <c r="J91" s="75"/>
      <c r="K91" s="75"/>
      <c r="L91" s="74"/>
      <c r="M91" s="76"/>
      <c r="N91" s="75"/>
      <c r="O91" s="75"/>
      <c r="P91" s="75"/>
    </row>
    <row r="92" spans="1:16" ht="15.75" customHeight="1">
      <c r="A92" s="71"/>
      <c r="B92" s="72"/>
      <c r="C92" s="73"/>
      <c r="D92" s="72"/>
      <c r="E92" s="73"/>
      <c r="F92" s="74"/>
      <c r="G92" s="72"/>
      <c r="H92" s="73"/>
      <c r="I92" s="75"/>
      <c r="J92" s="75"/>
      <c r="K92" s="75"/>
      <c r="L92" s="74"/>
      <c r="M92" s="76"/>
      <c r="N92" s="75"/>
      <c r="O92" s="75"/>
      <c r="P92" s="75"/>
    </row>
    <row r="93" spans="1:16" ht="15.75" customHeight="1">
      <c r="A93" s="71"/>
      <c r="B93" s="72"/>
      <c r="C93" s="73"/>
      <c r="D93" s="72"/>
      <c r="E93" s="73"/>
      <c r="F93" s="74"/>
      <c r="G93" s="72"/>
      <c r="H93" s="73"/>
      <c r="I93" s="75"/>
      <c r="J93" s="75"/>
      <c r="K93" s="75"/>
      <c r="L93" s="74"/>
      <c r="M93" s="76"/>
      <c r="N93" s="75"/>
      <c r="O93" s="75"/>
      <c r="P93" s="75"/>
    </row>
    <row r="94" spans="1:16" ht="15.75" customHeight="1">
      <c r="A94" s="71"/>
      <c r="B94" s="72"/>
      <c r="C94" s="73"/>
      <c r="D94" s="72"/>
      <c r="E94" s="73"/>
      <c r="F94" s="74"/>
      <c r="G94" s="72"/>
      <c r="H94" s="73"/>
      <c r="I94" s="75"/>
      <c r="J94" s="75"/>
      <c r="K94" s="75"/>
      <c r="L94" s="74"/>
      <c r="M94" s="76"/>
      <c r="N94" s="75"/>
      <c r="O94" s="75"/>
      <c r="P94" s="75"/>
    </row>
    <row r="95" spans="1:16" ht="15.75" customHeight="1">
      <c r="A95" s="71"/>
      <c r="B95" s="72"/>
      <c r="C95" s="73"/>
      <c r="D95" s="72"/>
      <c r="E95" s="73"/>
      <c r="F95" s="74"/>
      <c r="G95" s="72"/>
      <c r="H95" s="73"/>
      <c r="I95" s="75"/>
      <c r="J95" s="75"/>
      <c r="K95" s="75"/>
      <c r="L95" s="74"/>
      <c r="M95" s="76"/>
      <c r="N95" s="75"/>
      <c r="O95" s="75"/>
      <c r="P95" s="75"/>
    </row>
    <row r="96" spans="1:16" ht="15.75" customHeight="1">
      <c r="A96" s="71"/>
      <c r="B96" s="72"/>
      <c r="C96" s="73"/>
      <c r="D96" s="72"/>
      <c r="E96" s="73"/>
      <c r="F96" s="74"/>
      <c r="G96" s="72"/>
      <c r="H96" s="73"/>
      <c r="I96" s="75"/>
      <c r="J96" s="75"/>
      <c r="K96" s="75"/>
      <c r="L96" s="74"/>
      <c r="M96" s="76"/>
      <c r="N96" s="75"/>
      <c r="O96" s="75"/>
      <c r="P96" s="75"/>
    </row>
    <row r="97" spans="1:16" ht="15.75" customHeight="1">
      <c r="A97" s="71"/>
      <c r="B97" s="72"/>
      <c r="C97" s="73"/>
      <c r="D97" s="72"/>
      <c r="E97" s="73"/>
      <c r="F97" s="74"/>
      <c r="G97" s="72"/>
      <c r="H97" s="73"/>
      <c r="I97" s="75"/>
      <c r="J97" s="75"/>
      <c r="K97" s="75"/>
      <c r="L97" s="74"/>
      <c r="M97" s="76"/>
      <c r="N97" s="75"/>
      <c r="O97" s="75"/>
      <c r="P97" s="75"/>
    </row>
    <row r="98" spans="1:16" ht="15.75" customHeight="1">
      <c r="A98" s="71"/>
      <c r="B98" s="72"/>
      <c r="C98" s="73"/>
      <c r="D98" s="72"/>
      <c r="E98" s="73"/>
      <c r="F98" s="74"/>
      <c r="G98" s="72"/>
      <c r="H98" s="73"/>
      <c r="I98" s="75"/>
      <c r="J98" s="75"/>
      <c r="K98" s="75"/>
      <c r="L98" s="74"/>
      <c r="M98" s="76"/>
      <c r="N98" s="75"/>
      <c r="O98" s="75"/>
      <c r="P98" s="75"/>
    </row>
    <row r="99" spans="1:16" ht="15.75" customHeight="1">
      <c r="A99" s="71"/>
      <c r="B99" s="72"/>
      <c r="C99" s="73"/>
      <c r="D99" s="72"/>
      <c r="E99" s="73"/>
      <c r="F99" s="74"/>
      <c r="G99" s="72"/>
      <c r="H99" s="73"/>
      <c r="I99" s="75"/>
      <c r="J99" s="75"/>
      <c r="K99" s="75"/>
      <c r="L99" s="74"/>
      <c r="M99" s="76"/>
      <c r="N99" s="75"/>
      <c r="O99" s="75"/>
      <c r="P99" s="75"/>
    </row>
    <row r="100" spans="1:16" ht="15.75" customHeight="1">
      <c r="A100" s="71"/>
      <c r="B100" s="72"/>
      <c r="C100" s="73"/>
      <c r="D100" s="72"/>
      <c r="E100" s="73"/>
      <c r="F100" s="74"/>
      <c r="G100" s="72"/>
      <c r="H100" s="73"/>
      <c r="I100" s="75"/>
      <c r="J100" s="75"/>
      <c r="K100" s="75"/>
      <c r="L100" s="74"/>
      <c r="M100" s="76"/>
      <c r="N100" s="75"/>
      <c r="O100" s="75"/>
      <c r="P100" s="75"/>
    </row>
    <row r="101" spans="1:16" ht="15.75" customHeight="1">
      <c r="A101" s="71"/>
      <c r="B101" s="72"/>
      <c r="C101" s="73"/>
      <c r="D101" s="72"/>
      <c r="E101" s="73"/>
      <c r="F101" s="74"/>
      <c r="G101" s="72"/>
      <c r="H101" s="73"/>
      <c r="I101" s="75"/>
      <c r="J101" s="75"/>
      <c r="K101" s="75"/>
      <c r="L101" s="74"/>
      <c r="M101" s="76"/>
      <c r="N101" s="75"/>
      <c r="O101" s="75"/>
      <c r="P101" s="75"/>
    </row>
    <row r="102" spans="1:16" ht="15.75" customHeight="1">
      <c r="A102" s="71"/>
      <c r="B102" s="72"/>
      <c r="C102" s="73"/>
      <c r="D102" s="72"/>
      <c r="E102" s="73"/>
      <c r="F102" s="74"/>
      <c r="G102" s="72"/>
      <c r="H102" s="73"/>
      <c r="I102" s="75"/>
      <c r="J102" s="75"/>
      <c r="K102" s="75"/>
      <c r="L102" s="74"/>
      <c r="M102" s="76"/>
      <c r="N102" s="75"/>
      <c r="O102" s="75"/>
      <c r="P102" s="75"/>
    </row>
    <row r="103" spans="1:16" ht="15.75" customHeight="1">
      <c r="A103" s="71"/>
      <c r="B103" s="72"/>
      <c r="C103" s="73"/>
      <c r="D103" s="72"/>
      <c r="E103" s="73"/>
      <c r="F103" s="74"/>
      <c r="G103" s="72"/>
      <c r="H103" s="73"/>
      <c r="I103" s="75"/>
      <c r="J103" s="75"/>
      <c r="K103" s="75"/>
      <c r="L103" s="74"/>
      <c r="M103" s="76"/>
      <c r="N103" s="75"/>
      <c r="O103" s="75"/>
      <c r="P103" s="75"/>
    </row>
    <row r="104" spans="1:16" ht="15.75" customHeight="1">
      <c r="A104" s="71"/>
      <c r="B104" s="72"/>
      <c r="C104" s="73"/>
      <c r="D104" s="72"/>
      <c r="E104" s="73"/>
      <c r="F104" s="74"/>
      <c r="G104" s="72"/>
      <c r="H104" s="73"/>
      <c r="I104" s="75"/>
      <c r="J104" s="75"/>
      <c r="K104" s="75"/>
      <c r="L104" s="74"/>
      <c r="M104" s="76"/>
      <c r="N104" s="75"/>
      <c r="O104" s="75"/>
      <c r="P104" s="75"/>
    </row>
    <row r="105" spans="1:16" ht="15.75" customHeight="1">
      <c r="A105" s="71"/>
      <c r="B105" s="72"/>
      <c r="C105" s="73"/>
      <c r="D105" s="72"/>
      <c r="E105" s="73"/>
      <c r="F105" s="74"/>
      <c r="G105" s="72"/>
      <c r="H105" s="73"/>
      <c r="I105" s="75"/>
      <c r="J105" s="75"/>
      <c r="K105" s="75"/>
      <c r="L105" s="74"/>
      <c r="M105" s="76"/>
      <c r="N105" s="75"/>
      <c r="O105" s="75"/>
      <c r="P105" s="75"/>
    </row>
    <row r="106" spans="1:16" ht="15.75" customHeight="1">
      <c r="A106" s="71"/>
      <c r="B106" s="72"/>
      <c r="C106" s="73"/>
      <c r="D106" s="72"/>
      <c r="E106" s="73"/>
      <c r="F106" s="74"/>
      <c r="G106" s="72"/>
      <c r="H106" s="73"/>
      <c r="I106" s="75"/>
      <c r="J106" s="75"/>
      <c r="K106" s="75"/>
      <c r="L106" s="74"/>
      <c r="M106" s="76"/>
      <c r="N106" s="75"/>
      <c r="O106" s="75"/>
      <c r="P106" s="75"/>
    </row>
    <row r="107" spans="1:16" ht="15.75" customHeight="1">
      <c r="A107" s="71"/>
      <c r="B107" s="72"/>
      <c r="C107" s="73"/>
      <c r="D107" s="72"/>
      <c r="E107" s="73"/>
      <c r="F107" s="74"/>
      <c r="G107" s="72"/>
      <c r="H107" s="73"/>
      <c r="I107" s="75"/>
      <c r="J107" s="75"/>
      <c r="K107" s="75"/>
      <c r="L107" s="74"/>
      <c r="M107" s="76"/>
      <c r="N107" s="75"/>
      <c r="O107" s="75"/>
      <c r="P107" s="75"/>
    </row>
    <row r="108" spans="1:16" ht="15.75" customHeight="1">
      <c r="A108" s="71"/>
      <c r="B108" s="72"/>
      <c r="C108" s="73"/>
      <c r="D108" s="72"/>
      <c r="E108" s="73"/>
      <c r="F108" s="74"/>
      <c r="G108" s="72"/>
      <c r="H108" s="73"/>
      <c r="I108" s="75"/>
      <c r="J108" s="75"/>
      <c r="K108" s="75"/>
      <c r="L108" s="74"/>
      <c r="M108" s="76"/>
      <c r="N108" s="75"/>
      <c r="O108" s="75"/>
      <c r="P108" s="75"/>
    </row>
    <row r="109" spans="1:16" ht="15.75" customHeight="1">
      <c r="A109" s="71"/>
      <c r="B109" s="72"/>
      <c r="C109" s="73"/>
      <c r="D109" s="72"/>
      <c r="E109" s="73"/>
      <c r="F109" s="74"/>
      <c r="G109" s="72"/>
      <c r="H109" s="73"/>
      <c r="I109" s="75"/>
      <c r="J109" s="75"/>
      <c r="K109" s="75"/>
      <c r="L109" s="74"/>
      <c r="M109" s="76"/>
      <c r="N109" s="75"/>
      <c r="O109" s="75"/>
      <c r="P109" s="75"/>
    </row>
    <row r="110" spans="1:16" ht="15.75" customHeight="1">
      <c r="A110" s="71"/>
      <c r="B110" s="72"/>
      <c r="C110" s="73"/>
      <c r="D110" s="72"/>
      <c r="E110" s="73"/>
      <c r="F110" s="74"/>
      <c r="G110" s="72"/>
      <c r="H110" s="73"/>
      <c r="I110" s="75"/>
      <c r="J110" s="75"/>
      <c r="K110" s="75"/>
      <c r="L110" s="74"/>
      <c r="M110" s="76"/>
      <c r="N110" s="75"/>
      <c r="O110" s="75"/>
      <c r="P110" s="75"/>
    </row>
    <row r="111" spans="1:16" ht="15.75" customHeight="1">
      <c r="A111" s="71"/>
      <c r="B111" s="72"/>
      <c r="C111" s="73"/>
      <c r="D111" s="72"/>
      <c r="E111" s="73"/>
      <c r="F111" s="74"/>
      <c r="G111" s="72"/>
      <c r="H111" s="73"/>
      <c r="I111" s="75"/>
      <c r="J111" s="75"/>
      <c r="K111" s="75"/>
      <c r="L111" s="74"/>
      <c r="M111" s="76"/>
      <c r="N111" s="75"/>
      <c r="O111" s="75"/>
      <c r="P111" s="75"/>
    </row>
    <row r="112" spans="1:16" ht="15.75" customHeight="1">
      <c r="A112" s="71"/>
      <c r="B112" s="72"/>
      <c r="C112" s="73"/>
      <c r="D112" s="72"/>
      <c r="E112" s="73"/>
      <c r="F112" s="74"/>
      <c r="G112" s="72"/>
      <c r="H112" s="73"/>
      <c r="I112" s="75"/>
      <c r="J112" s="75"/>
      <c r="K112" s="75"/>
      <c r="L112" s="74"/>
      <c r="M112" s="76"/>
      <c r="N112" s="75"/>
      <c r="O112" s="75"/>
      <c r="P112" s="75"/>
    </row>
    <row r="113" spans="1:16" ht="15.75" customHeight="1">
      <c r="A113" s="71"/>
      <c r="B113" s="72"/>
      <c r="C113" s="73"/>
      <c r="D113" s="72"/>
      <c r="E113" s="73"/>
      <c r="F113" s="74"/>
      <c r="G113" s="72"/>
      <c r="H113" s="73"/>
      <c r="I113" s="75"/>
      <c r="J113" s="75"/>
      <c r="K113" s="75"/>
      <c r="L113" s="74"/>
      <c r="M113" s="76"/>
      <c r="N113" s="75"/>
      <c r="O113" s="75"/>
      <c r="P113" s="75"/>
    </row>
    <row r="114" spans="1:16" ht="15.75" customHeight="1">
      <c r="A114" s="71"/>
      <c r="B114" s="72"/>
      <c r="C114" s="73"/>
      <c r="D114" s="72"/>
      <c r="E114" s="73"/>
      <c r="F114" s="74"/>
      <c r="G114" s="72"/>
      <c r="H114" s="73"/>
      <c r="I114" s="75"/>
      <c r="J114" s="75"/>
      <c r="K114" s="75"/>
      <c r="L114" s="74"/>
      <c r="M114" s="76"/>
      <c r="N114" s="75"/>
      <c r="O114" s="75"/>
      <c r="P114" s="75"/>
    </row>
    <row r="115" spans="1:16" ht="15.75" customHeight="1">
      <c r="A115" s="71"/>
      <c r="B115" s="72"/>
      <c r="C115" s="73"/>
      <c r="D115" s="72"/>
      <c r="E115" s="73"/>
      <c r="F115" s="74"/>
      <c r="G115" s="72"/>
      <c r="H115" s="73"/>
      <c r="I115" s="75"/>
      <c r="J115" s="75"/>
      <c r="K115" s="75"/>
      <c r="L115" s="74"/>
      <c r="M115" s="76"/>
      <c r="N115" s="75"/>
      <c r="O115" s="75"/>
      <c r="P115" s="75"/>
    </row>
    <row r="116" spans="1:16" ht="15.75" customHeight="1">
      <c r="A116" s="71"/>
      <c r="B116" s="72"/>
      <c r="C116" s="73"/>
      <c r="D116" s="72"/>
      <c r="E116" s="73"/>
      <c r="F116" s="74"/>
      <c r="G116" s="72"/>
      <c r="H116" s="73"/>
      <c r="I116" s="75"/>
      <c r="J116" s="75"/>
      <c r="K116" s="75"/>
      <c r="L116" s="74"/>
      <c r="M116" s="76"/>
      <c r="N116" s="75"/>
      <c r="O116" s="75"/>
      <c r="P116" s="75"/>
    </row>
    <row r="117" spans="1:16" ht="15.75" customHeight="1">
      <c r="A117" s="71"/>
      <c r="B117" s="72"/>
      <c r="C117" s="73"/>
      <c r="D117" s="72"/>
      <c r="E117" s="73"/>
      <c r="F117" s="74"/>
      <c r="G117" s="72"/>
      <c r="H117" s="73"/>
      <c r="I117" s="75"/>
      <c r="J117" s="75"/>
      <c r="K117" s="75"/>
      <c r="L117" s="74"/>
      <c r="M117" s="76"/>
      <c r="N117" s="75"/>
      <c r="O117" s="75"/>
      <c r="P117" s="75"/>
    </row>
    <row r="118" spans="1:16" ht="15.75" customHeight="1">
      <c r="A118" s="71"/>
      <c r="B118" s="72"/>
      <c r="C118" s="73"/>
      <c r="D118" s="72"/>
      <c r="E118" s="73"/>
      <c r="F118" s="74"/>
      <c r="G118" s="72"/>
      <c r="H118" s="73"/>
      <c r="I118" s="75"/>
      <c r="J118" s="75"/>
      <c r="K118" s="75"/>
      <c r="L118" s="74"/>
      <c r="M118" s="76"/>
      <c r="N118" s="75"/>
      <c r="O118" s="75"/>
      <c r="P118" s="75"/>
    </row>
    <row r="119" spans="1:16" ht="15.75" customHeight="1">
      <c r="A119" s="71"/>
      <c r="B119" s="72"/>
      <c r="C119" s="73"/>
      <c r="D119" s="72"/>
      <c r="E119" s="73"/>
      <c r="F119" s="74"/>
      <c r="G119" s="72"/>
      <c r="H119" s="73"/>
      <c r="I119" s="75"/>
      <c r="J119" s="75"/>
      <c r="K119" s="75"/>
      <c r="L119" s="74"/>
      <c r="M119" s="76"/>
      <c r="N119" s="75"/>
      <c r="O119" s="75"/>
      <c r="P119" s="75"/>
    </row>
    <row r="120" spans="1:16" ht="15.75" customHeight="1">
      <c r="A120" s="71"/>
      <c r="B120" s="72"/>
      <c r="C120" s="73"/>
      <c r="D120" s="72"/>
      <c r="E120" s="73"/>
      <c r="F120" s="74"/>
      <c r="G120" s="72"/>
      <c r="H120" s="73"/>
      <c r="I120" s="75"/>
      <c r="J120" s="75"/>
      <c r="K120" s="75"/>
      <c r="L120" s="74"/>
      <c r="M120" s="76"/>
      <c r="N120" s="75"/>
      <c r="O120" s="75"/>
      <c r="P120" s="75"/>
    </row>
    <row r="121" spans="1:16" ht="15.75" customHeight="1">
      <c r="A121" s="71"/>
      <c r="B121" s="72"/>
      <c r="C121" s="73"/>
      <c r="D121" s="72"/>
      <c r="E121" s="73"/>
      <c r="F121" s="74"/>
      <c r="G121" s="72"/>
      <c r="H121" s="73"/>
      <c r="I121" s="75"/>
      <c r="J121" s="75"/>
      <c r="K121" s="75"/>
      <c r="L121" s="74"/>
      <c r="M121" s="76"/>
      <c r="N121" s="75"/>
      <c r="O121" s="75"/>
      <c r="P121" s="75"/>
    </row>
    <row r="122" spans="1:16" ht="15.75" customHeight="1">
      <c r="A122" s="71"/>
      <c r="B122" s="72"/>
      <c r="C122" s="73"/>
      <c r="D122" s="72"/>
      <c r="E122" s="73"/>
      <c r="F122" s="74"/>
      <c r="G122" s="72"/>
      <c r="H122" s="73"/>
      <c r="I122" s="75"/>
      <c r="J122" s="75"/>
      <c r="K122" s="75"/>
      <c r="L122" s="74"/>
      <c r="M122" s="76"/>
      <c r="N122" s="75"/>
      <c r="O122" s="75"/>
      <c r="P122" s="75"/>
    </row>
    <row r="123" spans="1:16" ht="15.75" customHeight="1">
      <c r="A123" s="71"/>
      <c r="B123" s="72"/>
      <c r="C123" s="73"/>
      <c r="D123" s="72"/>
      <c r="E123" s="73"/>
      <c r="F123" s="74"/>
      <c r="G123" s="72"/>
      <c r="H123" s="73"/>
      <c r="I123" s="75"/>
      <c r="J123" s="75"/>
      <c r="K123" s="75"/>
      <c r="L123" s="74"/>
      <c r="M123" s="76"/>
      <c r="N123" s="75"/>
      <c r="O123" s="75"/>
      <c r="P123" s="75"/>
    </row>
    <row r="124" spans="1:16" ht="15.75" customHeight="1">
      <c r="A124" s="71"/>
      <c r="B124" s="72"/>
      <c r="C124" s="73"/>
      <c r="D124" s="72"/>
      <c r="E124" s="73"/>
      <c r="F124" s="74"/>
      <c r="G124" s="72"/>
      <c r="H124" s="73"/>
      <c r="I124" s="75"/>
      <c r="J124" s="75"/>
      <c r="K124" s="75"/>
      <c r="L124" s="74"/>
      <c r="M124" s="76"/>
      <c r="N124" s="75"/>
      <c r="O124" s="75"/>
      <c r="P124" s="75"/>
    </row>
    <row r="125" spans="1:16" ht="15.75" customHeight="1">
      <c r="A125" s="71"/>
      <c r="B125" s="72"/>
      <c r="C125" s="73"/>
      <c r="D125" s="72"/>
      <c r="E125" s="73"/>
      <c r="F125" s="74"/>
      <c r="G125" s="72"/>
      <c r="H125" s="73"/>
      <c r="I125" s="75"/>
      <c r="J125" s="75"/>
      <c r="K125" s="75"/>
      <c r="L125" s="74"/>
      <c r="M125" s="76"/>
      <c r="N125" s="75"/>
      <c r="O125" s="75"/>
      <c r="P125" s="75"/>
    </row>
    <row r="126" spans="1:16" ht="15.75" customHeight="1">
      <c r="A126" s="71"/>
      <c r="B126" s="72"/>
      <c r="C126" s="73"/>
      <c r="D126" s="72"/>
      <c r="E126" s="73"/>
      <c r="F126" s="74"/>
      <c r="G126" s="72"/>
      <c r="H126" s="73"/>
      <c r="I126" s="75"/>
      <c r="J126" s="75"/>
      <c r="K126" s="75"/>
      <c r="L126" s="74"/>
      <c r="M126" s="76"/>
      <c r="N126" s="75"/>
      <c r="O126" s="75"/>
      <c r="P126" s="75"/>
    </row>
    <row r="127" spans="1:16" ht="15.75" customHeight="1">
      <c r="A127" s="71"/>
      <c r="B127" s="72"/>
      <c r="C127" s="73"/>
      <c r="D127" s="72"/>
      <c r="E127" s="73"/>
      <c r="F127" s="74"/>
      <c r="G127" s="72"/>
      <c r="H127" s="73"/>
      <c r="I127" s="75"/>
      <c r="J127" s="75"/>
      <c r="K127" s="75"/>
      <c r="L127" s="74"/>
      <c r="M127" s="76"/>
      <c r="N127" s="75"/>
      <c r="O127" s="75"/>
      <c r="P127" s="75"/>
    </row>
    <row r="128" spans="1:16" ht="15.75" customHeight="1">
      <c r="A128" s="71"/>
      <c r="B128" s="72"/>
      <c r="C128" s="73"/>
      <c r="D128" s="72"/>
      <c r="E128" s="73"/>
      <c r="F128" s="74"/>
      <c r="G128" s="72"/>
      <c r="H128" s="73"/>
      <c r="I128" s="75"/>
      <c r="J128" s="75"/>
      <c r="K128" s="75"/>
      <c r="L128" s="74"/>
      <c r="M128" s="76"/>
      <c r="N128" s="75"/>
      <c r="O128" s="75"/>
      <c r="P128" s="75"/>
    </row>
    <row r="129" spans="1:16" ht="15.75" customHeight="1">
      <c r="A129" s="71"/>
      <c r="B129" s="72"/>
      <c r="C129" s="73"/>
      <c r="D129" s="72"/>
      <c r="E129" s="73"/>
      <c r="F129" s="74"/>
      <c r="G129" s="72"/>
      <c r="H129" s="73"/>
      <c r="I129" s="75"/>
      <c r="J129" s="75"/>
      <c r="K129" s="75"/>
      <c r="L129" s="74"/>
      <c r="M129" s="76"/>
      <c r="N129" s="75"/>
      <c r="O129" s="75"/>
      <c r="P129" s="75"/>
    </row>
    <row r="130" spans="1:16" ht="15.75" customHeight="1">
      <c r="A130" s="71"/>
      <c r="B130" s="72"/>
      <c r="C130" s="73"/>
      <c r="D130" s="72"/>
      <c r="E130" s="73"/>
      <c r="F130" s="74"/>
      <c r="G130" s="72"/>
      <c r="H130" s="73"/>
      <c r="I130" s="75"/>
      <c r="J130" s="75"/>
      <c r="K130" s="75"/>
      <c r="L130" s="74"/>
      <c r="M130" s="76"/>
      <c r="N130" s="75"/>
      <c r="O130" s="75"/>
      <c r="P130" s="75"/>
    </row>
    <row r="131" spans="1:16" ht="15.75" customHeight="1">
      <c r="A131" s="71"/>
      <c r="B131" s="72"/>
      <c r="C131" s="73"/>
      <c r="D131" s="72"/>
      <c r="E131" s="73"/>
      <c r="F131" s="74"/>
      <c r="G131" s="72"/>
      <c r="H131" s="73"/>
      <c r="I131" s="75"/>
      <c r="J131" s="75"/>
      <c r="K131" s="75"/>
      <c r="L131" s="74"/>
      <c r="M131" s="76"/>
      <c r="N131" s="75"/>
      <c r="O131" s="75"/>
      <c r="P131" s="75"/>
    </row>
    <row r="132" spans="1:16" ht="15.75" customHeight="1">
      <c r="A132" s="71"/>
      <c r="B132" s="72"/>
      <c r="C132" s="73"/>
      <c r="D132" s="72"/>
      <c r="E132" s="73"/>
      <c r="F132" s="74"/>
      <c r="G132" s="72"/>
      <c r="H132" s="73"/>
      <c r="I132" s="75"/>
      <c r="J132" s="75"/>
      <c r="K132" s="75"/>
      <c r="L132" s="74"/>
      <c r="M132" s="76"/>
      <c r="N132" s="75"/>
      <c r="O132" s="75"/>
      <c r="P132" s="75"/>
    </row>
    <row r="133" spans="1:16" ht="15.75" customHeight="1">
      <c r="A133" s="71"/>
      <c r="B133" s="72"/>
      <c r="C133" s="73"/>
      <c r="D133" s="72"/>
      <c r="E133" s="73"/>
      <c r="F133" s="74"/>
      <c r="G133" s="72"/>
      <c r="H133" s="73"/>
      <c r="I133" s="75"/>
      <c r="J133" s="75"/>
      <c r="K133" s="75"/>
      <c r="L133" s="74"/>
      <c r="M133" s="76"/>
      <c r="N133" s="75"/>
      <c r="O133" s="75"/>
      <c r="P133" s="75"/>
    </row>
    <row r="134" spans="1:16" ht="15.75" customHeight="1">
      <c r="A134" s="71"/>
      <c r="B134" s="72"/>
      <c r="C134" s="73"/>
      <c r="D134" s="72"/>
      <c r="E134" s="73"/>
      <c r="F134" s="74"/>
      <c r="G134" s="72"/>
      <c r="H134" s="73"/>
      <c r="I134" s="75"/>
      <c r="J134" s="75"/>
      <c r="K134" s="75"/>
      <c r="L134" s="74"/>
      <c r="M134" s="76"/>
      <c r="N134" s="75"/>
      <c r="O134" s="75"/>
      <c r="P134" s="75"/>
    </row>
    <row r="135" spans="1:16" ht="15.75" customHeight="1">
      <c r="A135" s="71"/>
      <c r="B135" s="72"/>
      <c r="C135" s="73"/>
      <c r="D135" s="72"/>
      <c r="E135" s="73"/>
      <c r="F135" s="74"/>
      <c r="G135" s="72"/>
      <c r="H135" s="73"/>
      <c r="I135" s="75"/>
      <c r="J135" s="75"/>
      <c r="K135" s="75"/>
      <c r="L135" s="74"/>
      <c r="M135" s="76"/>
      <c r="N135" s="75"/>
      <c r="O135" s="75"/>
      <c r="P135" s="75"/>
    </row>
    <row r="136" spans="1:16" ht="15.75" customHeight="1">
      <c r="A136" s="71"/>
      <c r="B136" s="72"/>
      <c r="C136" s="73"/>
      <c r="D136" s="72"/>
      <c r="E136" s="73"/>
      <c r="F136" s="74"/>
      <c r="G136" s="72"/>
      <c r="H136" s="73"/>
      <c r="I136" s="75"/>
      <c r="J136" s="75"/>
      <c r="K136" s="75"/>
      <c r="L136" s="74"/>
      <c r="M136" s="76"/>
      <c r="N136" s="75"/>
      <c r="O136" s="75"/>
      <c r="P136" s="75"/>
    </row>
    <row r="137" spans="1:16" ht="15.75" customHeight="1">
      <c r="A137" s="71"/>
      <c r="B137" s="72"/>
      <c r="C137" s="73"/>
      <c r="D137" s="72"/>
      <c r="E137" s="73"/>
      <c r="F137" s="74"/>
      <c r="G137" s="72"/>
      <c r="H137" s="73"/>
      <c r="I137" s="75"/>
      <c r="J137" s="75"/>
      <c r="K137" s="75"/>
      <c r="L137" s="74"/>
      <c r="M137" s="76"/>
      <c r="N137" s="75"/>
      <c r="O137" s="75"/>
      <c r="P137" s="75"/>
    </row>
    <row r="138" spans="1:16" ht="15.75" customHeight="1">
      <c r="A138" s="71"/>
      <c r="B138" s="72"/>
      <c r="C138" s="73"/>
      <c r="D138" s="72"/>
      <c r="E138" s="73"/>
      <c r="F138" s="74"/>
      <c r="G138" s="72"/>
      <c r="H138" s="73"/>
      <c r="I138" s="75"/>
      <c r="J138" s="75"/>
      <c r="K138" s="75"/>
      <c r="L138" s="74"/>
      <c r="M138" s="76"/>
      <c r="N138" s="75"/>
      <c r="O138" s="75"/>
      <c r="P138" s="75"/>
    </row>
    <row r="139" spans="1:16" ht="15.75" customHeight="1">
      <c r="A139" s="71"/>
      <c r="B139" s="72"/>
      <c r="C139" s="73"/>
      <c r="D139" s="72"/>
      <c r="E139" s="73"/>
      <c r="F139" s="74"/>
      <c r="G139" s="72"/>
      <c r="H139" s="73"/>
      <c r="I139" s="75"/>
      <c r="J139" s="75"/>
      <c r="K139" s="75"/>
      <c r="L139" s="74"/>
      <c r="M139" s="76"/>
      <c r="N139" s="75"/>
      <c r="O139" s="75"/>
      <c r="P139" s="75"/>
    </row>
    <row r="140" spans="1:16" ht="15.75" customHeight="1">
      <c r="A140" s="71"/>
      <c r="B140" s="72"/>
      <c r="C140" s="73"/>
      <c r="D140" s="72"/>
      <c r="E140" s="73"/>
      <c r="F140" s="74"/>
      <c r="G140" s="72"/>
      <c r="H140" s="73"/>
      <c r="I140" s="75"/>
      <c r="J140" s="75"/>
      <c r="K140" s="75"/>
      <c r="L140" s="74"/>
      <c r="M140" s="76"/>
      <c r="N140" s="75"/>
      <c r="O140" s="75"/>
      <c r="P140" s="75"/>
    </row>
    <row r="141" spans="1:16" ht="15.75" customHeight="1">
      <c r="A141" s="71"/>
      <c r="B141" s="72"/>
      <c r="C141" s="73"/>
      <c r="D141" s="72"/>
      <c r="E141" s="73"/>
      <c r="F141" s="74"/>
      <c r="G141" s="72"/>
      <c r="H141" s="73"/>
      <c r="I141" s="75"/>
      <c r="J141" s="75"/>
      <c r="K141" s="75"/>
      <c r="L141" s="74"/>
      <c r="M141" s="76"/>
      <c r="N141" s="75"/>
      <c r="O141" s="75"/>
      <c r="P141" s="75"/>
    </row>
    <row r="142" spans="1:16" ht="15.75" customHeight="1">
      <c r="A142" s="71"/>
      <c r="B142" s="72"/>
      <c r="C142" s="73"/>
      <c r="D142" s="72"/>
      <c r="E142" s="73"/>
      <c r="F142" s="74"/>
      <c r="G142" s="72"/>
      <c r="H142" s="73"/>
      <c r="I142" s="75"/>
      <c r="J142" s="75"/>
      <c r="K142" s="75"/>
      <c r="L142" s="74"/>
      <c r="M142" s="76"/>
      <c r="N142" s="75"/>
      <c r="O142" s="75"/>
      <c r="P142" s="75"/>
    </row>
    <row r="143" spans="1:16" ht="15.75" customHeight="1">
      <c r="A143" s="71"/>
      <c r="B143" s="72"/>
      <c r="C143" s="73"/>
      <c r="D143" s="72"/>
      <c r="E143" s="73"/>
      <c r="F143" s="74"/>
      <c r="G143" s="72"/>
      <c r="H143" s="73"/>
      <c r="I143" s="75"/>
      <c r="J143" s="75"/>
      <c r="K143" s="75"/>
      <c r="L143" s="74"/>
      <c r="M143" s="76"/>
      <c r="N143" s="75"/>
      <c r="O143" s="75"/>
      <c r="P143" s="75"/>
    </row>
    <row r="144" spans="1:16" ht="15.75" customHeight="1">
      <c r="A144" s="71"/>
      <c r="B144" s="72"/>
      <c r="C144" s="73"/>
      <c r="D144" s="72"/>
      <c r="E144" s="73"/>
      <c r="F144" s="74"/>
      <c r="G144" s="72"/>
      <c r="H144" s="73"/>
      <c r="I144" s="75"/>
      <c r="J144" s="75"/>
      <c r="K144" s="75"/>
      <c r="L144" s="74"/>
      <c r="M144" s="76"/>
      <c r="N144" s="75"/>
      <c r="O144" s="75"/>
      <c r="P144" s="75"/>
    </row>
    <row r="145" spans="1:16" ht="15.75" customHeight="1">
      <c r="A145" s="71"/>
      <c r="B145" s="72"/>
      <c r="C145" s="73"/>
      <c r="D145" s="72"/>
      <c r="E145" s="73"/>
      <c r="F145" s="74"/>
      <c r="G145" s="72"/>
      <c r="H145" s="73"/>
      <c r="I145" s="75"/>
      <c r="J145" s="75"/>
      <c r="K145" s="75"/>
      <c r="L145" s="74"/>
      <c r="M145" s="76"/>
      <c r="N145" s="75"/>
      <c r="O145" s="75"/>
      <c r="P145" s="75"/>
    </row>
    <row r="146" spans="1:16" ht="15.75" customHeight="1">
      <c r="A146" s="71"/>
      <c r="B146" s="72"/>
      <c r="C146" s="73"/>
      <c r="D146" s="72"/>
      <c r="E146" s="73"/>
      <c r="F146" s="74"/>
      <c r="G146" s="72"/>
      <c r="H146" s="73"/>
      <c r="I146" s="75"/>
      <c r="J146" s="75"/>
      <c r="K146" s="75"/>
      <c r="L146" s="74"/>
      <c r="M146" s="76"/>
      <c r="N146" s="75"/>
      <c r="O146" s="75"/>
      <c r="P146" s="75"/>
    </row>
    <row r="147" spans="1:16" ht="15.75" customHeight="1">
      <c r="A147" s="71"/>
      <c r="B147" s="72"/>
      <c r="C147" s="73"/>
      <c r="D147" s="72"/>
      <c r="E147" s="73"/>
      <c r="F147" s="74"/>
      <c r="G147" s="72"/>
      <c r="H147" s="73"/>
      <c r="I147" s="75"/>
      <c r="J147" s="75"/>
      <c r="K147" s="75"/>
      <c r="L147" s="74"/>
      <c r="M147" s="76"/>
      <c r="N147" s="75"/>
      <c r="O147" s="75"/>
      <c r="P147" s="75"/>
    </row>
    <row r="148" spans="1:16" ht="15.75" customHeight="1">
      <c r="A148" s="71"/>
      <c r="B148" s="72"/>
      <c r="C148" s="73"/>
      <c r="D148" s="72"/>
      <c r="E148" s="73"/>
      <c r="F148" s="74"/>
      <c r="G148" s="72"/>
      <c r="H148" s="73"/>
      <c r="I148" s="75"/>
      <c r="J148" s="75"/>
      <c r="K148" s="75"/>
      <c r="L148" s="74"/>
      <c r="M148" s="76"/>
      <c r="N148" s="75"/>
      <c r="O148" s="75"/>
      <c r="P148" s="75"/>
    </row>
    <row r="149" spans="1:16" ht="15.75" customHeight="1">
      <c r="A149" s="71"/>
      <c r="B149" s="72"/>
      <c r="C149" s="73"/>
      <c r="D149" s="72"/>
      <c r="E149" s="73"/>
      <c r="F149" s="74"/>
      <c r="G149" s="72"/>
      <c r="H149" s="73"/>
      <c r="I149" s="75"/>
      <c r="J149" s="75"/>
      <c r="K149" s="75"/>
      <c r="L149" s="74"/>
      <c r="M149" s="76"/>
      <c r="N149" s="75"/>
      <c r="O149" s="75"/>
      <c r="P149" s="75"/>
    </row>
    <row r="150" spans="1:16" ht="15.75" customHeight="1">
      <c r="A150" s="71"/>
      <c r="B150" s="72"/>
      <c r="C150" s="73"/>
      <c r="D150" s="72"/>
      <c r="E150" s="73"/>
      <c r="F150" s="74"/>
      <c r="G150" s="72"/>
      <c r="H150" s="73"/>
      <c r="I150" s="75"/>
      <c r="J150" s="75"/>
      <c r="K150" s="75"/>
      <c r="L150" s="74"/>
      <c r="M150" s="76"/>
      <c r="N150" s="75"/>
      <c r="O150" s="75"/>
      <c r="P150" s="75"/>
    </row>
    <row r="151" spans="1:16" ht="15.75" customHeight="1">
      <c r="A151" s="71"/>
      <c r="B151" s="72"/>
      <c r="C151" s="73"/>
      <c r="D151" s="72"/>
      <c r="E151" s="73"/>
      <c r="F151" s="74"/>
      <c r="G151" s="72"/>
      <c r="H151" s="73"/>
      <c r="I151" s="75"/>
      <c r="J151" s="75"/>
      <c r="K151" s="75"/>
      <c r="L151" s="74"/>
      <c r="M151" s="76"/>
      <c r="N151" s="75"/>
      <c r="O151" s="75"/>
      <c r="P151" s="75"/>
    </row>
    <row r="152" spans="1:16" ht="15.75" customHeight="1">
      <c r="A152" s="71"/>
      <c r="B152" s="72"/>
      <c r="C152" s="73"/>
      <c r="D152" s="72"/>
      <c r="E152" s="73"/>
      <c r="F152" s="74"/>
      <c r="G152" s="72"/>
      <c r="H152" s="73"/>
      <c r="I152" s="75"/>
      <c r="J152" s="75"/>
      <c r="K152" s="75"/>
      <c r="L152" s="74"/>
      <c r="M152" s="76"/>
      <c r="N152" s="75"/>
      <c r="O152" s="75"/>
      <c r="P152" s="75"/>
    </row>
    <row r="153" spans="1:16" ht="15.75" customHeight="1">
      <c r="A153" s="71"/>
      <c r="B153" s="72"/>
      <c r="C153" s="73"/>
      <c r="D153" s="72"/>
      <c r="E153" s="73"/>
      <c r="F153" s="74"/>
      <c r="G153" s="72"/>
      <c r="H153" s="73"/>
      <c r="I153" s="75"/>
      <c r="J153" s="75"/>
      <c r="K153" s="75"/>
      <c r="L153" s="74"/>
      <c r="M153" s="76"/>
      <c r="N153" s="75"/>
      <c r="O153" s="75"/>
      <c r="P153" s="75"/>
    </row>
    <row r="154" spans="1:16" ht="15.75" customHeight="1">
      <c r="A154" s="71"/>
      <c r="B154" s="72"/>
      <c r="C154" s="73"/>
      <c r="D154" s="72"/>
      <c r="E154" s="73"/>
      <c r="F154" s="74"/>
      <c r="G154" s="72"/>
      <c r="H154" s="73"/>
      <c r="I154" s="75"/>
      <c r="J154" s="75"/>
      <c r="K154" s="75"/>
      <c r="L154" s="74"/>
      <c r="M154" s="76"/>
      <c r="N154" s="75"/>
      <c r="O154" s="75"/>
      <c r="P154" s="75"/>
    </row>
    <row r="155" spans="1:16" ht="15.75" customHeight="1">
      <c r="A155" s="71"/>
      <c r="B155" s="72"/>
      <c r="C155" s="73"/>
      <c r="D155" s="72"/>
      <c r="E155" s="73"/>
      <c r="F155" s="74"/>
      <c r="G155" s="72"/>
      <c r="H155" s="73"/>
      <c r="I155" s="75"/>
      <c r="J155" s="75"/>
      <c r="K155" s="75"/>
      <c r="L155" s="74"/>
      <c r="M155" s="76"/>
      <c r="N155" s="75"/>
      <c r="O155" s="75"/>
      <c r="P155" s="75"/>
    </row>
    <row r="156" spans="1:16" ht="15.75" customHeight="1">
      <c r="A156" s="71"/>
      <c r="B156" s="72"/>
      <c r="C156" s="73"/>
      <c r="D156" s="72"/>
      <c r="E156" s="73"/>
      <c r="F156" s="74"/>
      <c r="G156" s="72"/>
      <c r="H156" s="73"/>
      <c r="I156" s="75"/>
      <c r="J156" s="75"/>
      <c r="K156" s="75"/>
      <c r="L156" s="74"/>
      <c r="M156" s="76"/>
      <c r="N156" s="75"/>
      <c r="O156" s="75"/>
      <c r="P156" s="75"/>
    </row>
    <row r="157" spans="1:16" ht="15.75" customHeight="1">
      <c r="A157" s="71"/>
      <c r="B157" s="72"/>
      <c r="C157" s="73"/>
      <c r="D157" s="72"/>
      <c r="E157" s="73"/>
      <c r="F157" s="74"/>
      <c r="G157" s="72"/>
      <c r="H157" s="73"/>
      <c r="I157" s="75"/>
      <c r="J157" s="75"/>
      <c r="K157" s="75"/>
      <c r="L157" s="74"/>
      <c r="M157" s="76"/>
      <c r="N157" s="75"/>
      <c r="O157" s="75"/>
      <c r="P157" s="75"/>
    </row>
    <row r="158" spans="1:16" ht="15.75" customHeight="1">
      <c r="A158" s="71"/>
      <c r="B158" s="72"/>
      <c r="C158" s="73"/>
      <c r="D158" s="72"/>
      <c r="E158" s="73"/>
      <c r="F158" s="74"/>
      <c r="G158" s="72"/>
      <c r="H158" s="73"/>
      <c r="I158" s="75"/>
      <c r="J158" s="75"/>
      <c r="K158" s="75"/>
      <c r="L158" s="74"/>
      <c r="M158" s="76"/>
      <c r="N158" s="75"/>
      <c r="O158" s="75"/>
      <c r="P158" s="75"/>
    </row>
    <row r="159" spans="1:16" ht="15.75" customHeight="1">
      <c r="A159" s="71"/>
      <c r="B159" s="72"/>
      <c r="C159" s="73"/>
      <c r="D159" s="72"/>
      <c r="E159" s="73"/>
      <c r="F159" s="74"/>
      <c r="G159" s="72"/>
      <c r="H159" s="73"/>
      <c r="I159" s="75"/>
      <c r="J159" s="75"/>
      <c r="K159" s="75"/>
      <c r="L159" s="74"/>
      <c r="M159" s="76"/>
      <c r="N159" s="75"/>
      <c r="O159" s="75"/>
      <c r="P159" s="75"/>
    </row>
    <row r="160" spans="1:16" ht="15.75" customHeight="1">
      <c r="A160" s="71"/>
      <c r="B160" s="72"/>
      <c r="C160" s="73"/>
      <c r="D160" s="72"/>
      <c r="E160" s="73"/>
      <c r="F160" s="74"/>
      <c r="G160" s="72"/>
      <c r="H160" s="73"/>
      <c r="I160" s="75"/>
      <c r="J160" s="75"/>
      <c r="K160" s="75"/>
      <c r="L160" s="74"/>
      <c r="M160" s="76"/>
      <c r="N160" s="75"/>
      <c r="O160" s="75"/>
      <c r="P160" s="75"/>
    </row>
    <row r="161" spans="1:16" ht="15.75" customHeight="1">
      <c r="A161" s="71"/>
      <c r="B161" s="72"/>
      <c r="C161" s="73"/>
      <c r="D161" s="72"/>
      <c r="E161" s="73"/>
      <c r="F161" s="74"/>
      <c r="G161" s="72"/>
      <c r="H161" s="73"/>
      <c r="I161" s="75"/>
      <c r="J161" s="75"/>
      <c r="K161" s="75"/>
      <c r="L161" s="74"/>
      <c r="M161" s="76"/>
      <c r="N161" s="75"/>
      <c r="O161" s="75"/>
      <c r="P161" s="75"/>
    </row>
    <row r="162" spans="1:16" ht="15.75" customHeight="1">
      <c r="A162" s="71"/>
      <c r="B162" s="72"/>
      <c r="C162" s="73"/>
      <c r="D162" s="72"/>
      <c r="E162" s="73"/>
      <c r="F162" s="74"/>
      <c r="G162" s="72"/>
      <c r="H162" s="73"/>
      <c r="I162" s="75"/>
      <c r="J162" s="75"/>
      <c r="K162" s="75"/>
      <c r="L162" s="74"/>
      <c r="M162" s="76"/>
      <c r="N162" s="75"/>
      <c r="O162" s="75"/>
      <c r="P162" s="75"/>
    </row>
    <row r="163" spans="1:16" ht="15.75" customHeight="1">
      <c r="A163" s="71"/>
      <c r="B163" s="72"/>
      <c r="C163" s="73"/>
      <c r="D163" s="72"/>
      <c r="E163" s="73"/>
      <c r="F163" s="74"/>
      <c r="G163" s="72"/>
      <c r="H163" s="73"/>
      <c r="I163" s="75"/>
      <c r="J163" s="75"/>
      <c r="K163" s="75"/>
      <c r="L163" s="74"/>
      <c r="M163" s="76"/>
      <c r="N163" s="75"/>
      <c r="O163" s="75"/>
      <c r="P163" s="75"/>
    </row>
    <row r="164" spans="1:16" ht="15.75" customHeight="1">
      <c r="A164" s="71"/>
      <c r="B164" s="72"/>
      <c r="C164" s="73"/>
      <c r="D164" s="72"/>
      <c r="E164" s="73"/>
      <c r="F164" s="74"/>
      <c r="G164" s="72"/>
      <c r="H164" s="73"/>
      <c r="I164" s="75"/>
      <c r="J164" s="75"/>
      <c r="K164" s="75"/>
      <c r="L164" s="74"/>
      <c r="M164" s="76"/>
      <c r="N164" s="75"/>
      <c r="O164" s="75"/>
      <c r="P164" s="75"/>
    </row>
    <row r="165" spans="1:16" ht="15.75" customHeight="1">
      <c r="A165" s="71"/>
      <c r="B165" s="72"/>
      <c r="C165" s="73"/>
      <c r="D165" s="72"/>
      <c r="E165" s="73"/>
      <c r="F165" s="74"/>
      <c r="G165" s="72"/>
      <c r="H165" s="73"/>
      <c r="I165" s="75"/>
      <c r="J165" s="75"/>
      <c r="K165" s="75"/>
      <c r="L165" s="74"/>
      <c r="M165" s="76"/>
      <c r="N165" s="75"/>
      <c r="O165" s="75"/>
      <c r="P165" s="75"/>
    </row>
    <row r="166" spans="1:16" ht="15.75" customHeight="1">
      <c r="A166" s="71"/>
      <c r="B166" s="72"/>
      <c r="C166" s="73"/>
      <c r="D166" s="72"/>
      <c r="E166" s="73"/>
      <c r="F166" s="74"/>
      <c r="G166" s="72"/>
      <c r="H166" s="73"/>
      <c r="I166" s="75"/>
      <c r="J166" s="75"/>
      <c r="K166" s="75"/>
      <c r="L166" s="74"/>
      <c r="M166" s="76"/>
      <c r="N166" s="75"/>
      <c r="O166" s="75"/>
      <c r="P166" s="75"/>
    </row>
    <row r="167" spans="1:16" ht="15.75" customHeight="1">
      <c r="A167" s="71"/>
      <c r="B167" s="72"/>
      <c r="C167" s="73"/>
      <c r="D167" s="72"/>
      <c r="E167" s="73"/>
      <c r="F167" s="74"/>
      <c r="G167" s="72"/>
      <c r="H167" s="73"/>
      <c r="I167" s="75"/>
      <c r="J167" s="75"/>
      <c r="K167" s="75"/>
      <c r="L167" s="74"/>
      <c r="M167" s="76"/>
      <c r="N167" s="75"/>
      <c r="O167" s="75"/>
      <c r="P167" s="75"/>
    </row>
    <row r="168" spans="1:16" ht="15.75" customHeight="1">
      <c r="A168" s="71"/>
      <c r="B168" s="72"/>
      <c r="C168" s="73"/>
      <c r="D168" s="72"/>
      <c r="E168" s="73"/>
      <c r="F168" s="74"/>
      <c r="G168" s="72"/>
      <c r="H168" s="73"/>
      <c r="I168" s="75"/>
      <c r="J168" s="75"/>
      <c r="K168" s="75"/>
      <c r="L168" s="74"/>
      <c r="M168" s="76"/>
      <c r="N168" s="75"/>
      <c r="O168" s="75"/>
      <c r="P168" s="75"/>
    </row>
    <row r="169" spans="1:16" ht="15.75" customHeight="1">
      <c r="A169" s="71"/>
      <c r="B169" s="72"/>
      <c r="C169" s="73"/>
      <c r="D169" s="72"/>
      <c r="E169" s="73"/>
      <c r="F169" s="74"/>
      <c r="G169" s="72"/>
      <c r="H169" s="73"/>
      <c r="I169" s="75"/>
      <c r="J169" s="75"/>
      <c r="K169" s="75"/>
      <c r="L169" s="74"/>
      <c r="M169" s="76"/>
      <c r="N169" s="75"/>
      <c r="O169" s="75"/>
      <c r="P169" s="75"/>
    </row>
    <row r="170" spans="1:16" ht="15.75" customHeight="1">
      <c r="A170" s="71"/>
      <c r="B170" s="72"/>
      <c r="C170" s="73"/>
      <c r="D170" s="72"/>
      <c r="E170" s="73"/>
      <c r="F170" s="74"/>
      <c r="G170" s="72"/>
      <c r="H170" s="73"/>
      <c r="I170" s="75"/>
      <c r="J170" s="75"/>
      <c r="K170" s="75"/>
      <c r="L170" s="74"/>
      <c r="M170" s="76"/>
      <c r="N170" s="75"/>
      <c r="O170" s="75"/>
      <c r="P170" s="75"/>
    </row>
    <row r="171" spans="1:16" ht="15.75" customHeight="1">
      <c r="A171" s="71"/>
      <c r="B171" s="72"/>
      <c r="C171" s="73"/>
      <c r="D171" s="72"/>
      <c r="E171" s="73"/>
      <c r="F171" s="74"/>
      <c r="G171" s="72"/>
      <c r="H171" s="73"/>
      <c r="I171" s="75"/>
      <c r="J171" s="75"/>
      <c r="K171" s="75"/>
      <c r="L171" s="74"/>
      <c r="M171" s="76"/>
      <c r="N171" s="75"/>
      <c r="O171" s="75"/>
      <c r="P171" s="75"/>
    </row>
    <row r="172" spans="1:16" ht="15.75" customHeight="1">
      <c r="A172" s="71"/>
      <c r="B172" s="72"/>
      <c r="C172" s="73"/>
      <c r="D172" s="72"/>
      <c r="E172" s="73"/>
      <c r="F172" s="74"/>
      <c r="G172" s="72"/>
      <c r="H172" s="73"/>
      <c r="I172" s="75"/>
      <c r="J172" s="75"/>
      <c r="K172" s="75"/>
      <c r="L172" s="74"/>
      <c r="M172" s="76"/>
      <c r="N172" s="75"/>
      <c r="O172" s="75"/>
      <c r="P172" s="75"/>
    </row>
    <row r="173" spans="1:16" ht="15.75" customHeight="1">
      <c r="A173" s="71"/>
      <c r="B173" s="72"/>
      <c r="C173" s="73"/>
      <c r="D173" s="72"/>
      <c r="E173" s="73"/>
      <c r="F173" s="74"/>
      <c r="G173" s="72"/>
      <c r="H173" s="73"/>
      <c r="I173" s="75"/>
      <c r="J173" s="75"/>
      <c r="K173" s="75"/>
      <c r="L173" s="74"/>
      <c r="M173" s="76"/>
      <c r="N173" s="75"/>
      <c r="O173" s="75"/>
      <c r="P173" s="75"/>
    </row>
    <row r="174" spans="1:16" ht="15.75" customHeight="1">
      <c r="A174" s="71"/>
      <c r="B174" s="72"/>
      <c r="C174" s="73"/>
      <c r="D174" s="72"/>
      <c r="E174" s="73"/>
      <c r="F174" s="74"/>
      <c r="G174" s="72"/>
      <c r="H174" s="73"/>
      <c r="I174" s="75"/>
      <c r="J174" s="75"/>
      <c r="K174" s="75"/>
      <c r="L174" s="74"/>
      <c r="M174" s="76"/>
      <c r="N174" s="75"/>
      <c r="O174" s="75"/>
      <c r="P174" s="75"/>
    </row>
    <row r="175" spans="1:16" ht="15.75" customHeight="1">
      <c r="A175" s="71"/>
      <c r="B175" s="72"/>
      <c r="C175" s="73"/>
      <c r="D175" s="72"/>
      <c r="E175" s="73"/>
      <c r="F175" s="74"/>
      <c r="G175" s="72"/>
      <c r="H175" s="73"/>
      <c r="I175" s="75"/>
      <c r="J175" s="75"/>
      <c r="K175" s="75"/>
      <c r="L175" s="74"/>
      <c r="M175" s="76"/>
      <c r="N175" s="75"/>
      <c r="O175" s="75"/>
      <c r="P175" s="75"/>
    </row>
    <row r="176" spans="1:16" ht="15.75" customHeight="1">
      <c r="A176" s="71"/>
      <c r="B176" s="72"/>
      <c r="C176" s="73"/>
      <c r="D176" s="72"/>
      <c r="E176" s="73"/>
      <c r="F176" s="74"/>
      <c r="G176" s="72"/>
      <c r="H176" s="73"/>
      <c r="I176" s="75"/>
      <c r="J176" s="75"/>
      <c r="K176" s="75"/>
      <c r="L176" s="74"/>
      <c r="M176" s="76"/>
      <c r="N176" s="75"/>
      <c r="O176" s="75"/>
      <c r="P176" s="75"/>
    </row>
    <row r="177" spans="1:16" ht="15.75" customHeight="1">
      <c r="A177" s="71"/>
      <c r="B177" s="72"/>
      <c r="C177" s="73"/>
      <c r="D177" s="72"/>
      <c r="E177" s="73"/>
      <c r="F177" s="74"/>
      <c r="G177" s="72"/>
      <c r="H177" s="73"/>
      <c r="I177" s="75"/>
      <c r="J177" s="75"/>
      <c r="K177" s="75"/>
      <c r="L177" s="74"/>
      <c r="M177" s="76"/>
      <c r="N177" s="75"/>
      <c r="O177" s="75"/>
      <c r="P177" s="75"/>
    </row>
    <row r="178" spans="1:16" ht="15.75" customHeight="1">
      <c r="A178" s="71"/>
      <c r="B178" s="72"/>
      <c r="C178" s="73"/>
      <c r="D178" s="72"/>
      <c r="E178" s="73"/>
      <c r="F178" s="74"/>
      <c r="G178" s="72"/>
      <c r="H178" s="73"/>
      <c r="I178" s="75"/>
      <c r="J178" s="75"/>
      <c r="K178" s="75"/>
      <c r="L178" s="74"/>
      <c r="M178" s="76"/>
      <c r="N178" s="75"/>
      <c r="O178" s="75"/>
      <c r="P178" s="75"/>
    </row>
    <row r="179" spans="1:16" ht="15.75" customHeight="1">
      <c r="A179" s="71"/>
      <c r="B179" s="72"/>
      <c r="C179" s="73"/>
      <c r="D179" s="72"/>
      <c r="E179" s="73"/>
      <c r="F179" s="74"/>
      <c r="G179" s="72"/>
      <c r="H179" s="73"/>
      <c r="I179" s="75"/>
      <c r="J179" s="75"/>
      <c r="K179" s="75"/>
      <c r="L179" s="74"/>
      <c r="M179" s="76"/>
      <c r="N179" s="75"/>
      <c r="O179" s="75"/>
      <c r="P179" s="75"/>
    </row>
    <row r="180" spans="1:16" ht="15.75" customHeight="1">
      <c r="A180" s="71"/>
      <c r="B180" s="72"/>
      <c r="C180" s="73"/>
      <c r="D180" s="72"/>
      <c r="E180" s="73"/>
      <c r="F180" s="74"/>
      <c r="G180" s="72"/>
      <c r="H180" s="73"/>
      <c r="I180" s="75"/>
      <c r="J180" s="75"/>
      <c r="K180" s="75"/>
      <c r="L180" s="74"/>
      <c r="M180" s="76"/>
      <c r="N180" s="75"/>
      <c r="O180" s="75"/>
      <c r="P180" s="75"/>
    </row>
    <row r="181" spans="1:16" ht="15.75" customHeight="1">
      <c r="A181" s="71"/>
      <c r="B181" s="72"/>
      <c r="C181" s="73"/>
      <c r="D181" s="72"/>
      <c r="E181" s="73"/>
      <c r="F181" s="74"/>
      <c r="G181" s="72"/>
      <c r="H181" s="73"/>
      <c r="I181" s="75"/>
      <c r="J181" s="75"/>
      <c r="K181" s="75"/>
      <c r="L181" s="74"/>
      <c r="M181" s="76"/>
      <c r="N181" s="75"/>
      <c r="O181" s="75"/>
      <c r="P181" s="75"/>
    </row>
    <row r="182" spans="1:16" ht="15.75" customHeight="1">
      <c r="A182" s="71"/>
      <c r="B182" s="72"/>
      <c r="C182" s="73"/>
      <c r="D182" s="72"/>
      <c r="E182" s="73"/>
      <c r="F182" s="74"/>
      <c r="G182" s="72"/>
      <c r="H182" s="73"/>
      <c r="I182" s="75"/>
      <c r="J182" s="75"/>
      <c r="K182" s="75"/>
      <c r="L182" s="74"/>
      <c r="M182" s="76"/>
      <c r="N182" s="75"/>
      <c r="O182" s="75"/>
      <c r="P182" s="75"/>
    </row>
    <row r="183" spans="1:16" ht="15.75" customHeight="1">
      <c r="A183" s="71"/>
      <c r="B183" s="72"/>
      <c r="C183" s="73"/>
      <c r="D183" s="72"/>
      <c r="E183" s="73"/>
      <c r="F183" s="74"/>
      <c r="G183" s="72"/>
      <c r="H183" s="73"/>
      <c r="I183" s="75"/>
      <c r="J183" s="75"/>
      <c r="K183" s="75"/>
      <c r="L183" s="74"/>
      <c r="M183" s="76"/>
      <c r="N183" s="75"/>
      <c r="O183" s="75"/>
      <c r="P183" s="75"/>
    </row>
    <row r="184" spans="1:16" ht="15.75" customHeight="1">
      <c r="A184" s="71"/>
      <c r="B184" s="72"/>
      <c r="C184" s="73"/>
      <c r="D184" s="72"/>
      <c r="E184" s="73"/>
      <c r="F184" s="74"/>
      <c r="G184" s="72"/>
      <c r="H184" s="73"/>
      <c r="I184" s="75"/>
      <c r="J184" s="75"/>
      <c r="K184" s="75"/>
      <c r="L184" s="74"/>
      <c r="M184" s="76"/>
      <c r="N184" s="75"/>
      <c r="O184" s="75"/>
      <c r="P184" s="75"/>
    </row>
    <row r="185" spans="1:16" ht="15.75" customHeight="1">
      <c r="A185" s="71"/>
      <c r="B185" s="72"/>
      <c r="C185" s="73"/>
      <c r="D185" s="72"/>
      <c r="E185" s="73"/>
      <c r="F185" s="74"/>
      <c r="G185" s="72"/>
      <c r="H185" s="73"/>
      <c r="I185" s="75"/>
      <c r="J185" s="75"/>
      <c r="K185" s="75"/>
      <c r="L185" s="74"/>
      <c r="M185" s="76"/>
      <c r="N185" s="75"/>
      <c r="O185" s="75"/>
      <c r="P185" s="75"/>
    </row>
    <row r="186" spans="1:16" ht="15.75" customHeight="1">
      <c r="A186" s="71"/>
      <c r="B186" s="72"/>
      <c r="C186" s="73"/>
      <c r="D186" s="72"/>
      <c r="E186" s="73"/>
      <c r="F186" s="74"/>
      <c r="G186" s="72"/>
      <c r="H186" s="73"/>
      <c r="I186" s="75"/>
      <c r="J186" s="75"/>
      <c r="K186" s="75"/>
      <c r="L186" s="74"/>
      <c r="M186" s="76"/>
      <c r="N186" s="75"/>
      <c r="O186" s="75"/>
      <c r="P186" s="75"/>
    </row>
    <row r="187" spans="1:16" ht="15.75" customHeight="1">
      <c r="A187" s="71"/>
      <c r="B187" s="72"/>
      <c r="C187" s="73"/>
      <c r="D187" s="72"/>
      <c r="E187" s="73"/>
      <c r="F187" s="74"/>
      <c r="G187" s="72"/>
      <c r="H187" s="73"/>
      <c r="I187" s="75"/>
      <c r="J187" s="75"/>
      <c r="K187" s="75"/>
      <c r="L187" s="74"/>
      <c r="M187" s="76"/>
      <c r="N187" s="75"/>
      <c r="O187" s="75"/>
      <c r="P187" s="75"/>
    </row>
    <row r="188" spans="1:16" ht="15.75" customHeight="1">
      <c r="A188" s="71"/>
      <c r="B188" s="72"/>
      <c r="C188" s="73"/>
      <c r="D188" s="72"/>
      <c r="E188" s="73"/>
      <c r="F188" s="74"/>
      <c r="G188" s="72"/>
      <c r="H188" s="73"/>
      <c r="I188" s="75"/>
      <c r="J188" s="75"/>
      <c r="K188" s="75"/>
      <c r="L188" s="74"/>
      <c r="M188" s="76"/>
      <c r="N188" s="75"/>
      <c r="O188" s="75"/>
      <c r="P188" s="75"/>
    </row>
    <row r="189" spans="1:16" ht="15.75" customHeight="1">
      <c r="A189" s="71"/>
      <c r="B189" s="72"/>
      <c r="C189" s="73"/>
      <c r="D189" s="72"/>
      <c r="E189" s="73"/>
      <c r="F189" s="74"/>
      <c r="G189" s="72"/>
      <c r="H189" s="73"/>
      <c r="I189" s="75"/>
      <c r="J189" s="75"/>
      <c r="K189" s="75"/>
      <c r="L189" s="74"/>
      <c r="M189" s="76"/>
      <c r="N189" s="75"/>
      <c r="O189" s="75"/>
      <c r="P189" s="75"/>
    </row>
    <row r="190" spans="1:16" ht="15.75" customHeight="1">
      <c r="A190" s="71"/>
      <c r="B190" s="72"/>
      <c r="C190" s="73"/>
      <c r="D190" s="72"/>
      <c r="E190" s="73"/>
      <c r="F190" s="74"/>
      <c r="G190" s="72"/>
      <c r="H190" s="73"/>
      <c r="I190" s="75"/>
      <c r="J190" s="75"/>
      <c r="K190" s="75"/>
      <c r="L190" s="74"/>
      <c r="M190" s="76"/>
      <c r="N190" s="75"/>
      <c r="O190" s="75"/>
      <c r="P190" s="75"/>
    </row>
    <row r="191" spans="1:16" ht="15.75" customHeight="1">
      <c r="A191" s="71"/>
      <c r="B191" s="72"/>
      <c r="C191" s="73"/>
      <c r="D191" s="72"/>
      <c r="E191" s="73"/>
      <c r="F191" s="74"/>
      <c r="G191" s="72"/>
      <c r="H191" s="73"/>
      <c r="I191" s="75"/>
      <c r="J191" s="75"/>
      <c r="K191" s="75"/>
      <c r="L191" s="74"/>
      <c r="M191" s="76"/>
      <c r="N191" s="75"/>
      <c r="O191" s="75"/>
      <c r="P191" s="75"/>
    </row>
    <row r="192" spans="1:16" ht="15.75" customHeight="1">
      <c r="A192" s="71"/>
      <c r="B192" s="72"/>
      <c r="C192" s="73"/>
      <c r="D192" s="72"/>
      <c r="E192" s="73"/>
      <c r="F192" s="74"/>
      <c r="G192" s="72"/>
      <c r="H192" s="73"/>
      <c r="I192" s="75"/>
      <c r="J192" s="75"/>
      <c r="K192" s="75"/>
      <c r="L192" s="74"/>
      <c r="M192" s="76"/>
      <c r="N192" s="75"/>
      <c r="O192" s="75"/>
      <c r="P192" s="75"/>
    </row>
    <row r="193" spans="1:16" ht="15.75" customHeight="1">
      <c r="A193" s="71"/>
      <c r="B193" s="72"/>
      <c r="C193" s="73"/>
      <c r="D193" s="72"/>
      <c r="E193" s="73"/>
      <c r="F193" s="74"/>
      <c r="G193" s="72"/>
      <c r="H193" s="73"/>
      <c r="I193" s="75"/>
      <c r="J193" s="75"/>
      <c r="K193" s="75"/>
      <c r="L193" s="74"/>
      <c r="M193" s="76"/>
      <c r="N193" s="75"/>
      <c r="O193" s="75"/>
      <c r="P193" s="75"/>
    </row>
    <row r="194" spans="1:16" ht="15.75" customHeight="1">
      <c r="A194" s="71"/>
      <c r="B194" s="72"/>
      <c r="C194" s="73"/>
      <c r="D194" s="72"/>
      <c r="E194" s="73"/>
      <c r="F194" s="74"/>
      <c r="G194" s="72"/>
      <c r="H194" s="73"/>
      <c r="I194" s="75"/>
      <c r="J194" s="75"/>
      <c r="K194" s="75"/>
      <c r="L194" s="74"/>
      <c r="M194" s="76"/>
      <c r="N194" s="75"/>
      <c r="O194" s="75"/>
      <c r="P194" s="75"/>
    </row>
    <row r="195" spans="1:16" ht="15.75" customHeight="1">
      <c r="A195" s="71"/>
      <c r="B195" s="72"/>
      <c r="C195" s="73"/>
      <c r="D195" s="72"/>
      <c r="E195" s="73"/>
      <c r="F195" s="74"/>
      <c r="G195" s="72"/>
      <c r="H195" s="73"/>
      <c r="I195" s="75"/>
      <c r="J195" s="75"/>
      <c r="K195" s="75"/>
      <c r="L195" s="74"/>
      <c r="M195" s="76"/>
      <c r="N195" s="75"/>
      <c r="O195" s="75"/>
      <c r="P195" s="75"/>
    </row>
    <row r="196" spans="1:16" ht="15.75" customHeight="1">
      <c r="A196" s="71"/>
      <c r="B196" s="72"/>
      <c r="C196" s="73"/>
      <c r="D196" s="72"/>
      <c r="E196" s="73"/>
      <c r="F196" s="74"/>
      <c r="G196" s="72"/>
      <c r="H196" s="73"/>
      <c r="I196" s="75"/>
      <c r="J196" s="75"/>
      <c r="K196" s="75"/>
      <c r="L196" s="74"/>
      <c r="M196" s="76"/>
      <c r="N196" s="75"/>
      <c r="O196" s="75"/>
      <c r="P196" s="75"/>
    </row>
    <row r="197" spans="1:16" ht="15.75" customHeight="1">
      <c r="A197" s="71"/>
      <c r="B197" s="72"/>
      <c r="C197" s="73"/>
      <c r="D197" s="72"/>
      <c r="E197" s="73"/>
      <c r="F197" s="74"/>
      <c r="G197" s="72"/>
      <c r="H197" s="73"/>
      <c r="I197" s="75"/>
      <c r="J197" s="75"/>
      <c r="K197" s="75"/>
      <c r="L197" s="74"/>
      <c r="M197" s="76"/>
      <c r="N197" s="75"/>
      <c r="O197" s="75"/>
      <c r="P197" s="75"/>
    </row>
    <row r="198" spans="1:16" ht="15.75" customHeight="1">
      <c r="A198" s="71"/>
      <c r="B198" s="72"/>
      <c r="C198" s="73"/>
      <c r="D198" s="72"/>
      <c r="E198" s="73"/>
      <c r="F198" s="74"/>
      <c r="G198" s="72"/>
      <c r="H198" s="73"/>
      <c r="I198" s="75"/>
      <c r="J198" s="75"/>
      <c r="K198" s="75"/>
      <c r="L198" s="74"/>
      <c r="M198" s="76"/>
      <c r="N198" s="75"/>
      <c r="O198" s="75"/>
      <c r="P198" s="75"/>
    </row>
    <row r="199" spans="1:16" ht="15.75" customHeight="1">
      <c r="A199" s="71"/>
      <c r="B199" s="72"/>
      <c r="C199" s="73"/>
      <c r="D199" s="72"/>
      <c r="E199" s="73"/>
      <c r="F199" s="74"/>
      <c r="G199" s="72"/>
      <c r="H199" s="73"/>
      <c r="I199" s="75"/>
      <c r="J199" s="75"/>
      <c r="K199" s="75"/>
      <c r="L199" s="74"/>
      <c r="M199" s="76"/>
      <c r="N199" s="75"/>
      <c r="O199" s="75"/>
      <c r="P199" s="75"/>
    </row>
    <row r="200" spans="1:16" ht="15.75" customHeight="1">
      <c r="A200" s="71"/>
      <c r="B200" s="72"/>
      <c r="C200" s="73"/>
      <c r="D200" s="72"/>
      <c r="E200" s="73"/>
      <c r="F200" s="74"/>
      <c r="G200" s="72"/>
      <c r="H200" s="73"/>
      <c r="I200" s="75"/>
      <c r="J200" s="75"/>
      <c r="K200" s="75"/>
      <c r="L200" s="74"/>
      <c r="M200" s="76"/>
      <c r="N200" s="75"/>
      <c r="O200" s="75"/>
      <c r="P200" s="75"/>
    </row>
    <row r="201" spans="1:16" ht="15.75" customHeight="1">
      <c r="A201" s="71"/>
      <c r="B201" s="72"/>
      <c r="C201" s="73"/>
      <c r="D201" s="72"/>
      <c r="E201" s="73"/>
      <c r="F201" s="74"/>
      <c r="G201" s="72"/>
      <c r="H201" s="73"/>
      <c r="I201" s="75"/>
      <c r="J201" s="75"/>
      <c r="K201" s="75"/>
      <c r="L201" s="74"/>
      <c r="M201" s="76"/>
      <c r="N201" s="75"/>
      <c r="O201" s="75"/>
      <c r="P201" s="75"/>
    </row>
    <row r="202" spans="1:16" ht="15.75" customHeight="1">
      <c r="A202" s="71"/>
      <c r="B202" s="72"/>
      <c r="C202" s="73"/>
      <c r="D202" s="72"/>
      <c r="E202" s="73"/>
      <c r="F202" s="74"/>
      <c r="G202" s="72"/>
      <c r="H202" s="73"/>
      <c r="I202" s="75"/>
      <c r="J202" s="75"/>
      <c r="K202" s="75"/>
      <c r="L202" s="74"/>
      <c r="M202" s="76"/>
      <c r="N202" s="75"/>
      <c r="O202" s="75"/>
      <c r="P202" s="75"/>
    </row>
    <row r="203" spans="1:16" ht="15.75" customHeight="1">
      <c r="A203" s="71"/>
      <c r="B203" s="72"/>
      <c r="C203" s="73"/>
      <c r="D203" s="72"/>
      <c r="E203" s="73"/>
      <c r="F203" s="74"/>
      <c r="G203" s="72"/>
      <c r="H203" s="73"/>
      <c r="I203" s="75"/>
      <c r="J203" s="75"/>
      <c r="K203" s="75"/>
      <c r="L203" s="74"/>
      <c r="M203" s="76"/>
      <c r="N203" s="75"/>
      <c r="O203" s="75"/>
      <c r="P203" s="75"/>
    </row>
    <row r="204" spans="1:16" ht="15.75" customHeight="1">
      <c r="A204" s="71"/>
      <c r="B204" s="72"/>
      <c r="C204" s="73"/>
      <c r="D204" s="72"/>
      <c r="E204" s="73"/>
      <c r="F204" s="74"/>
      <c r="G204" s="72"/>
      <c r="H204" s="73"/>
      <c r="I204" s="75"/>
      <c r="J204" s="75"/>
      <c r="K204" s="75"/>
      <c r="L204" s="74"/>
      <c r="M204" s="76"/>
      <c r="N204" s="75"/>
      <c r="O204" s="75"/>
      <c r="P204" s="75"/>
    </row>
    <row r="205" spans="1:16" ht="15.75" customHeight="1">
      <c r="A205" s="71"/>
      <c r="B205" s="72"/>
      <c r="C205" s="73"/>
      <c r="D205" s="72"/>
      <c r="E205" s="73"/>
      <c r="F205" s="74"/>
      <c r="G205" s="72"/>
      <c r="H205" s="73"/>
      <c r="I205" s="75"/>
      <c r="J205" s="75"/>
      <c r="K205" s="75"/>
      <c r="L205" s="74"/>
      <c r="M205" s="76"/>
      <c r="N205" s="75"/>
      <c r="O205" s="75"/>
      <c r="P205" s="75"/>
    </row>
    <row r="206" spans="1:16" ht="15.75" customHeight="1">
      <c r="A206" s="71"/>
      <c r="B206" s="72"/>
      <c r="C206" s="73"/>
      <c r="D206" s="72"/>
      <c r="E206" s="73"/>
      <c r="F206" s="74"/>
      <c r="G206" s="72"/>
      <c r="H206" s="73"/>
      <c r="I206" s="75"/>
      <c r="J206" s="75"/>
      <c r="K206" s="75"/>
      <c r="L206" s="74"/>
      <c r="M206" s="76"/>
      <c r="N206" s="75"/>
      <c r="O206" s="75"/>
      <c r="P206" s="75"/>
    </row>
    <row r="207" spans="1:16" ht="15.75" customHeight="1">
      <c r="A207" s="71"/>
      <c r="B207" s="72"/>
      <c r="C207" s="73"/>
      <c r="D207" s="72"/>
      <c r="E207" s="73"/>
      <c r="F207" s="74"/>
      <c r="G207" s="72"/>
      <c r="H207" s="73"/>
      <c r="I207" s="75"/>
      <c r="J207" s="75"/>
      <c r="K207" s="75"/>
      <c r="L207" s="74"/>
      <c r="M207" s="76"/>
      <c r="N207" s="75"/>
      <c r="O207" s="75"/>
      <c r="P207" s="75"/>
    </row>
    <row r="208" spans="1:16" ht="15.75" customHeight="1">
      <c r="A208" s="71"/>
      <c r="B208" s="72"/>
      <c r="C208" s="73"/>
      <c r="D208" s="72"/>
      <c r="E208" s="73"/>
      <c r="F208" s="74"/>
      <c r="G208" s="72"/>
      <c r="H208" s="73"/>
      <c r="I208" s="75"/>
      <c r="J208" s="75"/>
      <c r="K208" s="75"/>
      <c r="L208" s="74"/>
      <c r="M208" s="76"/>
      <c r="N208" s="75"/>
      <c r="O208" s="75"/>
      <c r="P208" s="75"/>
    </row>
    <row r="209" spans="1:16" ht="15.75" customHeight="1">
      <c r="A209" s="71"/>
      <c r="B209" s="72"/>
      <c r="C209" s="73"/>
      <c r="D209" s="72"/>
      <c r="E209" s="73"/>
      <c r="F209" s="74"/>
      <c r="G209" s="72"/>
      <c r="H209" s="73"/>
      <c r="I209" s="75"/>
      <c r="J209" s="75"/>
      <c r="K209" s="75"/>
      <c r="L209" s="74"/>
      <c r="M209" s="76"/>
      <c r="N209" s="75"/>
      <c r="O209" s="75"/>
      <c r="P209" s="75"/>
    </row>
    <row r="210" spans="1:16" ht="15.75" customHeight="1">
      <c r="A210" s="71"/>
      <c r="B210" s="72"/>
      <c r="C210" s="73"/>
      <c r="D210" s="72"/>
      <c r="E210" s="73"/>
      <c r="F210" s="74"/>
      <c r="G210" s="72"/>
      <c r="H210" s="73"/>
      <c r="I210" s="75"/>
      <c r="J210" s="75"/>
      <c r="K210" s="75"/>
      <c r="L210" s="74"/>
      <c r="M210" s="76"/>
      <c r="N210" s="75"/>
      <c r="O210" s="75"/>
      <c r="P210" s="75"/>
    </row>
    <row r="211" spans="1:16" ht="15.75" customHeight="1">
      <c r="A211" s="71"/>
      <c r="B211" s="72"/>
      <c r="C211" s="73"/>
      <c r="D211" s="72"/>
      <c r="E211" s="73"/>
      <c r="F211" s="74"/>
      <c r="G211" s="72"/>
      <c r="H211" s="73"/>
      <c r="I211" s="75"/>
      <c r="J211" s="75"/>
      <c r="K211" s="75"/>
      <c r="L211" s="74"/>
      <c r="M211" s="76"/>
      <c r="N211" s="75"/>
      <c r="O211" s="75"/>
      <c r="P211" s="75"/>
    </row>
    <row r="212" spans="1:16" ht="15.75" customHeight="1">
      <c r="A212" s="71"/>
      <c r="B212" s="72"/>
      <c r="C212" s="73"/>
      <c r="D212" s="72"/>
      <c r="E212" s="73"/>
      <c r="F212" s="74"/>
      <c r="G212" s="72"/>
      <c r="H212" s="73"/>
      <c r="I212" s="75"/>
      <c r="J212" s="75"/>
      <c r="K212" s="75"/>
      <c r="L212" s="74"/>
      <c r="M212" s="76"/>
      <c r="N212" s="75"/>
      <c r="O212" s="75"/>
      <c r="P212" s="75"/>
    </row>
    <row r="213" spans="1:16" ht="15.75" customHeight="1">
      <c r="A213" s="71"/>
      <c r="B213" s="72"/>
      <c r="C213" s="73"/>
      <c r="D213" s="72"/>
      <c r="E213" s="73"/>
      <c r="F213" s="74"/>
      <c r="G213" s="72"/>
      <c r="H213" s="73"/>
      <c r="I213" s="75"/>
      <c r="J213" s="75"/>
      <c r="K213" s="75"/>
      <c r="L213" s="74"/>
      <c r="M213" s="76"/>
      <c r="N213" s="75"/>
      <c r="O213" s="75"/>
      <c r="P213" s="75"/>
    </row>
    <row r="214" spans="1:16" ht="15.75" customHeight="1">
      <c r="A214" s="71"/>
      <c r="B214" s="72"/>
      <c r="C214" s="73"/>
      <c r="D214" s="72"/>
      <c r="E214" s="73"/>
      <c r="F214" s="74"/>
      <c r="G214" s="72"/>
      <c r="H214" s="73"/>
      <c r="I214" s="75"/>
      <c r="J214" s="75"/>
      <c r="K214" s="75"/>
      <c r="L214" s="74"/>
      <c r="M214" s="76"/>
      <c r="N214" s="75"/>
      <c r="O214" s="75"/>
      <c r="P214" s="75"/>
    </row>
    <row r="215" spans="1:16" ht="15.75" customHeight="1">
      <c r="A215" s="71"/>
      <c r="B215" s="72"/>
      <c r="C215" s="73"/>
      <c r="D215" s="72"/>
      <c r="E215" s="73"/>
      <c r="F215" s="74"/>
      <c r="G215" s="72"/>
      <c r="H215" s="73"/>
      <c r="I215" s="75"/>
      <c r="J215" s="75"/>
      <c r="K215" s="75"/>
      <c r="L215" s="74"/>
      <c r="M215" s="76"/>
      <c r="N215" s="75"/>
      <c r="O215" s="75"/>
      <c r="P215" s="75"/>
    </row>
    <row r="216" spans="1:16" ht="15.75" customHeight="1">
      <c r="A216" s="71"/>
      <c r="B216" s="72"/>
      <c r="C216" s="73"/>
      <c r="D216" s="72"/>
      <c r="E216" s="73"/>
      <c r="F216" s="74"/>
      <c r="G216" s="72"/>
      <c r="H216" s="73"/>
      <c r="I216" s="75"/>
      <c r="J216" s="75"/>
      <c r="K216" s="75"/>
      <c r="L216" s="74"/>
      <c r="M216" s="76"/>
      <c r="N216" s="75"/>
      <c r="O216" s="75"/>
      <c r="P216" s="75"/>
    </row>
    <row r="217" spans="1:16" ht="15.75" customHeight="1">
      <c r="A217" s="71"/>
      <c r="B217" s="72"/>
      <c r="C217" s="73"/>
      <c r="D217" s="72"/>
      <c r="E217" s="73"/>
      <c r="F217" s="74"/>
      <c r="G217" s="72"/>
      <c r="H217" s="73"/>
      <c r="I217" s="75"/>
      <c r="J217" s="75"/>
      <c r="K217" s="75"/>
      <c r="L217" s="74"/>
      <c r="M217" s="76"/>
      <c r="N217" s="75"/>
      <c r="O217" s="75"/>
      <c r="P217" s="75"/>
    </row>
    <row r="218" spans="1:16" ht="15.75" customHeight="1">
      <c r="A218" s="71"/>
      <c r="B218" s="72"/>
      <c r="C218" s="73"/>
      <c r="D218" s="72"/>
      <c r="E218" s="73"/>
      <c r="F218" s="74"/>
      <c r="G218" s="72"/>
      <c r="H218" s="73"/>
      <c r="I218" s="75"/>
      <c r="J218" s="75"/>
      <c r="K218" s="75"/>
      <c r="L218" s="74"/>
      <c r="M218" s="76"/>
      <c r="N218" s="75"/>
      <c r="O218" s="75"/>
      <c r="P218" s="75"/>
    </row>
    <row r="219" spans="1:16" ht="15.75" customHeight="1">
      <c r="A219" s="71"/>
      <c r="B219" s="72"/>
      <c r="C219" s="73"/>
      <c r="D219" s="72"/>
      <c r="E219" s="73"/>
      <c r="F219" s="74"/>
      <c r="G219" s="72"/>
      <c r="H219" s="73"/>
      <c r="I219" s="75"/>
      <c r="J219" s="75"/>
      <c r="K219" s="75"/>
      <c r="L219" s="74"/>
      <c r="M219" s="76"/>
      <c r="N219" s="75"/>
      <c r="O219" s="75"/>
      <c r="P219" s="75"/>
    </row>
    <row r="220" spans="1:16" ht="15.75" customHeight="1">
      <c r="A220" s="71"/>
      <c r="B220" s="72"/>
      <c r="C220" s="73"/>
      <c r="D220" s="72"/>
      <c r="E220" s="73"/>
      <c r="F220" s="74"/>
      <c r="G220" s="72"/>
      <c r="H220" s="73"/>
      <c r="I220" s="75"/>
      <c r="J220" s="75"/>
      <c r="K220" s="75"/>
      <c r="L220" s="74"/>
      <c r="M220" s="76"/>
      <c r="N220" s="75"/>
      <c r="O220" s="75"/>
      <c r="P220" s="75"/>
    </row>
    <row r="221" spans="1:16" ht="15.75" customHeight="1">
      <c r="A221" s="71"/>
      <c r="B221" s="72"/>
      <c r="C221" s="73"/>
      <c r="D221" s="72"/>
      <c r="E221" s="73"/>
      <c r="F221" s="74"/>
      <c r="G221" s="72"/>
      <c r="H221" s="73"/>
      <c r="I221" s="75"/>
      <c r="J221" s="75"/>
      <c r="K221" s="75"/>
      <c r="L221" s="74"/>
      <c r="M221" s="76"/>
      <c r="N221" s="75"/>
      <c r="O221" s="75"/>
      <c r="P221" s="75"/>
    </row>
    <row r="222" spans="1:16" ht="15.75" customHeight="1">
      <c r="A222" s="71"/>
      <c r="B222" s="72"/>
      <c r="C222" s="73"/>
      <c r="D222" s="72"/>
      <c r="E222" s="73"/>
      <c r="F222" s="74"/>
      <c r="G222" s="72"/>
      <c r="H222" s="73"/>
      <c r="I222" s="75"/>
      <c r="J222" s="75"/>
      <c r="K222" s="75"/>
      <c r="L222" s="74"/>
      <c r="M222" s="76"/>
      <c r="N222" s="75"/>
      <c r="O222" s="75"/>
      <c r="P222" s="75"/>
    </row>
    <row r="223" spans="1:16" ht="15.75" customHeight="1">
      <c r="A223" s="71"/>
      <c r="B223" s="72"/>
      <c r="C223" s="73"/>
      <c r="D223" s="72"/>
      <c r="E223" s="73"/>
      <c r="F223" s="74"/>
      <c r="G223" s="72"/>
      <c r="H223" s="73"/>
      <c r="I223" s="75"/>
      <c r="J223" s="75"/>
      <c r="K223" s="75"/>
      <c r="L223" s="74"/>
      <c r="M223" s="76"/>
      <c r="N223" s="75"/>
      <c r="O223" s="75"/>
      <c r="P223" s="75"/>
    </row>
    <row r="224" spans="1:16" ht="15.75" customHeight="1">
      <c r="A224" s="71"/>
      <c r="B224" s="72"/>
      <c r="C224" s="73"/>
      <c r="D224" s="72"/>
      <c r="E224" s="73"/>
      <c r="F224" s="74"/>
      <c r="G224" s="72"/>
      <c r="H224" s="73"/>
      <c r="I224" s="75"/>
      <c r="J224" s="75"/>
      <c r="K224" s="75"/>
      <c r="L224" s="74"/>
      <c r="M224" s="76"/>
      <c r="N224" s="75"/>
      <c r="O224" s="75"/>
      <c r="P224" s="75"/>
    </row>
    <row r="225" spans="1:16" ht="15.75" customHeight="1">
      <c r="A225" s="71"/>
      <c r="B225" s="72"/>
      <c r="C225" s="73"/>
      <c r="D225" s="72"/>
      <c r="E225" s="73"/>
      <c r="F225" s="74"/>
      <c r="G225" s="72"/>
      <c r="H225" s="73"/>
      <c r="I225" s="75"/>
      <c r="J225" s="75"/>
      <c r="K225" s="75"/>
      <c r="L225" s="74"/>
      <c r="M225" s="76"/>
      <c r="N225" s="75"/>
      <c r="O225" s="75"/>
      <c r="P225" s="75"/>
    </row>
    <row r="226" spans="1:16" ht="15.75" customHeight="1">
      <c r="A226" s="71"/>
      <c r="B226" s="72"/>
      <c r="C226" s="73"/>
      <c r="D226" s="72"/>
      <c r="E226" s="73"/>
      <c r="F226" s="74"/>
      <c r="G226" s="72"/>
      <c r="H226" s="73"/>
      <c r="I226" s="75"/>
      <c r="J226" s="75"/>
      <c r="K226" s="75"/>
      <c r="L226" s="74"/>
      <c r="M226" s="76"/>
      <c r="N226" s="75"/>
      <c r="O226" s="75"/>
      <c r="P226" s="75"/>
    </row>
    <row r="227" spans="1:16" ht="15.75" customHeight="1">
      <c r="A227" s="71"/>
      <c r="B227" s="72"/>
      <c r="C227" s="73"/>
      <c r="D227" s="72"/>
      <c r="E227" s="73"/>
      <c r="F227" s="74"/>
      <c r="G227" s="72"/>
      <c r="H227" s="73"/>
      <c r="I227" s="75"/>
      <c r="J227" s="75"/>
      <c r="K227" s="75"/>
      <c r="L227" s="74"/>
      <c r="M227" s="76"/>
      <c r="N227" s="75"/>
      <c r="O227" s="75"/>
      <c r="P227" s="75"/>
    </row>
    <row r="228" spans="1:16" ht="15.75" customHeight="1">
      <c r="A228" s="71"/>
      <c r="B228" s="72"/>
      <c r="C228" s="73"/>
      <c r="D228" s="72"/>
      <c r="E228" s="73"/>
      <c r="F228" s="74"/>
      <c r="G228" s="72"/>
      <c r="H228" s="73"/>
      <c r="I228" s="75"/>
      <c r="J228" s="75"/>
      <c r="K228" s="75"/>
      <c r="L228" s="74"/>
      <c r="M228" s="76"/>
      <c r="N228" s="75"/>
      <c r="O228" s="75"/>
      <c r="P228" s="75"/>
    </row>
    <row r="229" spans="1:16" ht="15.75" customHeight="1">
      <c r="A229" s="71"/>
      <c r="B229" s="72"/>
      <c r="C229" s="73"/>
      <c r="D229" s="72"/>
      <c r="E229" s="73"/>
      <c r="F229" s="74"/>
      <c r="G229" s="72"/>
      <c r="H229" s="73"/>
      <c r="I229" s="75"/>
      <c r="J229" s="75"/>
      <c r="K229" s="75"/>
      <c r="L229" s="74"/>
      <c r="M229" s="76"/>
      <c r="N229" s="75"/>
      <c r="O229" s="75"/>
      <c r="P229" s="75"/>
    </row>
    <row r="230" spans="1:16" ht="15.75" customHeight="1">
      <c r="A230" s="71"/>
      <c r="B230" s="72"/>
      <c r="C230" s="73"/>
      <c r="D230" s="72"/>
      <c r="E230" s="73"/>
      <c r="F230" s="74"/>
      <c r="G230" s="72"/>
      <c r="H230" s="73"/>
      <c r="I230" s="75"/>
      <c r="J230" s="75"/>
      <c r="K230" s="75"/>
      <c r="L230" s="74"/>
      <c r="M230" s="76"/>
      <c r="N230" s="75"/>
      <c r="O230" s="75"/>
      <c r="P230" s="75"/>
    </row>
    <row r="231" spans="1:16" ht="15.75" customHeight="1">
      <c r="A231" s="71"/>
      <c r="B231" s="72"/>
      <c r="C231" s="73"/>
      <c r="D231" s="72"/>
      <c r="E231" s="73"/>
      <c r="F231" s="74"/>
      <c r="G231" s="72"/>
      <c r="H231" s="73"/>
      <c r="I231" s="75"/>
      <c r="J231" s="75"/>
      <c r="K231" s="75"/>
      <c r="L231" s="74"/>
      <c r="M231" s="76"/>
      <c r="N231" s="75"/>
      <c r="O231" s="75"/>
      <c r="P231" s="75"/>
    </row>
    <row r="232" spans="1:16" ht="15.75" customHeight="1">
      <c r="A232" s="71"/>
      <c r="B232" s="72"/>
      <c r="C232" s="73"/>
      <c r="D232" s="72"/>
      <c r="E232" s="73"/>
      <c r="F232" s="74"/>
      <c r="G232" s="72"/>
      <c r="H232" s="73"/>
      <c r="I232" s="75"/>
      <c r="J232" s="75"/>
      <c r="K232" s="75"/>
      <c r="L232" s="74"/>
      <c r="M232" s="76"/>
      <c r="N232" s="75"/>
      <c r="O232" s="75"/>
      <c r="P232" s="75"/>
    </row>
    <row r="233" spans="1:16" ht="15.75" customHeight="1">
      <c r="A233" s="71"/>
      <c r="B233" s="72"/>
      <c r="C233" s="73"/>
      <c r="D233" s="72"/>
      <c r="E233" s="73"/>
      <c r="F233" s="74"/>
      <c r="G233" s="72"/>
      <c r="H233" s="73"/>
      <c r="I233" s="75"/>
      <c r="J233" s="75"/>
      <c r="K233" s="75"/>
      <c r="L233" s="74"/>
      <c r="M233" s="76"/>
      <c r="N233" s="75"/>
      <c r="O233" s="75"/>
      <c r="P233" s="75"/>
    </row>
    <row r="234" spans="1:16" ht="15.75" customHeight="1">
      <c r="A234" s="71"/>
      <c r="B234" s="72"/>
      <c r="C234" s="73"/>
      <c r="D234" s="72"/>
      <c r="E234" s="73"/>
      <c r="F234" s="74"/>
      <c r="G234" s="72"/>
      <c r="H234" s="73"/>
      <c r="I234" s="75"/>
      <c r="J234" s="75"/>
      <c r="K234" s="75"/>
      <c r="L234" s="74"/>
      <c r="M234" s="76"/>
      <c r="N234" s="75"/>
      <c r="O234" s="75"/>
      <c r="P234" s="75"/>
    </row>
    <row r="235" spans="1:16" ht="15.75" customHeight="1">
      <c r="A235" s="71"/>
      <c r="B235" s="72"/>
      <c r="C235" s="73"/>
      <c r="D235" s="72"/>
      <c r="E235" s="73"/>
      <c r="F235" s="74"/>
      <c r="G235" s="72"/>
      <c r="H235" s="73"/>
      <c r="I235" s="75"/>
      <c r="J235" s="75"/>
      <c r="K235" s="75"/>
      <c r="L235" s="74"/>
      <c r="M235" s="76"/>
      <c r="N235" s="75"/>
      <c r="O235" s="75"/>
      <c r="P235" s="75"/>
    </row>
    <row r="236" spans="1:16" ht="15.75" customHeight="1">
      <c r="A236" s="71"/>
      <c r="B236" s="72"/>
      <c r="C236" s="73"/>
      <c r="D236" s="72"/>
      <c r="E236" s="73"/>
      <c r="F236" s="74"/>
      <c r="G236" s="72"/>
      <c r="H236" s="73"/>
      <c r="I236" s="75"/>
      <c r="J236" s="75"/>
      <c r="K236" s="75"/>
      <c r="L236" s="74"/>
      <c r="M236" s="76"/>
      <c r="N236" s="75"/>
      <c r="O236" s="75"/>
      <c r="P236" s="75"/>
    </row>
    <row r="237" spans="1:16" ht="15.75" customHeight="1">
      <c r="A237" s="71"/>
      <c r="B237" s="72"/>
      <c r="C237" s="73"/>
      <c r="D237" s="72"/>
      <c r="E237" s="73"/>
      <c r="F237" s="74"/>
      <c r="G237" s="72"/>
      <c r="H237" s="73"/>
      <c r="I237" s="75"/>
      <c r="J237" s="75"/>
      <c r="K237" s="75"/>
      <c r="L237" s="74"/>
      <c r="M237" s="76"/>
      <c r="N237" s="75"/>
      <c r="O237" s="75"/>
      <c r="P237" s="75"/>
    </row>
    <row r="238" spans="1:16" ht="15.75" customHeight="1">
      <c r="A238" s="71"/>
      <c r="B238" s="72"/>
      <c r="C238" s="73"/>
      <c r="D238" s="72"/>
      <c r="E238" s="73"/>
      <c r="F238" s="74"/>
      <c r="G238" s="72"/>
      <c r="H238" s="73"/>
      <c r="I238" s="75"/>
      <c r="J238" s="75"/>
      <c r="K238" s="75"/>
      <c r="L238" s="74"/>
      <c r="M238" s="76"/>
      <c r="N238" s="75"/>
      <c r="O238" s="75"/>
      <c r="P238" s="75"/>
    </row>
    <row r="239" spans="1:16" ht="15.75" customHeight="1">
      <c r="A239" s="71"/>
      <c r="B239" s="72"/>
      <c r="C239" s="73"/>
      <c r="D239" s="72"/>
      <c r="E239" s="73"/>
      <c r="F239" s="74"/>
      <c r="G239" s="72"/>
      <c r="H239" s="73"/>
      <c r="I239" s="75"/>
      <c r="J239" s="75"/>
      <c r="K239" s="75"/>
      <c r="L239" s="74"/>
      <c r="M239" s="76"/>
      <c r="N239" s="75"/>
      <c r="O239" s="75"/>
      <c r="P239" s="75"/>
    </row>
    <row r="240" spans="1:16" ht="15.75" customHeight="1">
      <c r="A240" s="71"/>
      <c r="B240" s="72"/>
      <c r="C240" s="73"/>
      <c r="D240" s="72"/>
      <c r="E240" s="73"/>
      <c r="F240" s="74"/>
      <c r="G240" s="72"/>
      <c r="H240" s="73"/>
      <c r="I240" s="75"/>
      <c r="J240" s="75"/>
      <c r="K240" s="75"/>
      <c r="L240" s="74"/>
      <c r="M240" s="76"/>
      <c r="N240" s="75"/>
      <c r="O240" s="75"/>
      <c r="P240" s="75"/>
    </row>
    <row r="241" spans="1:16" ht="15.75" customHeight="1">
      <c r="A241" s="71"/>
      <c r="B241" s="72"/>
      <c r="C241" s="73"/>
      <c r="D241" s="72"/>
      <c r="E241" s="73"/>
      <c r="F241" s="74"/>
      <c r="G241" s="72"/>
      <c r="H241" s="73"/>
      <c r="I241" s="75"/>
      <c r="J241" s="75"/>
      <c r="K241" s="75"/>
      <c r="L241" s="74"/>
      <c r="M241" s="76"/>
      <c r="N241" s="75"/>
      <c r="O241" s="75"/>
      <c r="P241" s="75"/>
    </row>
    <row r="242" spans="1:16" ht="15.75" customHeight="1">
      <c r="A242" s="71"/>
      <c r="B242" s="72"/>
      <c r="C242" s="73"/>
      <c r="D242" s="72"/>
      <c r="E242" s="73"/>
      <c r="F242" s="74"/>
      <c r="G242" s="72"/>
      <c r="H242" s="73"/>
      <c r="I242" s="75"/>
      <c r="J242" s="75"/>
      <c r="K242" s="75"/>
      <c r="L242" s="74"/>
      <c r="M242" s="76"/>
      <c r="N242" s="75"/>
      <c r="O242" s="75"/>
      <c r="P242" s="75"/>
    </row>
    <row r="243" spans="1:16" ht="15.75" customHeight="1">
      <c r="A243" s="71"/>
      <c r="B243" s="72"/>
      <c r="C243" s="73"/>
      <c r="D243" s="72"/>
      <c r="E243" s="73"/>
      <c r="F243" s="74"/>
      <c r="G243" s="72"/>
      <c r="H243" s="73"/>
      <c r="I243" s="75"/>
      <c r="J243" s="75"/>
      <c r="K243" s="75"/>
      <c r="L243" s="74"/>
      <c r="M243" s="76"/>
      <c r="N243" s="75"/>
      <c r="O243" s="75"/>
      <c r="P243" s="75"/>
    </row>
    <row r="244" spans="1:16" ht="15.75" customHeight="1">
      <c r="A244" s="71"/>
      <c r="B244" s="72"/>
      <c r="C244" s="73"/>
      <c r="D244" s="72"/>
      <c r="E244" s="73"/>
      <c r="F244" s="74"/>
      <c r="G244" s="72"/>
      <c r="H244" s="73"/>
      <c r="I244" s="75"/>
      <c r="J244" s="75"/>
      <c r="K244" s="75"/>
      <c r="L244" s="74"/>
      <c r="M244" s="76"/>
      <c r="N244" s="75"/>
      <c r="O244" s="75"/>
      <c r="P244" s="75"/>
    </row>
    <row r="245" spans="1:16" ht="15.75" customHeight="1">
      <c r="A245" s="71"/>
      <c r="B245" s="72"/>
      <c r="C245" s="73"/>
      <c r="D245" s="72"/>
      <c r="E245" s="73"/>
      <c r="F245" s="74"/>
      <c r="G245" s="72"/>
      <c r="H245" s="73"/>
      <c r="I245" s="75"/>
      <c r="J245" s="75"/>
      <c r="K245" s="75"/>
      <c r="L245" s="74"/>
      <c r="M245" s="76"/>
      <c r="N245" s="75"/>
      <c r="O245" s="75"/>
      <c r="P245" s="75"/>
    </row>
    <row r="246" spans="1:16" ht="15.75" customHeight="1">
      <c r="A246" s="71"/>
      <c r="B246" s="72"/>
      <c r="C246" s="73"/>
      <c r="D246" s="72"/>
      <c r="E246" s="73"/>
      <c r="F246" s="74"/>
      <c r="G246" s="72"/>
      <c r="H246" s="73"/>
      <c r="I246" s="75"/>
      <c r="J246" s="75"/>
      <c r="K246" s="75"/>
      <c r="L246" s="74"/>
      <c r="M246" s="76"/>
      <c r="N246" s="75"/>
      <c r="O246" s="75"/>
      <c r="P246" s="75"/>
    </row>
    <row r="247" spans="1:16" ht="15.75" customHeight="1">
      <c r="A247" s="71"/>
      <c r="B247" s="72"/>
      <c r="C247" s="73"/>
      <c r="D247" s="72"/>
      <c r="E247" s="73"/>
      <c r="F247" s="74"/>
      <c r="G247" s="72"/>
      <c r="H247" s="73"/>
      <c r="I247" s="75"/>
      <c r="J247" s="75"/>
      <c r="K247" s="75"/>
      <c r="L247" s="74"/>
      <c r="M247" s="76"/>
      <c r="N247" s="75"/>
      <c r="O247" s="75"/>
      <c r="P247" s="75"/>
    </row>
    <row r="248" spans="1:16" ht="15.75" customHeight="1">
      <c r="A248" s="71"/>
      <c r="B248" s="72"/>
      <c r="C248" s="73"/>
      <c r="D248" s="72"/>
      <c r="E248" s="73"/>
      <c r="F248" s="74"/>
      <c r="G248" s="72"/>
      <c r="H248" s="73"/>
      <c r="I248" s="75"/>
      <c r="J248" s="75"/>
      <c r="K248" s="75"/>
      <c r="L248" s="74"/>
      <c r="M248" s="76"/>
      <c r="N248" s="75"/>
      <c r="O248" s="75"/>
      <c r="P248" s="75"/>
    </row>
    <row r="249" spans="1:16" ht="15.75" customHeight="1">
      <c r="A249" s="71"/>
      <c r="B249" s="72"/>
      <c r="C249" s="73"/>
      <c r="D249" s="72"/>
      <c r="E249" s="73"/>
      <c r="F249" s="74"/>
      <c r="G249" s="72"/>
      <c r="H249" s="73"/>
      <c r="I249" s="75"/>
      <c r="J249" s="75"/>
      <c r="K249" s="75"/>
      <c r="L249" s="74"/>
      <c r="M249" s="76"/>
      <c r="N249" s="75"/>
      <c r="O249" s="75"/>
      <c r="P249" s="75"/>
    </row>
    <row r="250" spans="1:16" ht="15.75" customHeight="1">
      <c r="A250" s="71"/>
      <c r="B250" s="72"/>
      <c r="C250" s="73"/>
      <c r="D250" s="72"/>
      <c r="E250" s="73"/>
      <c r="F250" s="74"/>
      <c r="G250" s="72"/>
      <c r="H250" s="73"/>
      <c r="I250" s="75"/>
      <c r="J250" s="75"/>
      <c r="K250" s="75"/>
      <c r="L250" s="74"/>
      <c r="M250" s="76"/>
      <c r="N250" s="75"/>
      <c r="O250" s="75"/>
      <c r="P250" s="75"/>
    </row>
    <row r="251" spans="1:16" ht="15.75" customHeight="1">
      <c r="A251" s="71"/>
      <c r="B251" s="72"/>
      <c r="C251" s="73"/>
      <c r="D251" s="72"/>
      <c r="E251" s="73"/>
      <c r="F251" s="74"/>
      <c r="G251" s="72"/>
      <c r="H251" s="73"/>
      <c r="I251" s="75"/>
      <c r="J251" s="75"/>
      <c r="K251" s="75"/>
      <c r="L251" s="74"/>
      <c r="M251" s="76"/>
      <c r="N251" s="75"/>
      <c r="O251" s="75"/>
      <c r="P251" s="75"/>
    </row>
    <row r="252" spans="1:16" ht="15.75" customHeight="1">
      <c r="A252" s="71"/>
      <c r="B252" s="72"/>
      <c r="C252" s="73"/>
      <c r="D252" s="72"/>
      <c r="E252" s="73"/>
      <c r="F252" s="74"/>
      <c r="G252" s="72"/>
      <c r="H252" s="73"/>
      <c r="I252" s="75"/>
      <c r="J252" s="75"/>
      <c r="K252" s="75"/>
      <c r="L252" s="74"/>
      <c r="M252" s="76"/>
      <c r="N252" s="75"/>
      <c r="O252" s="75"/>
      <c r="P252" s="75"/>
    </row>
    <row r="253" spans="1:16" ht="15.75" customHeight="1">
      <c r="A253" s="71"/>
      <c r="B253" s="72"/>
      <c r="C253" s="73"/>
      <c r="D253" s="72"/>
      <c r="E253" s="73"/>
      <c r="F253" s="74"/>
      <c r="G253" s="72"/>
      <c r="H253" s="73"/>
      <c r="I253" s="75"/>
      <c r="J253" s="75"/>
      <c r="K253" s="75"/>
      <c r="L253" s="74"/>
      <c r="M253" s="76"/>
      <c r="N253" s="75"/>
      <c r="O253" s="75"/>
      <c r="P253" s="75"/>
    </row>
    <row r="254" spans="1:16" ht="15.75" customHeight="1">
      <c r="A254" s="71"/>
      <c r="B254" s="72"/>
      <c r="C254" s="73"/>
      <c r="D254" s="72"/>
      <c r="E254" s="73"/>
      <c r="F254" s="74"/>
      <c r="G254" s="72"/>
      <c r="H254" s="73"/>
      <c r="I254" s="75"/>
      <c r="J254" s="75"/>
      <c r="K254" s="75"/>
      <c r="L254" s="74"/>
      <c r="M254" s="76"/>
      <c r="N254" s="75"/>
      <c r="O254" s="75"/>
      <c r="P254" s="75"/>
    </row>
    <row r="255" spans="1:16" ht="15.75" customHeight="1">
      <c r="A255" s="71"/>
      <c r="B255" s="72"/>
      <c r="C255" s="73"/>
      <c r="D255" s="72"/>
      <c r="E255" s="73"/>
      <c r="F255" s="74"/>
      <c r="G255" s="72"/>
      <c r="H255" s="73"/>
      <c r="I255" s="75"/>
      <c r="J255" s="75"/>
      <c r="K255" s="75"/>
      <c r="L255" s="74"/>
      <c r="M255" s="76"/>
      <c r="N255" s="75"/>
      <c r="O255" s="75"/>
      <c r="P255" s="75"/>
    </row>
    <row r="256" spans="1:16" ht="15.75" customHeight="1">
      <c r="A256" s="71"/>
      <c r="B256" s="72"/>
      <c r="C256" s="73"/>
      <c r="D256" s="72"/>
      <c r="E256" s="73"/>
      <c r="F256" s="74"/>
      <c r="G256" s="72"/>
      <c r="H256" s="73"/>
      <c r="I256" s="75"/>
      <c r="J256" s="75"/>
      <c r="K256" s="75"/>
      <c r="L256" s="74"/>
      <c r="M256" s="76"/>
      <c r="N256" s="75"/>
      <c r="O256" s="75"/>
      <c r="P256" s="75"/>
    </row>
    <row r="257" spans="1:16" ht="15.75" customHeight="1">
      <c r="A257" s="71"/>
      <c r="B257" s="72"/>
      <c r="C257" s="73"/>
      <c r="D257" s="72"/>
      <c r="E257" s="73"/>
      <c r="F257" s="74"/>
      <c r="G257" s="72"/>
      <c r="H257" s="73"/>
      <c r="I257" s="75"/>
      <c r="J257" s="75"/>
      <c r="K257" s="75"/>
      <c r="L257" s="74"/>
      <c r="M257" s="76"/>
      <c r="N257" s="75"/>
      <c r="O257" s="75"/>
      <c r="P257" s="75"/>
    </row>
    <row r="258" spans="1:16" ht="15.75" customHeight="1">
      <c r="A258" s="71"/>
      <c r="B258" s="72"/>
      <c r="C258" s="73"/>
      <c r="D258" s="72"/>
      <c r="E258" s="73"/>
      <c r="F258" s="74"/>
      <c r="G258" s="72"/>
      <c r="H258" s="73"/>
      <c r="I258" s="75"/>
      <c r="J258" s="75"/>
      <c r="K258" s="75"/>
      <c r="L258" s="74"/>
      <c r="M258" s="76"/>
      <c r="N258" s="75"/>
      <c r="O258" s="75"/>
      <c r="P258" s="75"/>
    </row>
    <row r="259" spans="1:16" ht="15.75" customHeight="1">
      <c r="A259" s="71"/>
      <c r="B259" s="72"/>
      <c r="C259" s="73"/>
      <c r="D259" s="72"/>
      <c r="E259" s="73"/>
      <c r="F259" s="74"/>
      <c r="G259" s="72"/>
      <c r="H259" s="73"/>
      <c r="I259" s="75"/>
      <c r="J259" s="75"/>
      <c r="K259" s="75"/>
      <c r="L259" s="74"/>
      <c r="M259" s="76"/>
      <c r="N259" s="75"/>
      <c r="O259" s="75"/>
      <c r="P259" s="75"/>
    </row>
    <row r="260" spans="1:16" ht="15.75" customHeight="1">
      <c r="A260" s="71"/>
      <c r="B260" s="72"/>
      <c r="C260" s="73"/>
      <c r="D260" s="72"/>
      <c r="E260" s="73"/>
      <c r="F260" s="74"/>
      <c r="G260" s="72"/>
      <c r="H260" s="73"/>
      <c r="I260" s="75"/>
      <c r="J260" s="75"/>
      <c r="K260" s="75"/>
      <c r="L260" s="74"/>
      <c r="M260" s="76"/>
      <c r="N260" s="75"/>
      <c r="O260" s="75"/>
      <c r="P260" s="75"/>
    </row>
    <row r="261" spans="1:16" ht="15.75" customHeight="1">
      <c r="A261" s="71"/>
      <c r="B261" s="72"/>
      <c r="C261" s="73"/>
      <c r="D261" s="72"/>
      <c r="E261" s="73"/>
      <c r="F261" s="74"/>
      <c r="G261" s="72"/>
      <c r="H261" s="73"/>
      <c r="I261" s="75"/>
      <c r="J261" s="75"/>
      <c r="K261" s="75"/>
      <c r="L261" s="74"/>
      <c r="M261" s="76"/>
      <c r="N261" s="75"/>
      <c r="O261" s="75"/>
      <c r="P261" s="75"/>
    </row>
    <row r="262" spans="1:16" ht="15.75" customHeight="1">
      <c r="A262" s="71"/>
      <c r="B262" s="72"/>
      <c r="C262" s="73"/>
      <c r="D262" s="72"/>
      <c r="E262" s="73"/>
      <c r="F262" s="74"/>
      <c r="G262" s="72"/>
      <c r="H262" s="73"/>
      <c r="I262" s="75"/>
      <c r="J262" s="75"/>
      <c r="K262" s="75"/>
      <c r="L262" s="74"/>
      <c r="M262" s="76"/>
      <c r="N262" s="75"/>
      <c r="O262" s="75"/>
      <c r="P262" s="75"/>
    </row>
    <row r="263" spans="1:16" ht="15.75" customHeight="1">
      <c r="A263" s="71"/>
      <c r="B263" s="72"/>
      <c r="C263" s="73"/>
      <c r="D263" s="72"/>
      <c r="E263" s="73"/>
      <c r="F263" s="74"/>
      <c r="G263" s="72"/>
      <c r="H263" s="73"/>
      <c r="I263" s="75"/>
      <c r="J263" s="75"/>
      <c r="K263" s="75"/>
      <c r="L263" s="74"/>
      <c r="M263" s="76"/>
      <c r="N263" s="75"/>
      <c r="O263" s="75"/>
      <c r="P263" s="75"/>
    </row>
    <row r="264" spans="1:16" ht="15.75" customHeight="1">
      <c r="A264" s="71"/>
      <c r="B264" s="72"/>
      <c r="C264" s="73"/>
      <c r="D264" s="72"/>
      <c r="E264" s="73"/>
      <c r="F264" s="74"/>
      <c r="G264" s="72"/>
      <c r="H264" s="73"/>
      <c r="I264" s="75"/>
      <c r="J264" s="75"/>
      <c r="K264" s="75"/>
      <c r="L264" s="74"/>
      <c r="M264" s="76"/>
      <c r="N264" s="75"/>
      <c r="O264" s="75"/>
      <c r="P264" s="75"/>
    </row>
    <row r="265" spans="1:16" ht="15.75" customHeight="1">
      <c r="A265" s="71"/>
      <c r="B265" s="72"/>
      <c r="C265" s="73"/>
      <c r="D265" s="72"/>
      <c r="E265" s="73"/>
      <c r="F265" s="74"/>
      <c r="G265" s="72"/>
      <c r="H265" s="73"/>
      <c r="I265" s="75"/>
      <c r="J265" s="75"/>
      <c r="K265" s="75"/>
      <c r="L265" s="74"/>
      <c r="M265" s="76"/>
      <c r="N265" s="75"/>
      <c r="O265" s="75"/>
      <c r="P265" s="75"/>
    </row>
    <row r="266" spans="1:16" ht="15.75" customHeight="1">
      <c r="A266" s="71"/>
      <c r="B266" s="72"/>
      <c r="C266" s="73"/>
      <c r="D266" s="72"/>
      <c r="E266" s="73"/>
      <c r="F266" s="74"/>
      <c r="G266" s="72"/>
      <c r="H266" s="73"/>
      <c r="I266" s="75"/>
      <c r="J266" s="75"/>
      <c r="K266" s="75"/>
      <c r="L266" s="74"/>
      <c r="M266" s="76"/>
      <c r="N266" s="75"/>
      <c r="O266" s="75"/>
      <c r="P266" s="75"/>
    </row>
    <row r="267" spans="1:16" ht="15.75" customHeight="1">
      <c r="A267" s="71"/>
      <c r="B267" s="72"/>
      <c r="C267" s="73"/>
      <c r="D267" s="72"/>
      <c r="E267" s="73"/>
      <c r="F267" s="74"/>
      <c r="G267" s="72"/>
      <c r="H267" s="73"/>
      <c r="I267" s="75"/>
      <c r="J267" s="75"/>
      <c r="K267" s="75"/>
      <c r="L267" s="74"/>
      <c r="M267" s="76"/>
      <c r="N267" s="75"/>
      <c r="O267" s="75"/>
      <c r="P267" s="75"/>
    </row>
    <row r="268" spans="1:16" ht="15.75" customHeight="1">
      <c r="A268" s="71"/>
      <c r="B268" s="72"/>
      <c r="C268" s="73"/>
      <c r="D268" s="72"/>
      <c r="E268" s="73"/>
      <c r="F268" s="74"/>
      <c r="G268" s="72"/>
      <c r="H268" s="73"/>
      <c r="I268" s="75"/>
      <c r="J268" s="75"/>
      <c r="K268" s="75"/>
      <c r="L268" s="74"/>
      <c r="M268" s="76"/>
      <c r="N268" s="75"/>
      <c r="O268" s="75"/>
      <c r="P268" s="75"/>
    </row>
    <row r="269" spans="1:16" ht="15.75" customHeight="1">
      <c r="A269" s="71"/>
      <c r="B269" s="72"/>
      <c r="C269" s="73"/>
      <c r="D269" s="72"/>
      <c r="E269" s="73"/>
      <c r="F269" s="74"/>
      <c r="G269" s="72"/>
      <c r="H269" s="73"/>
      <c r="I269" s="75"/>
      <c r="J269" s="75"/>
      <c r="K269" s="75"/>
      <c r="L269" s="74"/>
      <c r="M269" s="76"/>
      <c r="N269" s="75"/>
      <c r="O269" s="75"/>
      <c r="P269" s="75"/>
    </row>
    <row r="270" spans="1:16" ht="15.75" customHeight="1">
      <c r="A270" s="71"/>
      <c r="B270" s="72"/>
      <c r="C270" s="73"/>
      <c r="D270" s="72"/>
      <c r="E270" s="73"/>
      <c r="F270" s="74"/>
      <c r="G270" s="72"/>
      <c r="H270" s="73"/>
      <c r="I270" s="75"/>
      <c r="J270" s="75"/>
      <c r="K270" s="75"/>
      <c r="L270" s="74"/>
      <c r="M270" s="76"/>
      <c r="N270" s="75"/>
      <c r="O270" s="75"/>
      <c r="P270" s="75"/>
    </row>
    <row r="271" spans="1:16" ht="15.75" customHeight="1">
      <c r="A271" s="71"/>
      <c r="B271" s="72"/>
      <c r="C271" s="73"/>
      <c r="D271" s="72"/>
      <c r="E271" s="73"/>
      <c r="F271" s="74"/>
      <c r="G271" s="72"/>
      <c r="H271" s="73"/>
      <c r="I271" s="75"/>
      <c r="J271" s="75"/>
      <c r="K271" s="75"/>
      <c r="L271" s="74"/>
      <c r="M271" s="76"/>
      <c r="N271" s="75"/>
      <c r="O271" s="75"/>
      <c r="P271" s="75"/>
    </row>
    <row r="272" spans="1:16" ht="15.75" customHeight="1">
      <c r="A272" s="71"/>
      <c r="B272" s="72"/>
      <c r="C272" s="73"/>
      <c r="D272" s="72"/>
      <c r="E272" s="73"/>
      <c r="F272" s="74"/>
      <c r="G272" s="72"/>
      <c r="H272" s="73"/>
      <c r="I272" s="75"/>
      <c r="J272" s="75"/>
      <c r="K272" s="75"/>
      <c r="L272" s="74"/>
      <c r="M272" s="76"/>
      <c r="N272" s="75"/>
      <c r="O272" s="75"/>
      <c r="P272" s="75"/>
    </row>
    <row r="273" spans="1:16" ht="15.75" customHeight="1">
      <c r="A273" s="71"/>
      <c r="B273" s="72"/>
      <c r="C273" s="73"/>
      <c r="D273" s="72"/>
      <c r="E273" s="73"/>
      <c r="F273" s="74"/>
      <c r="G273" s="72"/>
      <c r="H273" s="73"/>
      <c r="I273" s="75"/>
      <c r="J273" s="75"/>
      <c r="K273" s="75"/>
      <c r="L273" s="74"/>
      <c r="M273" s="76"/>
      <c r="N273" s="75"/>
      <c r="O273" s="75"/>
      <c r="P273" s="75"/>
    </row>
    <row r="274" spans="1:16" ht="15.75" customHeight="1">
      <c r="A274" s="71"/>
      <c r="B274" s="72"/>
      <c r="C274" s="73"/>
      <c r="D274" s="72"/>
      <c r="E274" s="73"/>
      <c r="F274" s="74"/>
      <c r="G274" s="72"/>
      <c r="H274" s="73"/>
      <c r="I274" s="75"/>
      <c r="J274" s="75"/>
      <c r="K274" s="75"/>
      <c r="L274" s="74"/>
      <c r="M274" s="76"/>
      <c r="N274" s="75"/>
      <c r="O274" s="75"/>
      <c r="P274" s="75"/>
    </row>
    <row r="275" spans="1:16" ht="15.75" customHeight="1">
      <c r="A275" s="71"/>
      <c r="B275" s="72"/>
      <c r="C275" s="73"/>
      <c r="D275" s="72"/>
      <c r="E275" s="73"/>
      <c r="F275" s="74"/>
      <c r="G275" s="72"/>
      <c r="H275" s="73"/>
      <c r="I275" s="75"/>
      <c r="J275" s="75"/>
      <c r="K275" s="75"/>
      <c r="L275" s="74"/>
      <c r="M275" s="76"/>
      <c r="N275" s="75"/>
      <c r="O275" s="75"/>
      <c r="P275" s="75"/>
    </row>
    <row r="276" spans="1:16" ht="15.75" customHeight="1">
      <c r="A276" s="71"/>
      <c r="B276" s="72"/>
      <c r="C276" s="73"/>
      <c r="D276" s="72"/>
      <c r="E276" s="73"/>
      <c r="F276" s="74"/>
      <c r="G276" s="72"/>
      <c r="H276" s="73"/>
      <c r="I276" s="75"/>
      <c r="J276" s="75"/>
      <c r="K276" s="75"/>
      <c r="L276" s="74"/>
      <c r="M276" s="76"/>
      <c r="N276" s="75"/>
      <c r="O276" s="75"/>
      <c r="P276" s="75"/>
    </row>
    <row r="277" spans="1:16" ht="15.75" customHeight="1">
      <c r="A277" s="71"/>
      <c r="B277" s="72"/>
      <c r="C277" s="73"/>
      <c r="D277" s="72"/>
      <c r="E277" s="73"/>
      <c r="F277" s="74"/>
      <c r="G277" s="72"/>
      <c r="H277" s="73"/>
      <c r="I277" s="75"/>
      <c r="J277" s="75"/>
      <c r="K277" s="75"/>
      <c r="L277" s="74"/>
      <c r="M277" s="76"/>
      <c r="N277" s="75"/>
      <c r="O277" s="75"/>
      <c r="P277" s="75"/>
    </row>
    <row r="278" spans="1:16" ht="15.75" customHeight="1">
      <c r="A278" s="71"/>
      <c r="B278" s="72"/>
      <c r="C278" s="73"/>
      <c r="D278" s="72"/>
      <c r="E278" s="73"/>
      <c r="F278" s="74"/>
      <c r="G278" s="72"/>
      <c r="H278" s="73"/>
      <c r="I278" s="75"/>
      <c r="J278" s="75"/>
      <c r="K278" s="75"/>
      <c r="L278" s="74"/>
      <c r="M278" s="76"/>
      <c r="N278" s="75"/>
      <c r="O278" s="75"/>
      <c r="P278" s="75"/>
    </row>
    <row r="279" spans="1:16" ht="15.75" customHeight="1">
      <c r="A279" s="71"/>
      <c r="B279" s="72"/>
      <c r="C279" s="73"/>
      <c r="D279" s="72"/>
      <c r="E279" s="73"/>
      <c r="F279" s="74"/>
      <c r="G279" s="72"/>
      <c r="H279" s="73"/>
      <c r="I279" s="75"/>
      <c r="J279" s="75"/>
      <c r="K279" s="75"/>
      <c r="L279" s="74"/>
      <c r="M279" s="76"/>
      <c r="N279" s="75"/>
      <c r="O279" s="75"/>
      <c r="P279" s="75"/>
    </row>
    <row r="280" spans="1:16" ht="15.75" customHeight="1">
      <c r="A280" s="71"/>
      <c r="B280" s="72"/>
      <c r="C280" s="73"/>
      <c r="D280" s="72"/>
      <c r="E280" s="73"/>
      <c r="F280" s="74"/>
      <c r="G280" s="72"/>
      <c r="H280" s="73"/>
      <c r="I280" s="75"/>
      <c r="J280" s="75"/>
      <c r="K280" s="75"/>
      <c r="L280" s="74"/>
      <c r="M280" s="76"/>
      <c r="N280" s="75"/>
      <c r="O280" s="75"/>
      <c r="P280" s="75"/>
    </row>
    <row r="281" spans="1:16" ht="15.75" customHeight="1">
      <c r="A281" s="71"/>
      <c r="B281" s="72"/>
      <c r="C281" s="73"/>
      <c r="D281" s="72"/>
      <c r="E281" s="73"/>
      <c r="F281" s="74"/>
      <c r="G281" s="72"/>
      <c r="H281" s="73"/>
      <c r="I281" s="75"/>
      <c r="J281" s="75"/>
      <c r="K281" s="75"/>
      <c r="L281" s="74"/>
      <c r="M281" s="76"/>
      <c r="N281" s="75"/>
      <c r="O281" s="75"/>
      <c r="P281" s="75"/>
    </row>
    <row r="282" spans="1:16" ht="15.75" customHeight="1">
      <c r="A282" s="71"/>
      <c r="B282" s="72"/>
      <c r="C282" s="73"/>
      <c r="D282" s="72"/>
      <c r="E282" s="73"/>
      <c r="F282" s="74"/>
      <c r="G282" s="72"/>
      <c r="H282" s="73"/>
      <c r="I282" s="75"/>
      <c r="J282" s="75"/>
      <c r="K282" s="75"/>
      <c r="L282" s="74"/>
      <c r="M282" s="76"/>
      <c r="N282" s="75"/>
      <c r="O282" s="75"/>
      <c r="P282" s="75"/>
    </row>
    <row r="283" spans="1:16" ht="15.75" customHeight="1">
      <c r="A283" s="71"/>
      <c r="B283" s="72"/>
      <c r="C283" s="73"/>
      <c r="D283" s="72"/>
      <c r="E283" s="73"/>
      <c r="F283" s="74"/>
      <c r="G283" s="72"/>
      <c r="H283" s="73"/>
      <c r="I283" s="75"/>
      <c r="J283" s="75"/>
      <c r="K283" s="75"/>
      <c r="L283" s="74"/>
      <c r="M283" s="76"/>
      <c r="N283" s="75"/>
      <c r="O283" s="75"/>
      <c r="P283" s="75"/>
    </row>
    <row r="284" spans="1:16" ht="15.75" customHeight="1">
      <c r="A284" s="71"/>
      <c r="B284" s="72"/>
      <c r="C284" s="73"/>
      <c r="D284" s="72"/>
      <c r="E284" s="73"/>
      <c r="F284" s="74"/>
      <c r="G284" s="72"/>
      <c r="H284" s="73"/>
      <c r="I284" s="75"/>
      <c r="J284" s="75"/>
      <c r="K284" s="75"/>
      <c r="L284" s="74"/>
      <c r="M284" s="76"/>
      <c r="N284" s="75"/>
      <c r="O284" s="75"/>
      <c r="P284" s="75"/>
    </row>
    <row r="285" spans="1:16" ht="15.75" customHeight="1">
      <c r="A285" s="71"/>
      <c r="B285" s="72"/>
      <c r="C285" s="73"/>
      <c r="D285" s="72"/>
      <c r="E285" s="73"/>
      <c r="F285" s="74"/>
      <c r="G285" s="72"/>
      <c r="H285" s="73"/>
      <c r="I285" s="75"/>
      <c r="J285" s="75"/>
      <c r="K285" s="75"/>
      <c r="L285" s="74"/>
      <c r="M285" s="76"/>
      <c r="N285" s="75"/>
      <c r="O285" s="75"/>
      <c r="P285" s="75"/>
    </row>
    <row r="286" spans="1:16" ht="15.75" customHeight="1">
      <c r="A286" s="71"/>
      <c r="B286" s="72"/>
      <c r="C286" s="73"/>
      <c r="D286" s="72"/>
      <c r="E286" s="73"/>
      <c r="F286" s="74"/>
      <c r="G286" s="72"/>
      <c r="H286" s="73"/>
      <c r="I286" s="75"/>
      <c r="J286" s="75"/>
      <c r="K286" s="75"/>
      <c r="L286" s="74"/>
      <c r="M286" s="76"/>
      <c r="N286" s="75"/>
      <c r="O286" s="75"/>
      <c r="P286" s="75"/>
    </row>
    <row r="287" spans="1:16" ht="15.75" customHeight="1">
      <c r="A287" s="71"/>
      <c r="B287" s="72"/>
      <c r="C287" s="73"/>
      <c r="D287" s="72"/>
      <c r="E287" s="73"/>
      <c r="F287" s="74"/>
      <c r="G287" s="72"/>
      <c r="H287" s="73"/>
      <c r="I287" s="75"/>
      <c r="J287" s="75"/>
      <c r="K287" s="75"/>
      <c r="L287" s="74"/>
      <c r="M287" s="76"/>
      <c r="N287" s="75"/>
      <c r="O287" s="75"/>
      <c r="P287" s="75"/>
    </row>
    <row r="288" spans="1:16" ht="15.75" customHeight="1">
      <c r="A288" s="71"/>
      <c r="B288" s="72"/>
      <c r="C288" s="73"/>
      <c r="D288" s="72"/>
      <c r="E288" s="73"/>
      <c r="F288" s="74"/>
      <c r="G288" s="72"/>
      <c r="H288" s="73"/>
      <c r="I288" s="75"/>
      <c r="J288" s="75"/>
      <c r="K288" s="75"/>
      <c r="L288" s="74"/>
      <c r="M288" s="76"/>
      <c r="N288" s="75"/>
      <c r="O288" s="75"/>
      <c r="P288" s="75"/>
    </row>
    <row r="289" spans="1:16" ht="15.75" customHeight="1">
      <c r="A289" s="71"/>
      <c r="B289" s="72"/>
      <c r="C289" s="73"/>
      <c r="D289" s="72"/>
      <c r="E289" s="73"/>
      <c r="F289" s="74"/>
      <c r="G289" s="72"/>
      <c r="H289" s="73"/>
      <c r="I289" s="75"/>
      <c r="J289" s="75"/>
      <c r="K289" s="75"/>
      <c r="L289" s="74"/>
      <c r="M289" s="76"/>
      <c r="N289" s="75"/>
      <c r="O289" s="75"/>
      <c r="P289" s="75"/>
    </row>
    <row r="290" spans="1:16" ht="15.75" customHeight="1">
      <c r="A290" s="71"/>
      <c r="B290" s="72"/>
      <c r="C290" s="73"/>
      <c r="D290" s="72"/>
      <c r="E290" s="73"/>
      <c r="F290" s="74"/>
      <c r="G290" s="72"/>
      <c r="H290" s="73"/>
      <c r="I290" s="75"/>
      <c r="J290" s="75"/>
      <c r="K290" s="75"/>
      <c r="L290" s="74"/>
      <c r="M290" s="76"/>
      <c r="N290" s="75"/>
      <c r="O290" s="75"/>
      <c r="P290" s="75"/>
    </row>
    <row r="291" spans="1:16" ht="15.75" customHeight="1">
      <c r="A291" s="71"/>
      <c r="B291" s="72"/>
      <c r="C291" s="73"/>
      <c r="D291" s="72"/>
      <c r="E291" s="73"/>
      <c r="F291" s="74"/>
      <c r="G291" s="72"/>
      <c r="H291" s="73"/>
      <c r="I291" s="75"/>
      <c r="J291" s="75"/>
      <c r="K291" s="75"/>
      <c r="L291" s="74"/>
      <c r="M291" s="76"/>
      <c r="N291" s="75"/>
      <c r="O291" s="75"/>
      <c r="P291" s="75"/>
    </row>
    <row r="292" spans="1:16" ht="15.75" customHeight="1">
      <c r="A292" s="71"/>
      <c r="B292" s="72"/>
      <c r="C292" s="73"/>
      <c r="D292" s="72"/>
      <c r="E292" s="73"/>
      <c r="F292" s="74"/>
      <c r="G292" s="72"/>
      <c r="H292" s="73"/>
      <c r="I292" s="75"/>
      <c r="J292" s="75"/>
      <c r="K292" s="75"/>
      <c r="L292" s="74"/>
      <c r="M292" s="76"/>
      <c r="N292" s="75"/>
      <c r="O292" s="75"/>
      <c r="P292" s="75"/>
    </row>
    <row r="293" spans="1:16" ht="15.75" customHeight="1">
      <c r="A293" s="71"/>
      <c r="B293" s="72"/>
      <c r="C293" s="73"/>
      <c r="D293" s="72"/>
      <c r="E293" s="73"/>
      <c r="F293" s="74"/>
      <c r="G293" s="72"/>
      <c r="H293" s="73"/>
      <c r="I293" s="75"/>
      <c r="J293" s="75"/>
      <c r="K293" s="75"/>
      <c r="L293" s="74"/>
      <c r="M293" s="76"/>
      <c r="N293" s="75"/>
      <c r="O293" s="75"/>
      <c r="P293" s="75"/>
    </row>
    <row r="294" spans="1:16" ht="15.75" customHeight="1">
      <c r="A294" s="71"/>
      <c r="B294" s="72"/>
      <c r="C294" s="73"/>
      <c r="D294" s="72"/>
      <c r="E294" s="73"/>
      <c r="F294" s="74"/>
      <c r="G294" s="72"/>
      <c r="H294" s="73"/>
      <c r="I294" s="75"/>
      <c r="J294" s="75"/>
      <c r="K294" s="75"/>
      <c r="L294" s="74"/>
      <c r="M294" s="76"/>
      <c r="N294" s="75"/>
      <c r="O294" s="75"/>
      <c r="P294" s="75"/>
    </row>
    <row r="295" spans="1:16" ht="15.75" customHeight="1">
      <c r="A295" s="71"/>
      <c r="B295" s="72"/>
      <c r="C295" s="73"/>
      <c r="D295" s="72"/>
      <c r="E295" s="73"/>
      <c r="F295" s="74"/>
      <c r="G295" s="72"/>
      <c r="H295" s="73"/>
      <c r="I295" s="75"/>
      <c r="J295" s="75"/>
      <c r="K295" s="75"/>
      <c r="L295" s="74"/>
      <c r="M295" s="76"/>
      <c r="N295" s="75"/>
      <c r="O295" s="75"/>
      <c r="P295" s="75"/>
    </row>
    <row r="296" spans="1:16" ht="15.75" customHeight="1">
      <c r="A296" s="71"/>
      <c r="B296" s="72"/>
      <c r="C296" s="73"/>
      <c r="D296" s="72"/>
      <c r="E296" s="73"/>
      <c r="F296" s="74"/>
      <c r="G296" s="72"/>
      <c r="H296" s="73"/>
      <c r="I296" s="75"/>
      <c r="J296" s="75"/>
      <c r="K296" s="75"/>
      <c r="L296" s="74"/>
      <c r="M296" s="76"/>
      <c r="N296" s="75"/>
      <c r="O296" s="75"/>
      <c r="P296" s="75"/>
    </row>
    <row r="297" spans="1:16" ht="15.75" customHeight="1">
      <c r="A297" s="71"/>
      <c r="B297" s="72"/>
      <c r="C297" s="73"/>
      <c r="D297" s="72"/>
      <c r="E297" s="73"/>
      <c r="F297" s="74"/>
      <c r="G297" s="72"/>
      <c r="H297" s="73"/>
      <c r="I297" s="75"/>
      <c r="J297" s="75"/>
      <c r="K297" s="75"/>
      <c r="L297" s="74"/>
      <c r="M297" s="76"/>
      <c r="N297" s="75"/>
      <c r="O297" s="75"/>
      <c r="P297" s="75"/>
    </row>
    <row r="298" spans="1:16" ht="15.75" customHeight="1">
      <c r="A298" s="71"/>
      <c r="B298" s="72"/>
      <c r="C298" s="73"/>
      <c r="D298" s="72"/>
      <c r="E298" s="73"/>
      <c r="F298" s="74"/>
      <c r="G298" s="72"/>
      <c r="H298" s="73"/>
      <c r="I298" s="75"/>
      <c r="J298" s="75"/>
      <c r="K298" s="75"/>
      <c r="L298" s="74"/>
      <c r="M298" s="76"/>
      <c r="N298" s="75"/>
      <c r="O298" s="75"/>
      <c r="P298" s="75"/>
    </row>
    <row r="299" spans="1:16" ht="15.75" customHeight="1">
      <c r="A299" s="71"/>
      <c r="B299" s="72"/>
      <c r="C299" s="73"/>
      <c r="D299" s="72"/>
      <c r="E299" s="73"/>
      <c r="F299" s="74"/>
      <c r="G299" s="72"/>
      <c r="H299" s="73"/>
      <c r="I299" s="75"/>
      <c r="J299" s="75"/>
      <c r="K299" s="75"/>
      <c r="L299" s="74"/>
      <c r="M299" s="76"/>
      <c r="N299" s="75"/>
      <c r="O299" s="75"/>
      <c r="P299" s="75"/>
    </row>
    <row r="300" spans="1:16" ht="15.75" customHeight="1">
      <c r="A300" s="71"/>
      <c r="B300" s="72"/>
      <c r="C300" s="73"/>
      <c r="D300" s="72"/>
      <c r="E300" s="73"/>
      <c r="F300" s="74"/>
      <c r="G300" s="72"/>
      <c r="H300" s="73"/>
      <c r="I300" s="75"/>
      <c r="J300" s="75"/>
      <c r="K300" s="75"/>
      <c r="L300" s="74"/>
      <c r="M300" s="76"/>
      <c r="N300" s="75"/>
      <c r="O300" s="75"/>
      <c r="P300" s="75"/>
    </row>
    <row r="301" spans="1:16" ht="15.75" customHeight="1">
      <c r="A301" s="71"/>
      <c r="B301" s="72"/>
      <c r="C301" s="73"/>
      <c r="D301" s="72"/>
      <c r="E301" s="73"/>
      <c r="F301" s="74"/>
      <c r="G301" s="72"/>
      <c r="H301" s="73"/>
      <c r="I301" s="75"/>
      <c r="J301" s="75"/>
      <c r="K301" s="75"/>
      <c r="L301" s="74"/>
      <c r="M301" s="76"/>
      <c r="N301" s="75"/>
      <c r="O301" s="75"/>
      <c r="P301" s="75"/>
    </row>
    <row r="302" spans="1:16" ht="15.75" customHeight="1">
      <c r="A302" s="71"/>
      <c r="B302" s="72"/>
      <c r="C302" s="73"/>
      <c r="D302" s="72"/>
      <c r="E302" s="73"/>
      <c r="F302" s="74"/>
      <c r="G302" s="72"/>
      <c r="H302" s="73"/>
      <c r="I302" s="75"/>
      <c r="J302" s="75"/>
      <c r="K302" s="75"/>
      <c r="L302" s="74"/>
      <c r="M302" s="76"/>
      <c r="N302" s="75"/>
      <c r="O302" s="75"/>
      <c r="P302" s="75"/>
    </row>
    <row r="303" spans="1:16" ht="15.75" customHeight="1">
      <c r="A303" s="71"/>
      <c r="B303" s="72"/>
      <c r="C303" s="73"/>
      <c r="D303" s="72"/>
      <c r="E303" s="73"/>
      <c r="F303" s="74"/>
      <c r="G303" s="72"/>
      <c r="H303" s="73"/>
      <c r="I303" s="75"/>
      <c r="J303" s="75"/>
      <c r="K303" s="75"/>
      <c r="L303" s="74"/>
      <c r="M303" s="76"/>
      <c r="N303" s="75"/>
      <c r="O303" s="75"/>
      <c r="P303" s="75"/>
    </row>
    <row r="304" spans="1:16" ht="15.75" customHeight="1">
      <c r="A304" s="71"/>
      <c r="B304" s="72"/>
      <c r="C304" s="73"/>
      <c r="D304" s="72"/>
      <c r="E304" s="73"/>
      <c r="F304" s="74"/>
      <c r="G304" s="72"/>
      <c r="H304" s="73"/>
      <c r="I304" s="75"/>
      <c r="J304" s="75"/>
      <c r="K304" s="75"/>
      <c r="L304" s="74"/>
      <c r="M304" s="76"/>
      <c r="N304" s="75"/>
      <c r="O304" s="75"/>
      <c r="P304" s="75"/>
    </row>
    <row r="305" spans="1:16" ht="15.75" customHeight="1">
      <c r="A305" s="71"/>
      <c r="B305" s="72"/>
      <c r="C305" s="73"/>
      <c r="D305" s="72"/>
      <c r="E305" s="73"/>
      <c r="F305" s="74"/>
      <c r="G305" s="72"/>
      <c r="H305" s="73"/>
      <c r="I305" s="75"/>
      <c r="J305" s="75"/>
      <c r="K305" s="75"/>
      <c r="L305" s="74"/>
      <c r="M305" s="76"/>
      <c r="N305" s="75"/>
      <c r="O305" s="75"/>
      <c r="P305" s="75"/>
    </row>
    <row r="306" spans="1:16" ht="15.75" customHeight="1">
      <c r="A306" s="71"/>
      <c r="B306" s="72"/>
      <c r="C306" s="73"/>
      <c r="D306" s="72"/>
      <c r="E306" s="73"/>
      <c r="F306" s="74"/>
      <c r="G306" s="72"/>
      <c r="H306" s="73"/>
      <c r="I306" s="75"/>
      <c r="J306" s="75"/>
      <c r="K306" s="75"/>
      <c r="L306" s="74"/>
      <c r="M306" s="76"/>
      <c r="N306" s="75"/>
      <c r="O306" s="75"/>
      <c r="P306" s="75"/>
    </row>
    <row r="307" spans="1:16" ht="15.75" customHeight="1">
      <c r="A307" s="71"/>
      <c r="B307" s="72"/>
      <c r="C307" s="73"/>
      <c r="D307" s="72"/>
      <c r="E307" s="73"/>
      <c r="F307" s="74"/>
      <c r="G307" s="72"/>
      <c r="H307" s="73"/>
      <c r="I307" s="75"/>
      <c r="J307" s="75"/>
      <c r="K307" s="75"/>
      <c r="L307" s="74"/>
      <c r="M307" s="76"/>
      <c r="N307" s="75"/>
      <c r="O307" s="75"/>
      <c r="P307" s="75"/>
    </row>
    <row r="308" spans="1:16" ht="15.75" customHeight="1">
      <c r="A308" s="71"/>
      <c r="B308" s="72"/>
      <c r="C308" s="73"/>
      <c r="D308" s="72"/>
      <c r="E308" s="73"/>
      <c r="F308" s="74"/>
      <c r="G308" s="72"/>
      <c r="H308" s="73"/>
      <c r="I308" s="75"/>
      <c r="J308" s="75"/>
      <c r="K308" s="75"/>
      <c r="L308" s="74"/>
      <c r="M308" s="76"/>
      <c r="N308" s="75"/>
      <c r="O308" s="75"/>
      <c r="P308" s="75"/>
    </row>
    <row r="309" spans="1:16" ht="15.75" customHeight="1">
      <c r="A309" s="71"/>
      <c r="B309" s="72"/>
      <c r="C309" s="73"/>
      <c r="D309" s="72"/>
      <c r="E309" s="73"/>
      <c r="F309" s="74"/>
      <c r="G309" s="72"/>
      <c r="H309" s="73"/>
      <c r="I309" s="75"/>
      <c r="J309" s="75"/>
      <c r="K309" s="75"/>
      <c r="L309" s="74"/>
      <c r="M309" s="76"/>
      <c r="N309" s="75"/>
      <c r="O309" s="75"/>
      <c r="P309" s="75"/>
    </row>
    <row r="310" spans="1:16" ht="15.75" customHeight="1">
      <c r="A310" s="71"/>
      <c r="B310" s="72"/>
      <c r="C310" s="73"/>
      <c r="D310" s="72"/>
      <c r="E310" s="73"/>
      <c r="F310" s="74"/>
      <c r="G310" s="72"/>
      <c r="H310" s="73"/>
      <c r="I310" s="75"/>
      <c r="J310" s="75"/>
      <c r="K310" s="75"/>
      <c r="L310" s="74"/>
      <c r="M310" s="76"/>
      <c r="N310" s="75"/>
      <c r="O310" s="75"/>
      <c r="P310" s="75"/>
    </row>
    <row r="311" spans="1:16" ht="15.75" customHeight="1">
      <c r="A311" s="71"/>
      <c r="B311" s="72"/>
      <c r="C311" s="73"/>
      <c r="D311" s="72"/>
      <c r="E311" s="73"/>
      <c r="F311" s="74"/>
      <c r="G311" s="72"/>
      <c r="H311" s="73"/>
      <c r="I311" s="75"/>
      <c r="J311" s="75"/>
      <c r="K311" s="75"/>
      <c r="L311" s="74"/>
      <c r="M311" s="76"/>
      <c r="N311" s="75"/>
      <c r="O311" s="75"/>
      <c r="P311" s="75"/>
    </row>
    <row r="312" spans="1:16" ht="15.75" customHeight="1">
      <c r="A312" s="71"/>
      <c r="B312" s="72"/>
      <c r="C312" s="73"/>
      <c r="D312" s="72"/>
      <c r="E312" s="73"/>
      <c r="F312" s="74"/>
      <c r="G312" s="72"/>
      <c r="H312" s="73"/>
      <c r="I312" s="75"/>
      <c r="J312" s="75"/>
      <c r="K312" s="75"/>
      <c r="L312" s="74"/>
      <c r="M312" s="76"/>
      <c r="N312" s="75"/>
      <c r="O312" s="75"/>
      <c r="P312" s="75"/>
    </row>
    <row r="313" spans="1:16" ht="15.75" customHeight="1">
      <c r="A313" s="71"/>
      <c r="B313" s="72"/>
      <c r="C313" s="73"/>
      <c r="D313" s="72"/>
      <c r="E313" s="73"/>
      <c r="F313" s="74"/>
      <c r="G313" s="72"/>
      <c r="H313" s="73"/>
      <c r="I313" s="75"/>
      <c r="J313" s="75"/>
      <c r="K313" s="75"/>
      <c r="L313" s="74"/>
      <c r="M313" s="76"/>
      <c r="N313" s="75"/>
      <c r="O313" s="75"/>
      <c r="P313" s="75"/>
    </row>
    <row r="314" spans="1:16" ht="15.75" customHeight="1">
      <c r="A314" s="71"/>
      <c r="B314" s="72"/>
      <c r="C314" s="73"/>
      <c r="D314" s="72"/>
      <c r="E314" s="73"/>
      <c r="F314" s="74"/>
      <c r="G314" s="72"/>
      <c r="H314" s="73"/>
      <c r="I314" s="75"/>
      <c r="J314" s="75"/>
      <c r="K314" s="75"/>
      <c r="L314" s="74"/>
      <c r="M314" s="76"/>
      <c r="N314" s="75"/>
      <c r="O314" s="75"/>
      <c r="P314" s="75"/>
    </row>
    <row r="315" spans="1:16" ht="15.75" customHeight="1">
      <c r="A315" s="71"/>
      <c r="B315" s="72"/>
      <c r="C315" s="73"/>
      <c r="D315" s="72"/>
      <c r="E315" s="73"/>
      <c r="F315" s="74"/>
      <c r="G315" s="72"/>
      <c r="H315" s="73"/>
      <c r="I315" s="75"/>
      <c r="J315" s="75"/>
      <c r="K315" s="75"/>
      <c r="L315" s="74"/>
      <c r="M315" s="76"/>
      <c r="N315" s="75"/>
      <c r="O315" s="75"/>
      <c r="P315" s="75"/>
    </row>
    <row r="316" spans="1:16" ht="15.75" customHeight="1">
      <c r="A316" s="71"/>
      <c r="B316" s="72"/>
      <c r="C316" s="73"/>
      <c r="D316" s="72"/>
      <c r="E316" s="73"/>
      <c r="F316" s="74"/>
      <c r="G316" s="72"/>
      <c r="H316" s="73"/>
      <c r="I316" s="75"/>
      <c r="J316" s="75"/>
      <c r="K316" s="75"/>
      <c r="L316" s="74"/>
      <c r="M316" s="76"/>
      <c r="N316" s="75"/>
      <c r="O316" s="75"/>
      <c r="P316" s="75"/>
    </row>
    <row r="317" spans="1:16" ht="15.75" customHeight="1">
      <c r="A317" s="71"/>
      <c r="B317" s="72"/>
      <c r="C317" s="73"/>
      <c r="D317" s="72"/>
      <c r="E317" s="73"/>
      <c r="F317" s="74"/>
      <c r="G317" s="72"/>
      <c r="H317" s="73"/>
      <c r="I317" s="75"/>
      <c r="J317" s="75"/>
      <c r="K317" s="75"/>
      <c r="L317" s="74"/>
      <c r="M317" s="76"/>
      <c r="N317" s="75"/>
      <c r="O317" s="75"/>
      <c r="P317" s="75"/>
    </row>
    <row r="318" spans="1:16" ht="15.75" customHeight="1">
      <c r="A318" s="71"/>
      <c r="B318" s="72"/>
      <c r="C318" s="73"/>
      <c r="D318" s="72"/>
      <c r="E318" s="73"/>
      <c r="F318" s="74"/>
      <c r="G318" s="72"/>
      <c r="H318" s="73"/>
      <c r="I318" s="75"/>
      <c r="J318" s="75"/>
      <c r="K318" s="75"/>
      <c r="L318" s="74"/>
      <c r="M318" s="76"/>
      <c r="N318" s="75"/>
      <c r="O318" s="75"/>
      <c r="P318" s="75"/>
    </row>
    <row r="319" spans="1:16" ht="15.75" customHeight="1">
      <c r="A319" s="71"/>
      <c r="B319" s="72"/>
      <c r="C319" s="73"/>
      <c r="D319" s="72"/>
      <c r="E319" s="73"/>
      <c r="F319" s="74"/>
      <c r="G319" s="72"/>
      <c r="H319" s="73"/>
      <c r="I319" s="75"/>
      <c r="J319" s="75"/>
      <c r="K319" s="75"/>
      <c r="L319" s="74"/>
      <c r="M319" s="76"/>
      <c r="N319" s="75"/>
      <c r="O319" s="75"/>
      <c r="P319" s="75"/>
    </row>
    <row r="320" spans="1:16" ht="15.75" customHeight="1">
      <c r="A320" s="71"/>
      <c r="B320" s="72"/>
      <c r="C320" s="73"/>
      <c r="D320" s="72"/>
      <c r="E320" s="73"/>
      <c r="F320" s="74"/>
      <c r="G320" s="72"/>
      <c r="H320" s="73"/>
      <c r="I320" s="75"/>
      <c r="J320" s="75"/>
      <c r="K320" s="75"/>
      <c r="L320" s="74"/>
      <c r="M320" s="76"/>
      <c r="N320" s="75"/>
      <c r="O320" s="75"/>
      <c r="P320" s="75"/>
    </row>
    <row r="321" spans="1:16" ht="15.75" customHeight="1">
      <c r="A321" s="71"/>
      <c r="B321" s="72"/>
      <c r="C321" s="73"/>
      <c r="D321" s="72"/>
      <c r="E321" s="73"/>
      <c r="F321" s="74"/>
      <c r="G321" s="72"/>
      <c r="H321" s="73"/>
      <c r="I321" s="75"/>
      <c r="J321" s="75"/>
      <c r="K321" s="75"/>
      <c r="L321" s="74"/>
      <c r="M321" s="76"/>
      <c r="N321" s="75"/>
      <c r="O321" s="75"/>
      <c r="P321" s="75"/>
    </row>
    <row r="322" spans="1:16" ht="15.75" customHeight="1">
      <c r="A322" s="71"/>
      <c r="B322" s="72"/>
      <c r="C322" s="73"/>
      <c r="D322" s="72"/>
      <c r="E322" s="73"/>
      <c r="F322" s="74"/>
      <c r="G322" s="72"/>
      <c r="H322" s="73"/>
      <c r="I322" s="75"/>
      <c r="J322" s="75"/>
      <c r="K322" s="75"/>
      <c r="L322" s="74"/>
      <c r="M322" s="76"/>
      <c r="N322" s="75"/>
      <c r="O322" s="75"/>
      <c r="P322" s="75"/>
    </row>
    <row r="323" spans="1:16" ht="15.75" customHeight="1">
      <c r="A323" s="71"/>
      <c r="B323" s="72"/>
      <c r="C323" s="73"/>
      <c r="D323" s="72"/>
      <c r="E323" s="73"/>
      <c r="F323" s="74"/>
      <c r="G323" s="72"/>
      <c r="H323" s="73"/>
      <c r="I323" s="75"/>
      <c r="J323" s="75"/>
      <c r="K323" s="75"/>
      <c r="L323" s="74"/>
      <c r="M323" s="76"/>
      <c r="N323" s="75"/>
      <c r="O323" s="75"/>
      <c r="P323" s="75"/>
    </row>
    <row r="324" spans="1:16" ht="15.75" customHeight="1">
      <c r="A324" s="71"/>
      <c r="B324" s="72"/>
      <c r="C324" s="73"/>
      <c r="D324" s="72"/>
      <c r="E324" s="73"/>
      <c r="F324" s="74"/>
      <c r="G324" s="72"/>
      <c r="H324" s="73"/>
      <c r="I324" s="75"/>
      <c r="J324" s="75"/>
      <c r="K324" s="75"/>
      <c r="L324" s="74"/>
      <c r="M324" s="76"/>
      <c r="N324" s="75"/>
      <c r="O324" s="75"/>
      <c r="P324" s="75"/>
    </row>
    <row r="325" spans="1:16" ht="15.75" customHeight="1">
      <c r="A325" s="71"/>
      <c r="B325" s="72"/>
      <c r="C325" s="73"/>
      <c r="D325" s="72"/>
      <c r="E325" s="73"/>
      <c r="F325" s="74"/>
      <c r="G325" s="72"/>
      <c r="H325" s="73"/>
      <c r="I325" s="75"/>
      <c r="J325" s="75"/>
      <c r="K325" s="75"/>
      <c r="L325" s="74"/>
      <c r="M325" s="76"/>
      <c r="N325" s="75"/>
      <c r="O325" s="75"/>
      <c r="P325" s="75"/>
    </row>
    <row r="326" spans="1:16" ht="15.75" customHeight="1">
      <c r="A326" s="71"/>
      <c r="B326" s="72"/>
      <c r="C326" s="73"/>
      <c r="D326" s="72"/>
      <c r="E326" s="73"/>
      <c r="F326" s="74"/>
      <c r="G326" s="72"/>
      <c r="H326" s="73"/>
      <c r="I326" s="75"/>
      <c r="J326" s="75"/>
      <c r="K326" s="75"/>
      <c r="L326" s="74"/>
      <c r="M326" s="76"/>
      <c r="N326" s="75"/>
      <c r="O326" s="75"/>
      <c r="P326" s="75"/>
    </row>
    <row r="327" spans="1:16" ht="15.75" customHeight="1">
      <c r="A327" s="71"/>
      <c r="B327" s="72"/>
      <c r="C327" s="73"/>
      <c r="D327" s="72"/>
      <c r="E327" s="73"/>
      <c r="F327" s="74"/>
      <c r="G327" s="72"/>
      <c r="H327" s="73"/>
      <c r="I327" s="75"/>
      <c r="J327" s="75"/>
      <c r="K327" s="75"/>
      <c r="L327" s="74"/>
      <c r="M327" s="76"/>
      <c r="N327" s="75"/>
      <c r="O327" s="75"/>
      <c r="P327" s="75"/>
    </row>
    <row r="328" spans="1:16" ht="15.75" customHeight="1">
      <c r="A328" s="71"/>
      <c r="B328" s="72"/>
      <c r="C328" s="73"/>
      <c r="D328" s="72"/>
      <c r="E328" s="73"/>
      <c r="F328" s="74"/>
      <c r="G328" s="72"/>
      <c r="H328" s="73"/>
      <c r="I328" s="75"/>
      <c r="J328" s="75"/>
      <c r="K328" s="75"/>
      <c r="L328" s="74"/>
      <c r="M328" s="76"/>
      <c r="N328" s="75"/>
      <c r="O328" s="75"/>
      <c r="P328" s="75"/>
    </row>
    <row r="329" spans="1:16" ht="15.75" customHeight="1">
      <c r="A329" s="71"/>
      <c r="B329" s="72"/>
      <c r="C329" s="73"/>
      <c r="D329" s="72"/>
      <c r="E329" s="73"/>
      <c r="F329" s="74"/>
      <c r="G329" s="72"/>
      <c r="H329" s="73"/>
      <c r="I329" s="75"/>
      <c r="J329" s="75"/>
      <c r="K329" s="75"/>
      <c r="L329" s="74"/>
      <c r="M329" s="76"/>
      <c r="N329" s="75"/>
      <c r="O329" s="75"/>
      <c r="P329" s="75"/>
    </row>
    <row r="330" spans="1:16" ht="15.75" customHeight="1">
      <c r="A330" s="71"/>
      <c r="B330" s="72"/>
      <c r="C330" s="73"/>
      <c r="D330" s="72"/>
      <c r="E330" s="73"/>
      <c r="F330" s="74"/>
      <c r="G330" s="72"/>
      <c r="H330" s="73"/>
      <c r="I330" s="75"/>
      <c r="J330" s="75"/>
      <c r="K330" s="75"/>
      <c r="L330" s="74"/>
      <c r="M330" s="76"/>
      <c r="N330" s="75"/>
      <c r="O330" s="75"/>
      <c r="P330" s="75"/>
    </row>
    <row r="331" spans="1:16" ht="15.75" customHeight="1">
      <c r="A331" s="71"/>
      <c r="B331" s="72"/>
      <c r="C331" s="73"/>
      <c r="D331" s="72"/>
      <c r="E331" s="73"/>
      <c r="F331" s="74"/>
      <c r="G331" s="72"/>
      <c r="H331" s="73"/>
      <c r="I331" s="75"/>
      <c r="J331" s="75"/>
      <c r="K331" s="75"/>
      <c r="L331" s="74"/>
      <c r="M331" s="76"/>
      <c r="N331" s="75"/>
      <c r="O331" s="75"/>
      <c r="P331" s="75"/>
    </row>
    <row r="332" spans="1:16" ht="15.75" customHeight="1">
      <c r="A332" s="71"/>
      <c r="B332" s="72"/>
      <c r="C332" s="73"/>
      <c r="D332" s="72"/>
      <c r="E332" s="73"/>
      <c r="F332" s="74"/>
      <c r="G332" s="72"/>
      <c r="H332" s="73"/>
      <c r="I332" s="75"/>
      <c r="J332" s="75"/>
      <c r="K332" s="75"/>
      <c r="L332" s="74"/>
      <c r="M332" s="76"/>
      <c r="N332" s="75"/>
      <c r="O332" s="75"/>
      <c r="P332" s="75"/>
    </row>
    <row r="333" spans="1:16" ht="15.75" customHeight="1">
      <c r="A333" s="71"/>
      <c r="B333" s="72"/>
      <c r="C333" s="73"/>
      <c r="D333" s="72"/>
      <c r="E333" s="73"/>
      <c r="F333" s="74"/>
      <c r="G333" s="72"/>
      <c r="H333" s="73"/>
      <c r="I333" s="75"/>
      <c r="J333" s="75"/>
      <c r="K333" s="75"/>
      <c r="L333" s="74"/>
      <c r="M333" s="76"/>
      <c r="N333" s="75"/>
      <c r="O333" s="75"/>
      <c r="P333" s="75"/>
    </row>
    <row r="334" spans="1:16" ht="15.75" customHeight="1">
      <c r="A334" s="71"/>
      <c r="B334" s="72"/>
      <c r="C334" s="73"/>
      <c r="D334" s="72"/>
      <c r="E334" s="73"/>
      <c r="F334" s="74"/>
      <c r="G334" s="72"/>
      <c r="H334" s="73"/>
      <c r="I334" s="75"/>
      <c r="J334" s="75"/>
      <c r="K334" s="75"/>
      <c r="L334" s="74"/>
      <c r="M334" s="76"/>
      <c r="N334" s="75"/>
      <c r="O334" s="75"/>
      <c r="P334" s="75"/>
    </row>
    <row r="335" spans="1:16" ht="15.75" customHeight="1">
      <c r="A335" s="71"/>
      <c r="B335" s="72"/>
      <c r="C335" s="73"/>
      <c r="D335" s="72"/>
      <c r="E335" s="73"/>
      <c r="F335" s="74"/>
      <c r="G335" s="72"/>
      <c r="H335" s="73"/>
      <c r="I335" s="75"/>
      <c r="J335" s="75"/>
      <c r="K335" s="75"/>
      <c r="L335" s="74"/>
      <c r="M335" s="76"/>
      <c r="N335" s="75"/>
      <c r="O335" s="75"/>
      <c r="P335" s="75"/>
    </row>
    <row r="336" spans="1:16" ht="15.75" customHeight="1">
      <c r="A336" s="71"/>
      <c r="B336" s="72"/>
      <c r="C336" s="73"/>
      <c r="D336" s="72"/>
      <c r="E336" s="73"/>
      <c r="F336" s="74"/>
      <c r="G336" s="72"/>
      <c r="H336" s="73"/>
      <c r="I336" s="75"/>
      <c r="J336" s="75"/>
      <c r="K336" s="75"/>
      <c r="L336" s="74"/>
      <c r="M336" s="76"/>
      <c r="N336" s="75"/>
      <c r="O336" s="75"/>
      <c r="P336" s="75"/>
    </row>
    <row r="337" spans="1:16" ht="15.75" customHeight="1">
      <c r="A337" s="71"/>
      <c r="B337" s="72"/>
      <c r="C337" s="73"/>
      <c r="D337" s="72"/>
      <c r="E337" s="73"/>
      <c r="F337" s="74"/>
      <c r="G337" s="72"/>
      <c r="H337" s="73"/>
      <c r="I337" s="75"/>
      <c r="J337" s="75"/>
      <c r="K337" s="75"/>
      <c r="L337" s="74"/>
      <c r="M337" s="76"/>
      <c r="N337" s="75"/>
      <c r="O337" s="75"/>
      <c r="P337" s="75"/>
    </row>
    <row r="338" spans="1:16" ht="15.75" customHeight="1">
      <c r="A338" s="71"/>
      <c r="B338" s="72"/>
      <c r="C338" s="73"/>
      <c r="D338" s="72"/>
      <c r="E338" s="73"/>
      <c r="F338" s="74"/>
      <c r="G338" s="72"/>
      <c r="H338" s="73"/>
      <c r="I338" s="75"/>
      <c r="J338" s="75"/>
      <c r="K338" s="75"/>
      <c r="L338" s="74"/>
      <c r="M338" s="76"/>
      <c r="N338" s="75"/>
      <c r="O338" s="75"/>
      <c r="P338" s="75"/>
    </row>
    <row r="339" spans="1:16" ht="15.75" customHeight="1">
      <c r="A339" s="71"/>
      <c r="B339" s="72"/>
      <c r="C339" s="73"/>
      <c r="D339" s="72"/>
      <c r="E339" s="73"/>
      <c r="F339" s="74"/>
      <c r="G339" s="72"/>
      <c r="H339" s="73"/>
      <c r="I339" s="75"/>
      <c r="J339" s="75"/>
      <c r="K339" s="75"/>
      <c r="L339" s="74"/>
      <c r="M339" s="76"/>
      <c r="N339" s="75"/>
      <c r="O339" s="75"/>
      <c r="P339" s="75"/>
    </row>
    <row r="340" spans="1:16" ht="15.75" customHeight="1">
      <c r="A340" s="71"/>
      <c r="B340" s="72"/>
      <c r="C340" s="73"/>
      <c r="D340" s="72"/>
      <c r="E340" s="73"/>
      <c r="F340" s="74"/>
      <c r="G340" s="72"/>
      <c r="H340" s="73"/>
      <c r="I340" s="75"/>
      <c r="J340" s="75"/>
      <c r="K340" s="75"/>
      <c r="L340" s="74"/>
      <c r="M340" s="76"/>
      <c r="N340" s="75"/>
      <c r="O340" s="75"/>
      <c r="P340" s="75"/>
    </row>
    <row r="341" spans="1:16" ht="15.75" customHeight="1">
      <c r="A341" s="71"/>
      <c r="B341" s="72"/>
      <c r="C341" s="73"/>
      <c r="D341" s="72"/>
      <c r="E341" s="73"/>
      <c r="F341" s="74"/>
      <c r="G341" s="72"/>
      <c r="H341" s="73"/>
      <c r="I341" s="75"/>
      <c r="J341" s="75"/>
      <c r="K341" s="75"/>
      <c r="L341" s="74"/>
      <c r="M341" s="76"/>
      <c r="N341" s="75"/>
      <c r="O341" s="75"/>
      <c r="P341" s="75"/>
    </row>
    <row r="342" spans="1:16" ht="15.75" customHeight="1">
      <c r="A342" s="71"/>
      <c r="B342" s="72"/>
      <c r="C342" s="73"/>
      <c r="D342" s="72"/>
      <c r="E342" s="73"/>
      <c r="F342" s="74"/>
      <c r="G342" s="72"/>
      <c r="H342" s="73"/>
      <c r="I342" s="75"/>
      <c r="J342" s="75"/>
      <c r="K342" s="75"/>
      <c r="L342" s="74"/>
      <c r="M342" s="76"/>
      <c r="N342" s="75"/>
      <c r="O342" s="75"/>
      <c r="P342" s="75"/>
    </row>
    <row r="343" spans="1:16" ht="15.75" customHeight="1">
      <c r="A343" s="71"/>
      <c r="B343" s="72"/>
      <c r="C343" s="73"/>
      <c r="D343" s="72"/>
      <c r="E343" s="73"/>
      <c r="F343" s="74"/>
      <c r="G343" s="72"/>
      <c r="H343" s="73"/>
      <c r="I343" s="75"/>
      <c r="J343" s="75"/>
      <c r="K343" s="75"/>
      <c r="L343" s="74"/>
      <c r="M343" s="76"/>
      <c r="N343" s="75"/>
      <c r="O343" s="75"/>
      <c r="P343" s="75"/>
    </row>
    <row r="344" spans="1:16" ht="15.75" customHeight="1">
      <c r="A344" s="71"/>
      <c r="B344" s="72"/>
      <c r="C344" s="73"/>
      <c r="D344" s="72"/>
      <c r="E344" s="73"/>
      <c r="F344" s="74"/>
      <c r="G344" s="72"/>
      <c r="H344" s="73"/>
      <c r="I344" s="75"/>
      <c r="J344" s="75"/>
      <c r="K344" s="75"/>
      <c r="L344" s="74"/>
      <c r="M344" s="76"/>
      <c r="N344" s="75"/>
      <c r="O344" s="75"/>
      <c r="P344" s="75"/>
    </row>
    <row r="345" spans="1:16" ht="15.75" customHeight="1">
      <c r="A345" s="71"/>
      <c r="B345" s="72"/>
      <c r="C345" s="73"/>
      <c r="D345" s="72"/>
      <c r="E345" s="73"/>
      <c r="F345" s="74"/>
      <c r="G345" s="72"/>
      <c r="H345" s="73"/>
      <c r="I345" s="75"/>
      <c r="J345" s="75"/>
      <c r="K345" s="75"/>
      <c r="L345" s="74"/>
      <c r="M345" s="76"/>
      <c r="N345" s="75"/>
      <c r="O345" s="75"/>
      <c r="P345" s="75"/>
    </row>
    <row r="346" spans="1:16" ht="15.75" customHeight="1">
      <c r="A346" s="71"/>
      <c r="B346" s="72"/>
      <c r="C346" s="73"/>
      <c r="D346" s="72"/>
      <c r="E346" s="73"/>
      <c r="F346" s="74"/>
      <c r="G346" s="72"/>
      <c r="H346" s="73"/>
      <c r="I346" s="75"/>
      <c r="J346" s="75"/>
      <c r="K346" s="75"/>
      <c r="L346" s="74"/>
      <c r="M346" s="76"/>
      <c r="N346" s="75"/>
      <c r="O346" s="75"/>
      <c r="P346" s="75"/>
    </row>
    <row r="347" spans="1:16" ht="15.75" customHeight="1">
      <c r="A347" s="71"/>
      <c r="B347" s="72"/>
      <c r="C347" s="73"/>
      <c r="D347" s="72"/>
      <c r="E347" s="73"/>
      <c r="F347" s="74"/>
      <c r="G347" s="72"/>
      <c r="H347" s="73"/>
      <c r="I347" s="75"/>
      <c r="J347" s="75"/>
      <c r="K347" s="75"/>
      <c r="L347" s="74"/>
      <c r="M347" s="76"/>
      <c r="N347" s="75"/>
      <c r="O347" s="75"/>
      <c r="P347" s="75"/>
    </row>
    <row r="348" spans="1:16" ht="15.75" customHeight="1">
      <c r="A348" s="71"/>
      <c r="B348" s="72"/>
      <c r="C348" s="73"/>
      <c r="D348" s="72"/>
      <c r="E348" s="73"/>
      <c r="F348" s="74"/>
      <c r="G348" s="72"/>
      <c r="H348" s="73"/>
      <c r="I348" s="75"/>
      <c r="J348" s="75"/>
      <c r="K348" s="75"/>
      <c r="L348" s="74"/>
      <c r="M348" s="76"/>
      <c r="N348" s="75"/>
      <c r="O348" s="75"/>
      <c r="P348" s="75"/>
    </row>
    <row r="349" spans="1:16" ht="15.75" customHeight="1">
      <c r="A349" s="71"/>
      <c r="B349" s="72"/>
      <c r="C349" s="73"/>
      <c r="D349" s="72"/>
      <c r="E349" s="73"/>
      <c r="F349" s="74"/>
      <c r="G349" s="72"/>
      <c r="H349" s="73"/>
      <c r="I349" s="75"/>
      <c r="J349" s="75"/>
      <c r="K349" s="75"/>
      <c r="L349" s="74"/>
      <c r="M349" s="76"/>
      <c r="N349" s="75"/>
      <c r="O349" s="75"/>
      <c r="P349" s="75"/>
    </row>
    <row r="350" spans="1:16" ht="15.75" customHeight="1">
      <c r="A350" s="71"/>
      <c r="B350" s="72"/>
      <c r="C350" s="73"/>
      <c r="D350" s="72"/>
      <c r="E350" s="73"/>
      <c r="F350" s="74"/>
      <c r="G350" s="72"/>
      <c r="H350" s="73"/>
      <c r="I350" s="75"/>
      <c r="J350" s="75"/>
      <c r="K350" s="75"/>
      <c r="L350" s="74"/>
      <c r="M350" s="76"/>
      <c r="N350" s="75"/>
      <c r="O350" s="75"/>
      <c r="P350" s="75"/>
    </row>
    <row r="351" spans="1:16" ht="15.75" customHeight="1">
      <c r="A351" s="71"/>
      <c r="B351" s="72"/>
      <c r="C351" s="73"/>
      <c r="D351" s="72"/>
      <c r="E351" s="73"/>
      <c r="F351" s="74"/>
      <c r="G351" s="72"/>
      <c r="H351" s="73"/>
      <c r="I351" s="75"/>
      <c r="J351" s="75"/>
      <c r="K351" s="75"/>
      <c r="L351" s="74"/>
      <c r="M351" s="76"/>
      <c r="N351" s="75"/>
      <c r="O351" s="75"/>
      <c r="P351" s="75"/>
    </row>
    <row r="352" spans="1:16" ht="15.75" customHeight="1">
      <c r="A352" s="71"/>
      <c r="B352" s="72"/>
      <c r="C352" s="73"/>
      <c r="D352" s="72"/>
      <c r="E352" s="73"/>
      <c r="F352" s="74"/>
      <c r="G352" s="72"/>
      <c r="H352" s="73"/>
      <c r="I352" s="75"/>
      <c r="J352" s="75"/>
      <c r="K352" s="75"/>
      <c r="L352" s="74"/>
      <c r="M352" s="76"/>
      <c r="N352" s="75"/>
      <c r="O352" s="75"/>
      <c r="P352" s="75"/>
    </row>
    <row r="353" spans="1:16" ht="15.75" customHeight="1">
      <c r="A353" s="71"/>
      <c r="B353" s="72"/>
      <c r="C353" s="73"/>
      <c r="D353" s="72"/>
      <c r="E353" s="73"/>
      <c r="F353" s="74"/>
      <c r="G353" s="72"/>
      <c r="H353" s="73"/>
      <c r="I353" s="75"/>
      <c r="J353" s="75"/>
      <c r="K353" s="75"/>
      <c r="L353" s="74"/>
      <c r="M353" s="76"/>
      <c r="N353" s="75"/>
      <c r="O353" s="75"/>
      <c r="P353" s="75"/>
    </row>
    <row r="354" spans="1:16" ht="15.75" customHeight="1">
      <c r="A354" s="71"/>
      <c r="B354" s="72"/>
      <c r="C354" s="73"/>
      <c r="D354" s="72"/>
      <c r="E354" s="73"/>
      <c r="F354" s="74"/>
      <c r="G354" s="72"/>
      <c r="H354" s="73"/>
      <c r="I354" s="75"/>
      <c r="J354" s="75"/>
      <c r="K354" s="75"/>
      <c r="L354" s="74"/>
      <c r="M354" s="76"/>
      <c r="N354" s="75"/>
      <c r="O354" s="75"/>
      <c r="P354" s="75"/>
    </row>
    <row r="355" spans="1:16" ht="15.75" customHeight="1">
      <c r="A355" s="71"/>
      <c r="B355" s="72"/>
      <c r="C355" s="73"/>
      <c r="D355" s="72"/>
      <c r="E355" s="73"/>
      <c r="F355" s="74"/>
      <c r="G355" s="72"/>
      <c r="H355" s="73"/>
      <c r="I355" s="75"/>
      <c r="J355" s="75"/>
      <c r="K355" s="75"/>
      <c r="L355" s="74"/>
      <c r="M355" s="76"/>
      <c r="N355" s="75"/>
      <c r="O355" s="75"/>
      <c r="P355" s="75"/>
    </row>
    <row r="356" spans="1:16" ht="15.75" customHeight="1">
      <c r="A356" s="71"/>
      <c r="B356" s="72"/>
      <c r="C356" s="73"/>
      <c r="D356" s="72"/>
      <c r="E356" s="73"/>
      <c r="F356" s="74"/>
      <c r="G356" s="72"/>
      <c r="H356" s="73"/>
      <c r="I356" s="75"/>
      <c r="J356" s="75"/>
      <c r="K356" s="75"/>
      <c r="L356" s="74"/>
      <c r="M356" s="76"/>
      <c r="N356" s="75"/>
      <c r="O356" s="75"/>
      <c r="P356" s="75"/>
    </row>
    <row r="357" spans="1:16" ht="15.75" customHeight="1">
      <c r="A357" s="71"/>
      <c r="B357" s="72"/>
      <c r="C357" s="73"/>
      <c r="D357" s="72"/>
      <c r="E357" s="73"/>
      <c r="F357" s="74"/>
      <c r="G357" s="72"/>
      <c r="H357" s="73"/>
      <c r="I357" s="75"/>
      <c r="J357" s="75"/>
      <c r="K357" s="75"/>
      <c r="L357" s="74"/>
      <c r="M357" s="76"/>
      <c r="N357" s="75"/>
      <c r="O357" s="75"/>
      <c r="P357" s="75"/>
    </row>
    <row r="358" spans="1:16" ht="15.75" customHeight="1">
      <c r="A358" s="71"/>
      <c r="B358" s="72"/>
      <c r="C358" s="73"/>
      <c r="D358" s="72"/>
      <c r="E358" s="73"/>
      <c r="F358" s="74"/>
      <c r="G358" s="72"/>
      <c r="H358" s="73"/>
      <c r="I358" s="75"/>
      <c r="J358" s="75"/>
      <c r="K358" s="75"/>
      <c r="L358" s="74"/>
      <c r="M358" s="76"/>
      <c r="N358" s="75"/>
      <c r="O358" s="75"/>
      <c r="P358" s="75"/>
    </row>
    <row r="359" spans="1:16" ht="15.75" customHeight="1">
      <c r="A359" s="71"/>
      <c r="B359" s="72"/>
      <c r="C359" s="73"/>
      <c r="D359" s="72"/>
      <c r="E359" s="73"/>
      <c r="F359" s="74"/>
      <c r="G359" s="72"/>
      <c r="H359" s="73"/>
      <c r="I359" s="75"/>
      <c r="J359" s="75"/>
      <c r="K359" s="75"/>
      <c r="L359" s="74"/>
      <c r="M359" s="76"/>
      <c r="N359" s="75"/>
      <c r="O359" s="75"/>
      <c r="P359" s="75"/>
    </row>
    <row r="360" spans="1:16" ht="15.75" customHeight="1">
      <c r="A360" s="71"/>
      <c r="B360" s="72"/>
      <c r="C360" s="73"/>
      <c r="D360" s="72"/>
      <c r="E360" s="73"/>
      <c r="F360" s="74"/>
      <c r="G360" s="72"/>
      <c r="H360" s="73"/>
      <c r="I360" s="75"/>
      <c r="J360" s="75"/>
      <c r="K360" s="75"/>
      <c r="L360" s="74"/>
      <c r="M360" s="76"/>
      <c r="N360" s="75"/>
      <c r="O360" s="75"/>
      <c r="P360" s="75"/>
    </row>
    <row r="361" spans="1:16" ht="15.75" customHeight="1">
      <c r="A361" s="71"/>
      <c r="B361" s="72"/>
      <c r="C361" s="73"/>
      <c r="D361" s="72"/>
      <c r="E361" s="73"/>
      <c r="F361" s="74"/>
      <c r="G361" s="72"/>
      <c r="H361" s="73"/>
      <c r="I361" s="75"/>
      <c r="J361" s="75"/>
      <c r="K361" s="75"/>
      <c r="L361" s="74"/>
      <c r="M361" s="76"/>
      <c r="N361" s="75"/>
      <c r="O361" s="75"/>
      <c r="P361" s="75"/>
    </row>
    <row r="362" spans="1:16" ht="15.75" customHeight="1">
      <c r="A362" s="71"/>
      <c r="B362" s="72"/>
      <c r="C362" s="73"/>
      <c r="D362" s="72"/>
      <c r="E362" s="73"/>
      <c r="F362" s="74"/>
      <c r="G362" s="72"/>
      <c r="H362" s="73"/>
      <c r="I362" s="75"/>
      <c r="J362" s="75"/>
      <c r="K362" s="75"/>
      <c r="L362" s="74"/>
      <c r="M362" s="76"/>
      <c r="N362" s="75"/>
      <c r="O362" s="75"/>
      <c r="P362" s="75"/>
    </row>
    <row r="363" spans="1:16" ht="15.75" customHeight="1">
      <c r="A363" s="71"/>
      <c r="B363" s="72"/>
      <c r="C363" s="73"/>
      <c r="D363" s="72"/>
      <c r="E363" s="73"/>
      <c r="F363" s="74"/>
      <c r="G363" s="72"/>
      <c r="H363" s="73"/>
      <c r="I363" s="75"/>
      <c r="J363" s="75"/>
      <c r="K363" s="75"/>
      <c r="L363" s="74"/>
      <c r="M363" s="76"/>
      <c r="N363" s="75"/>
      <c r="O363" s="75"/>
      <c r="P363" s="75"/>
    </row>
    <row r="364" spans="1:16" ht="15.75" customHeight="1">
      <c r="A364" s="71"/>
      <c r="B364" s="72"/>
      <c r="C364" s="73"/>
      <c r="D364" s="72"/>
      <c r="E364" s="73"/>
      <c r="F364" s="74"/>
      <c r="G364" s="72"/>
      <c r="H364" s="73"/>
      <c r="I364" s="75"/>
      <c r="J364" s="75"/>
      <c r="K364" s="75"/>
      <c r="L364" s="74"/>
      <c r="M364" s="76"/>
      <c r="N364" s="75"/>
      <c r="O364" s="75"/>
      <c r="P364" s="75"/>
    </row>
    <row r="365" spans="1:16" ht="15.75" customHeight="1">
      <c r="A365" s="71"/>
      <c r="B365" s="72"/>
      <c r="C365" s="73"/>
      <c r="D365" s="72"/>
      <c r="E365" s="73"/>
      <c r="F365" s="74"/>
      <c r="G365" s="72"/>
      <c r="H365" s="73"/>
      <c r="I365" s="75"/>
      <c r="J365" s="75"/>
      <c r="K365" s="75"/>
      <c r="L365" s="74"/>
      <c r="M365" s="76"/>
      <c r="N365" s="75"/>
      <c r="O365" s="75"/>
      <c r="P365" s="75"/>
    </row>
    <row r="366" spans="1:16" ht="15.75" customHeight="1">
      <c r="A366" s="71"/>
      <c r="B366" s="72"/>
      <c r="C366" s="73"/>
      <c r="D366" s="72"/>
      <c r="E366" s="73"/>
      <c r="F366" s="74"/>
      <c r="G366" s="72"/>
      <c r="H366" s="73"/>
      <c r="I366" s="75"/>
      <c r="J366" s="75"/>
      <c r="K366" s="75"/>
      <c r="L366" s="74"/>
      <c r="M366" s="76"/>
      <c r="N366" s="75"/>
      <c r="O366" s="75"/>
      <c r="P366" s="75"/>
    </row>
    <row r="367" spans="1:16" ht="15.75" customHeight="1">
      <c r="A367" s="71"/>
      <c r="B367" s="72"/>
      <c r="C367" s="73"/>
      <c r="D367" s="72"/>
      <c r="E367" s="73"/>
      <c r="F367" s="74"/>
      <c r="G367" s="72"/>
      <c r="H367" s="73"/>
      <c r="I367" s="75"/>
      <c r="J367" s="75"/>
      <c r="K367" s="75"/>
      <c r="L367" s="74"/>
      <c r="M367" s="76"/>
      <c r="N367" s="75"/>
      <c r="O367" s="75"/>
      <c r="P367" s="75"/>
    </row>
    <row r="368" spans="1:16" ht="15.75" customHeight="1">
      <c r="A368" s="71"/>
      <c r="B368" s="72"/>
      <c r="C368" s="73"/>
      <c r="D368" s="72"/>
      <c r="E368" s="73"/>
      <c r="F368" s="74"/>
      <c r="G368" s="72"/>
      <c r="H368" s="73"/>
      <c r="I368" s="75"/>
      <c r="J368" s="75"/>
      <c r="K368" s="75"/>
      <c r="L368" s="74"/>
      <c r="M368" s="76"/>
      <c r="N368" s="75"/>
      <c r="O368" s="75"/>
      <c r="P368" s="75"/>
    </row>
    <row r="369" spans="1:16" ht="15.75" customHeight="1">
      <c r="A369" s="71"/>
      <c r="B369" s="72"/>
      <c r="C369" s="73"/>
      <c r="D369" s="72"/>
      <c r="E369" s="73"/>
      <c r="F369" s="74"/>
      <c r="G369" s="72"/>
      <c r="H369" s="73"/>
      <c r="I369" s="75"/>
      <c r="J369" s="75"/>
      <c r="K369" s="75"/>
      <c r="L369" s="74"/>
      <c r="M369" s="76"/>
      <c r="N369" s="75"/>
      <c r="O369" s="75"/>
      <c r="P369" s="75"/>
    </row>
    <row r="370" spans="1:16" ht="15.75" customHeight="1">
      <c r="A370" s="71"/>
      <c r="B370" s="72"/>
      <c r="C370" s="73"/>
      <c r="D370" s="72"/>
      <c r="E370" s="73"/>
      <c r="F370" s="74"/>
      <c r="G370" s="72"/>
      <c r="H370" s="73"/>
      <c r="I370" s="75"/>
      <c r="J370" s="75"/>
      <c r="K370" s="75"/>
      <c r="L370" s="74"/>
      <c r="M370" s="76"/>
      <c r="N370" s="75"/>
      <c r="O370" s="75"/>
      <c r="P370" s="75"/>
    </row>
    <row r="371" spans="1:16" ht="15.75" customHeight="1">
      <c r="A371" s="71"/>
      <c r="B371" s="72"/>
      <c r="C371" s="73"/>
      <c r="D371" s="72"/>
      <c r="E371" s="73"/>
      <c r="F371" s="74"/>
      <c r="G371" s="72"/>
      <c r="H371" s="73"/>
      <c r="I371" s="75"/>
      <c r="J371" s="75"/>
      <c r="K371" s="75"/>
      <c r="L371" s="74"/>
      <c r="M371" s="76"/>
      <c r="N371" s="75"/>
      <c r="O371" s="75"/>
      <c r="P371" s="75"/>
    </row>
    <row r="372" spans="1:16" ht="15.75" customHeight="1">
      <c r="A372" s="71"/>
      <c r="B372" s="72"/>
      <c r="C372" s="73"/>
      <c r="D372" s="72"/>
      <c r="E372" s="73"/>
      <c r="F372" s="74"/>
      <c r="G372" s="72"/>
      <c r="H372" s="73"/>
      <c r="I372" s="75"/>
      <c r="J372" s="75"/>
      <c r="K372" s="75"/>
      <c r="L372" s="74"/>
      <c r="M372" s="76"/>
      <c r="N372" s="75"/>
      <c r="O372" s="75"/>
      <c r="P372" s="75"/>
    </row>
    <row r="373" spans="1:16" ht="15.75" customHeight="1">
      <c r="A373" s="71"/>
      <c r="B373" s="72"/>
      <c r="C373" s="73"/>
      <c r="D373" s="72"/>
      <c r="E373" s="73"/>
      <c r="F373" s="74"/>
      <c r="G373" s="72"/>
      <c r="H373" s="73"/>
      <c r="I373" s="75"/>
      <c r="J373" s="75"/>
      <c r="K373" s="75"/>
      <c r="L373" s="74"/>
      <c r="M373" s="76"/>
      <c r="N373" s="75"/>
      <c r="O373" s="75"/>
      <c r="P373" s="75"/>
    </row>
    <row r="374" spans="1:16" ht="15.75" customHeight="1">
      <c r="A374" s="71"/>
      <c r="B374" s="72"/>
      <c r="C374" s="73"/>
      <c r="D374" s="72"/>
      <c r="E374" s="73"/>
      <c r="F374" s="74"/>
      <c r="G374" s="72"/>
      <c r="H374" s="73"/>
      <c r="I374" s="75"/>
      <c r="J374" s="75"/>
      <c r="K374" s="75"/>
      <c r="L374" s="74"/>
      <c r="M374" s="76"/>
      <c r="N374" s="75"/>
      <c r="O374" s="75"/>
      <c r="P374" s="75"/>
    </row>
    <row r="375" spans="1:16" ht="15.75" customHeight="1">
      <c r="A375" s="71"/>
      <c r="B375" s="72"/>
      <c r="C375" s="73"/>
      <c r="D375" s="72"/>
      <c r="E375" s="73"/>
      <c r="F375" s="74"/>
      <c r="G375" s="72"/>
      <c r="H375" s="73"/>
      <c r="I375" s="75"/>
      <c r="J375" s="75"/>
      <c r="K375" s="75"/>
      <c r="L375" s="74"/>
      <c r="M375" s="76"/>
      <c r="N375" s="75"/>
      <c r="O375" s="75"/>
      <c r="P375" s="75"/>
    </row>
    <row r="376" spans="1:16" ht="15.75" customHeight="1">
      <c r="A376" s="71"/>
      <c r="B376" s="72"/>
      <c r="C376" s="73"/>
      <c r="D376" s="72"/>
      <c r="E376" s="73"/>
      <c r="F376" s="74"/>
      <c r="G376" s="72"/>
      <c r="H376" s="73"/>
      <c r="I376" s="75"/>
      <c r="J376" s="75"/>
      <c r="K376" s="75"/>
      <c r="L376" s="74"/>
      <c r="M376" s="76"/>
      <c r="N376" s="75"/>
      <c r="O376" s="75"/>
      <c r="P376" s="75"/>
    </row>
    <row r="377" spans="1:16" ht="15.75" customHeight="1">
      <c r="A377" s="71"/>
      <c r="B377" s="72"/>
      <c r="C377" s="73"/>
      <c r="D377" s="72"/>
      <c r="E377" s="73"/>
      <c r="F377" s="74"/>
      <c r="G377" s="72"/>
      <c r="H377" s="73"/>
      <c r="I377" s="75"/>
      <c r="J377" s="75"/>
      <c r="K377" s="75"/>
      <c r="L377" s="74"/>
      <c r="M377" s="76"/>
      <c r="N377" s="75"/>
      <c r="O377" s="75"/>
      <c r="P377" s="75"/>
    </row>
    <row r="378" spans="1:16" ht="15.75" customHeight="1">
      <c r="A378" s="71"/>
      <c r="B378" s="72"/>
      <c r="C378" s="73"/>
      <c r="D378" s="72"/>
      <c r="E378" s="73"/>
      <c r="F378" s="74"/>
      <c r="G378" s="72"/>
      <c r="H378" s="73"/>
      <c r="I378" s="75"/>
      <c r="J378" s="75"/>
      <c r="K378" s="75"/>
      <c r="L378" s="74"/>
      <c r="M378" s="76"/>
      <c r="N378" s="75"/>
      <c r="O378" s="75"/>
      <c r="P378" s="75"/>
    </row>
    <row r="379" spans="1:16" ht="15.75" customHeight="1">
      <c r="A379" s="71"/>
      <c r="B379" s="72"/>
      <c r="C379" s="73"/>
      <c r="D379" s="72"/>
      <c r="E379" s="73"/>
      <c r="F379" s="74"/>
      <c r="G379" s="72"/>
      <c r="H379" s="73"/>
      <c r="I379" s="75"/>
      <c r="J379" s="75"/>
      <c r="K379" s="75"/>
      <c r="L379" s="74"/>
      <c r="M379" s="76"/>
      <c r="N379" s="75"/>
      <c r="O379" s="75"/>
      <c r="P379" s="75"/>
    </row>
    <row r="380" spans="1:16" ht="15.75" customHeight="1">
      <c r="A380" s="71"/>
      <c r="B380" s="72"/>
      <c r="C380" s="73"/>
      <c r="D380" s="72"/>
      <c r="E380" s="73"/>
      <c r="F380" s="74"/>
      <c r="G380" s="72"/>
      <c r="H380" s="73"/>
      <c r="I380" s="75"/>
      <c r="J380" s="75"/>
      <c r="K380" s="75"/>
      <c r="L380" s="74"/>
      <c r="M380" s="76"/>
      <c r="N380" s="75"/>
      <c r="O380" s="75"/>
      <c r="P380" s="75"/>
    </row>
    <row r="381" spans="1:16" ht="15.75" customHeight="1">
      <c r="A381" s="71"/>
      <c r="B381" s="72"/>
      <c r="C381" s="73"/>
      <c r="D381" s="72"/>
      <c r="E381" s="73"/>
      <c r="F381" s="74"/>
      <c r="G381" s="72"/>
      <c r="H381" s="73"/>
      <c r="I381" s="75"/>
      <c r="J381" s="75"/>
      <c r="K381" s="75"/>
      <c r="L381" s="74"/>
      <c r="M381" s="76"/>
      <c r="N381" s="75"/>
      <c r="O381" s="75"/>
      <c r="P381" s="75"/>
    </row>
    <row r="382" spans="1:16" ht="15.75" customHeight="1">
      <c r="A382" s="71"/>
      <c r="B382" s="72"/>
      <c r="C382" s="73"/>
      <c r="D382" s="72"/>
      <c r="E382" s="73"/>
      <c r="F382" s="74"/>
      <c r="G382" s="72"/>
      <c r="H382" s="73"/>
      <c r="I382" s="75"/>
      <c r="J382" s="75"/>
      <c r="K382" s="75"/>
      <c r="L382" s="74"/>
      <c r="M382" s="76"/>
      <c r="N382" s="75"/>
      <c r="O382" s="75"/>
      <c r="P382" s="75"/>
    </row>
    <row r="383" spans="1:16" ht="15.75" customHeight="1">
      <c r="A383" s="71"/>
      <c r="B383" s="72"/>
      <c r="C383" s="73"/>
      <c r="D383" s="72"/>
      <c r="E383" s="73"/>
      <c r="F383" s="74"/>
      <c r="G383" s="72"/>
      <c r="H383" s="73"/>
      <c r="I383" s="75"/>
      <c r="J383" s="75"/>
      <c r="K383" s="75"/>
      <c r="L383" s="74"/>
      <c r="M383" s="76"/>
      <c r="N383" s="75"/>
      <c r="O383" s="75"/>
      <c r="P383" s="75"/>
    </row>
    <row r="384" spans="1:16" ht="15.75" customHeight="1">
      <c r="A384" s="71"/>
      <c r="B384" s="72"/>
      <c r="C384" s="73"/>
      <c r="D384" s="72"/>
      <c r="E384" s="73"/>
      <c r="F384" s="74"/>
      <c r="G384" s="72"/>
      <c r="H384" s="73"/>
      <c r="I384" s="75"/>
      <c r="J384" s="75"/>
      <c r="K384" s="75"/>
      <c r="L384" s="74"/>
      <c r="M384" s="76"/>
      <c r="N384" s="75"/>
      <c r="O384" s="75"/>
      <c r="P384" s="75"/>
    </row>
    <row r="385" spans="1:16" ht="15.75" customHeight="1">
      <c r="A385" s="71"/>
      <c r="B385" s="72"/>
      <c r="C385" s="73"/>
      <c r="D385" s="72"/>
      <c r="E385" s="73"/>
      <c r="F385" s="74"/>
      <c r="G385" s="72"/>
      <c r="H385" s="73"/>
      <c r="I385" s="75"/>
      <c r="J385" s="75"/>
      <c r="K385" s="75"/>
      <c r="L385" s="74"/>
      <c r="M385" s="76"/>
      <c r="N385" s="75"/>
      <c r="O385" s="75"/>
      <c r="P385" s="75"/>
    </row>
    <row r="386" spans="1:16" ht="15.75" customHeight="1">
      <c r="A386" s="71"/>
      <c r="B386" s="72"/>
      <c r="C386" s="73"/>
      <c r="D386" s="72"/>
      <c r="E386" s="73"/>
      <c r="F386" s="74"/>
      <c r="G386" s="72"/>
      <c r="H386" s="73"/>
      <c r="I386" s="75"/>
      <c r="J386" s="75"/>
      <c r="K386" s="75"/>
      <c r="L386" s="74"/>
      <c r="M386" s="76"/>
      <c r="N386" s="75"/>
      <c r="O386" s="75"/>
      <c r="P386" s="75"/>
    </row>
    <row r="387" spans="1:16" ht="15.75" customHeight="1">
      <c r="A387" s="71"/>
      <c r="B387" s="72"/>
      <c r="C387" s="73"/>
      <c r="D387" s="72"/>
      <c r="E387" s="73"/>
      <c r="F387" s="74"/>
      <c r="G387" s="72"/>
      <c r="H387" s="73"/>
      <c r="I387" s="75"/>
      <c r="J387" s="75"/>
      <c r="K387" s="75"/>
      <c r="L387" s="74"/>
      <c r="M387" s="76"/>
      <c r="N387" s="75"/>
      <c r="O387" s="75"/>
      <c r="P387" s="75"/>
    </row>
    <row r="388" spans="1:16" ht="15.75" customHeight="1">
      <c r="A388" s="71"/>
      <c r="B388" s="72"/>
      <c r="C388" s="73"/>
      <c r="D388" s="72"/>
      <c r="E388" s="73"/>
      <c r="F388" s="74"/>
      <c r="G388" s="72"/>
      <c r="H388" s="73"/>
      <c r="I388" s="75"/>
      <c r="J388" s="75"/>
      <c r="K388" s="75"/>
      <c r="L388" s="74"/>
      <c r="M388" s="76"/>
      <c r="N388" s="75"/>
      <c r="O388" s="75"/>
      <c r="P388" s="75"/>
    </row>
    <row r="389" spans="1:16" ht="15.75" customHeight="1">
      <c r="A389" s="71"/>
      <c r="B389" s="72"/>
      <c r="C389" s="73"/>
      <c r="D389" s="72"/>
      <c r="E389" s="73"/>
      <c r="F389" s="74"/>
      <c r="G389" s="72"/>
      <c r="H389" s="73"/>
      <c r="I389" s="75"/>
      <c r="J389" s="75"/>
      <c r="K389" s="75"/>
      <c r="L389" s="74"/>
      <c r="M389" s="76"/>
      <c r="N389" s="75"/>
      <c r="O389" s="75"/>
      <c r="P389" s="75"/>
    </row>
    <row r="390" spans="1:16" ht="15.75" customHeight="1">
      <c r="A390" s="71"/>
      <c r="B390" s="72"/>
      <c r="C390" s="73"/>
      <c r="D390" s="72"/>
      <c r="E390" s="73"/>
      <c r="F390" s="74"/>
      <c r="G390" s="72"/>
      <c r="H390" s="73"/>
      <c r="I390" s="75"/>
      <c r="J390" s="75"/>
      <c r="K390" s="75"/>
      <c r="L390" s="74"/>
      <c r="M390" s="76"/>
      <c r="N390" s="75"/>
      <c r="O390" s="75"/>
      <c r="P390" s="75"/>
    </row>
    <row r="391" spans="1:16" ht="15.75" customHeight="1">
      <c r="A391" s="71"/>
      <c r="B391" s="72"/>
      <c r="C391" s="73"/>
      <c r="D391" s="72"/>
      <c r="E391" s="73"/>
      <c r="F391" s="74"/>
      <c r="G391" s="72"/>
      <c r="H391" s="73"/>
      <c r="I391" s="75"/>
      <c r="J391" s="75"/>
      <c r="K391" s="75"/>
      <c r="L391" s="74"/>
      <c r="M391" s="76"/>
      <c r="N391" s="75"/>
      <c r="O391" s="75"/>
      <c r="P391" s="75"/>
    </row>
    <row r="392" spans="1:16" ht="15.75" customHeight="1">
      <c r="A392" s="71"/>
      <c r="B392" s="72"/>
      <c r="C392" s="73"/>
      <c r="D392" s="72"/>
      <c r="E392" s="73"/>
      <c r="F392" s="74"/>
      <c r="G392" s="72"/>
      <c r="H392" s="73"/>
      <c r="I392" s="75"/>
      <c r="J392" s="75"/>
      <c r="K392" s="75"/>
      <c r="L392" s="74"/>
      <c r="M392" s="76"/>
      <c r="N392" s="75"/>
      <c r="O392" s="75"/>
      <c r="P392" s="75"/>
    </row>
    <row r="393" spans="1:16" ht="15.75" customHeight="1">
      <c r="A393" s="71"/>
      <c r="B393" s="72"/>
      <c r="C393" s="73"/>
      <c r="D393" s="72"/>
      <c r="E393" s="73"/>
      <c r="F393" s="74"/>
      <c r="G393" s="72"/>
      <c r="H393" s="73"/>
      <c r="I393" s="75"/>
      <c r="J393" s="75"/>
      <c r="K393" s="75"/>
      <c r="L393" s="74"/>
      <c r="M393" s="76"/>
      <c r="N393" s="75"/>
      <c r="O393" s="75"/>
      <c r="P393" s="75"/>
    </row>
    <row r="394" spans="1:16" ht="15.75" customHeight="1">
      <c r="A394" s="71"/>
      <c r="B394" s="72"/>
      <c r="C394" s="73"/>
      <c r="D394" s="72"/>
      <c r="E394" s="73"/>
      <c r="F394" s="74"/>
      <c r="G394" s="72"/>
      <c r="H394" s="73"/>
      <c r="I394" s="75"/>
      <c r="J394" s="75"/>
      <c r="K394" s="75"/>
      <c r="L394" s="74"/>
      <c r="M394" s="76"/>
      <c r="N394" s="75"/>
      <c r="O394" s="75"/>
      <c r="P394" s="75"/>
    </row>
    <row r="395" spans="1:16" ht="15.75" customHeight="1">
      <c r="A395" s="71"/>
      <c r="B395" s="72"/>
      <c r="C395" s="73"/>
      <c r="D395" s="72"/>
      <c r="E395" s="73"/>
      <c r="F395" s="74"/>
      <c r="G395" s="72"/>
      <c r="H395" s="73"/>
      <c r="I395" s="75"/>
      <c r="J395" s="75"/>
      <c r="K395" s="75"/>
      <c r="L395" s="74"/>
      <c r="M395" s="76"/>
      <c r="N395" s="75"/>
      <c r="O395" s="75"/>
      <c r="P395" s="75"/>
    </row>
    <row r="396" spans="1:16" ht="15.75" customHeight="1">
      <c r="A396" s="71"/>
      <c r="B396" s="72"/>
      <c r="C396" s="73"/>
      <c r="D396" s="72"/>
      <c r="E396" s="73"/>
      <c r="F396" s="74"/>
      <c r="G396" s="72"/>
      <c r="H396" s="73"/>
      <c r="I396" s="75"/>
      <c r="J396" s="75"/>
      <c r="K396" s="75"/>
      <c r="L396" s="74"/>
      <c r="M396" s="76"/>
      <c r="N396" s="75"/>
      <c r="O396" s="75"/>
      <c r="P396" s="75"/>
    </row>
    <row r="397" spans="1:16" ht="15.75" customHeight="1">
      <c r="A397" s="71"/>
      <c r="B397" s="72"/>
      <c r="C397" s="73"/>
      <c r="D397" s="72"/>
      <c r="E397" s="73"/>
      <c r="F397" s="74"/>
      <c r="G397" s="72"/>
      <c r="H397" s="73"/>
      <c r="I397" s="75"/>
      <c r="J397" s="75"/>
      <c r="K397" s="75"/>
      <c r="L397" s="74"/>
      <c r="M397" s="76"/>
      <c r="N397" s="75"/>
      <c r="O397" s="75"/>
      <c r="P397" s="75"/>
    </row>
    <row r="398" spans="1:16" ht="15.75" customHeight="1">
      <c r="A398" s="71"/>
      <c r="B398" s="72"/>
      <c r="C398" s="73"/>
      <c r="D398" s="72"/>
      <c r="E398" s="73"/>
      <c r="F398" s="74"/>
      <c r="G398" s="72"/>
      <c r="H398" s="73"/>
      <c r="I398" s="75"/>
      <c r="J398" s="75"/>
      <c r="K398" s="75"/>
      <c r="L398" s="74"/>
      <c r="M398" s="76"/>
      <c r="N398" s="75"/>
      <c r="O398" s="75"/>
      <c r="P398" s="75"/>
    </row>
    <row r="399" spans="1:16" ht="15.75" customHeight="1">
      <c r="A399" s="71"/>
      <c r="B399" s="72"/>
      <c r="C399" s="73"/>
      <c r="D399" s="72"/>
      <c r="E399" s="73"/>
      <c r="F399" s="74"/>
      <c r="G399" s="72"/>
      <c r="H399" s="73"/>
      <c r="I399" s="75"/>
      <c r="J399" s="75"/>
      <c r="K399" s="75"/>
      <c r="L399" s="74"/>
      <c r="M399" s="76"/>
      <c r="N399" s="75"/>
      <c r="O399" s="75"/>
      <c r="P399" s="75"/>
    </row>
    <row r="400" spans="1:16" ht="15.75" customHeight="1">
      <c r="A400" s="71"/>
      <c r="B400" s="72"/>
      <c r="C400" s="73"/>
      <c r="D400" s="72"/>
      <c r="E400" s="73"/>
      <c r="F400" s="74"/>
      <c r="G400" s="72"/>
      <c r="H400" s="73"/>
      <c r="I400" s="75"/>
      <c r="J400" s="75"/>
      <c r="K400" s="75"/>
      <c r="L400" s="74"/>
      <c r="M400" s="76"/>
      <c r="N400" s="75"/>
      <c r="O400" s="75"/>
      <c r="P400" s="75"/>
    </row>
    <row r="401" spans="1:16" ht="15.75" customHeight="1">
      <c r="A401" s="71"/>
      <c r="B401" s="72"/>
      <c r="C401" s="73"/>
      <c r="D401" s="72"/>
      <c r="E401" s="73"/>
      <c r="F401" s="74"/>
      <c r="G401" s="72"/>
      <c r="H401" s="73"/>
      <c r="I401" s="75"/>
      <c r="J401" s="75"/>
      <c r="K401" s="75"/>
      <c r="L401" s="74"/>
      <c r="M401" s="76"/>
      <c r="N401" s="75"/>
      <c r="O401" s="75"/>
      <c r="P401" s="75"/>
    </row>
    <row r="402" spans="1:16" ht="15.75" customHeight="1">
      <c r="A402" s="71"/>
      <c r="B402" s="72"/>
      <c r="C402" s="73"/>
      <c r="D402" s="72"/>
      <c r="E402" s="73"/>
      <c r="F402" s="74"/>
      <c r="G402" s="72"/>
      <c r="H402" s="73"/>
      <c r="I402" s="75"/>
      <c r="J402" s="75"/>
      <c r="K402" s="75"/>
      <c r="L402" s="74"/>
      <c r="M402" s="76"/>
      <c r="N402" s="75"/>
      <c r="O402" s="75"/>
      <c r="P402" s="75"/>
    </row>
    <row r="403" spans="1:16" ht="15.75" customHeight="1">
      <c r="A403" s="71"/>
      <c r="B403" s="72"/>
      <c r="C403" s="73"/>
      <c r="D403" s="72"/>
      <c r="E403" s="73"/>
      <c r="F403" s="74"/>
      <c r="G403" s="72"/>
      <c r="H403" s="73"/>
      <c r="I403" s="75"/>
      <c r="J403" s="75"/>
      <c r="K403" s="75"/>
      <c r="L403" s="74"/>
      <c r="M403" s="76"/>
      <c r="N403" s="75"/>
      <c r="O403" s="75"/>
      <c r="P403" s="75"/>
    </row>
    <row r="404" spans="1:16" ht="15.75" customHeight="1">
      <c r="A404" s="71"/>
      <c r="B404" s="72"/>
      <c r="C404" s="73"/>
      <c r="D404" s="72"/>
      <c r="E404" s="73"/>
      <c r="F404" s="74"/>
      <c r="G404" s="72"/>
      <c r="H404" s="73"/>
      <c r="I404" s="75"/>
      <c r="J404" s="75"/>
      <c r="K404" s="75"/>
      <c r="L404" s="74"/>
      <c r="M404" s="76"/>
      <c r="N404" s="75"/>
      <c r="O404" s="75"/>
      <c r="P404" s="75"/>
    </row>
    <row r="405" spans="1:16" ht="15.75" customHeight="1">
      <c r="A405" s="71"/>
      <c r="B405" s="72"/>
      <c r="C405" s="73"/>
      <c r="D405" s="72"/>
      <c r="E405" s="73"/>
      <c r="F405" s="74"/>
      <c r="G405" s="72"/>
      <c r="H405" s="73"/>
      <c r="I405" s="75"/>
      <c r="J405" s="75"/>
      <c r="K405" s="75"/>
      <c r="L405" s="74"/>
      <c r="M405" s="76"/>
      <c r="N405" s="75"/>
      <c r="O405" s="75"/>
      <c r="P405" s="75"/>
    </row>
    <row r="406" spans="1:16" ht="15.75" customHeight="1">
      <c r="A406" s="71"/>
      <c r="B406" s="72"/>
      <c r="C406" s="73"/>
      <c r="D406" s="72"/>
      <c r="E406" s="73"/>
      <c r="F406" s="74"/>
      <c r="G406" s="72"/>
      <c r="H406" s="73"/>
      <c r="I406" s="75"/>
      <c r="J406" s="75"/>
      <c r="K406" s="75"/>
      <c r="L406" s="74"/>
      <c r="M406" s="76"/>
      <c r="N406" s="75"/>
      <c r="O406" s="75"/>
      <c r="P406" s="75"/>
    </row>
    <row r="407" spans="1:16" ht="15.75" customHeight="1">
      <c r="A407" s="71"/>
      <c r="B407" s="72"/>
      <c r="C407" s="73"/>
      <c r="D407" s="72"/>
      <c r="E407" s="73"/>
      <c r="F407" s="74"/>
      <c r="G407" s="72"/>
      <c r="H407" s="73"/>
      <c r="I407" s="75"/>
      <c r="J407" s="75"/>
      <c r="K407" s="75"/>
      <c r="L407" s="74"/>
      <c r="M407" s="76"/>
      <c r="N407" s="75"/>
      <c r="O407" s="75"/>
      <c r="P407" s="75"/>
    </row>
    <row r="408" spans="1:16" ht="15.75" customHeight="1">
      <c r="A408" s="71"/>
      <c r="B408" s="72"/>
      <c r="C408" s="73"/>
      <c r="D408" s="72"/>
      <c r="E408" s="73"/>
      <c r="F408" s="74"/>
      <c r="G408" s="72"/>
      <c r="H408" s="73"/>
      <c r="I408" s="75"/>
      <c r="J408" s="75"/>
      <c r="K408" s="75"/>
      <c r="L408" s="74"/>
      <c r="M408" s="76"/>
      <c r="N408" s="75"/>
      <c r="O408" s="75"/>
      <c r="P408" s="75"/>
    </row>
    <row r="409" spans="1:16" ht="15.75" customHeight="1">
      <c r="A409" s="71"/>
      <c r="B409" s="72"/>
      <c r="C409" s="73"/>
      <c r="D409" s="72"/>
      <c r="E409" s="73"/>
      <c r="F409" s="74"/>
      <c r="G409" s="72"/>
      <c r="H409" s="73"/>
      <c r="I409" s="75"/>
      <c r="J409" s="75"/>
      <c r="K409" s="75"/>
      <c r="L409" s="74"/>
      <c r="M409" s="76"/>
      <c r="N409" s="75"/>
      <c r="O409" s="75"/>
      <c r="P409" s="75"/>
    </row>
    <row r="410" spans="1:16" ht="15.75" customHeight="1">
      <c r="A410" s="71"/>
      <c r="B410" s="72"/>
      <c r="C410" s="73"/>
      <c r="D410" s="72"/>
      <c r="E410" s="73"/>
      <c r="F410" s="74"/>
      <c r="G410" s="72"/>
      <c r="H410" s="73"/>
      <c r="I410" s="75"/>
      <c r="J410" s="75"/>
      <c r="K410" s="75"/>
      <c r="L410" s="74"/>
      <c r="M410" s="76"/>
      <c r="N410" s="75"/>
      <c r="O410" s="75"/>
      <c r="P410" s="75"/>
    </row>
    <row r="411" spans="1:16" ht="15.75" customHeight="1">
      <c r="A411" s="71"/>
      <c r="B411" s="72"/>
      <c r="C411" s="73"/>
      <c r="D411" s="72"/>
      <c r="E411" s="73"/>
      <c r="F411" s="74"/>
      <c r="G411" s="72"/>
      <c r="H411" s="73"/>
      <c r="I411" s="75"/>
      <c r="J411" s="75"/>
      <c r="K411" s="75"/>
      <c r="L411" s="74"/>
      <c r="M411" s="76"/>
      <c r="N411" s="75"/>
      <c r="O411" s="75"/>
      <c r="P411" s="75"/>
    </row>
    <row r="412" spans="1:16" ht="15.75" customHeight="1">
      <c r="A412" s="71"/>
      <c r="B412" s="72"/>
      <c r="C412" s="73"/>
      <c r="D412" s="72"/>
      <c r="E412" s="73"/>
      <c r="F412" s="74"/>
      <c r="G412" s="72"/>
      <c r="H412" s="73"/>
      <c r="I412" s="75"/>
      <c r="J412" s="75"/>
      <c r="K412" s="75"/>
      <c r="L412" s="74"/>
      <c r="M412" s="76"/>
      <c r="N412" s="75"/>
      <c r="O412" s="75"/>
      <c r="P412" s="75"/>
    </row>
    <row r="413" spans="1:16" ht="15.75" customHeight="1">
      <c r="A413" s="71"/>
      <c r="B413" s="72"/>
      <c r="C413" s="73"/>
      <c r="D413" s="72"/>
      <c r="E413" s="73"/>
      <c r="F413" s="74"/>
      <c r="G413" s="72"/>
      <c r="H413" s="73"/>
      <c r="I413" s="75"/>
      <c r="J413" s="75"/>
      <c r="K413" s="75"/>
      <c r="L413" s="74"/>
      <c r="M413" s="76"/>
      <c r="N413" s="75"/>
      <c r="O413" s="75"/>
      <c r="P413" s="75"/>
    </row>
    <row r="414" spans="1:16" ht="15.75" customHeight="1">
      <c r="A414" s="71"/>
      <c r="B414" s="72"/>
      <c r="C414" s="73"/>
      <c r="D414" s="72"/>
      <c r="E414" s="73"/>
      <c r="F414" s="74"/>
      <c r="G414" s="72"/>
      <c r="H414" s="73"/>
      <c r="I414" s="75"/>
      <c r="J414" s="75"/>
      <c r="K414" s="75"/>
      <c r="L414" s="74"/>
      <c r="M414" s="76"/>
      <c r="N414" s="75"/>
      <c r="O414" s="75"/>
      <c r="P414" s="75"/>
    </row>
    <row r="415" spans="1:16" ht="15.75" customHeight="1">
      <c r="A415" s="71"/>
      <c r="B415" s="72"/>
      <c r="C415" s="73"/>
      <c r="D415" s="72"/>
      <c r="E415" s="73"/>
      <c r="F415" s="74"/>
      <c r="G415" s="72"/>
      <c r="H415" s="73"/>
      <c r="I415" s="75"/>
      <c r="J415" s="75"/>
      <c r="K415" s="75"/>
      <c r="L415" s="74"/>
      <c r="M415" s="76"/>
      <c r="N415" s="75"/>
      <c r="O415" s="75"/>
      <c r="P415" s="75"/>
    </row>
    <row r="416" spans="1:16" ht="15.75" customHeight="1">
      <c r="A416" s="71"/>
      <c r="B416" s="72"/>
      <c r="C416" s="73"/>
      <c r="D416" s="72"/>
      <c r="E416" s="73"/>
      <c r="F416" s="74"/>
      <c r="G416" s="72"/>
      <c r="H416" s="73"/>
      <c r="I416" s="75"/>
      <c r="J416" s="75"/>
      <c r="K416" s="75"/>
      <c r="L416" s="74"/>
      <c r="M416" s="76"/>
      <c r="N416" s="75"/>
      <c r="O416" s="75"/>
      <c r="P416" s="75"/>
    </row>
    <row r="417" spans="1:16" ht="15.75" customHeight="1">
      <c r="A417" s="71"/>
      <c r="B417" s="72"/>
      <c r="C417" s="73"/>
      <c r="D417" s="72"/>
      <c r="E417" s="73"/>
      <c r="F417" s="74"/>
      <c r="G417" s="72"/>
      <c r="H417" s="73"/>
      <c r="I417" s="75"/>
      <c r="J417" s="75"/>
      <c r="K417" s="75"/>
      <c r="L417" s="74"/>
      <c r="M417" s="76"/>
      <c r="N417" s="75"/>
      <c r="O417" s="75"/>
      <c r="P417" s="75"/>
    </row>
    <row r="418" spans="1:16" ht="15.75" customHeight="1">
      <c r="A418" s="71"/>
      <c r="B418" s="72"/>
      <c r="C418" s="73"/>
      <c r="D418" s="72"/>
      <c r="E418" s="73"/>
      <c r="F418" s="74"/>
      <c r="G418" s="72"/>
      <c r="H418" s="73"/>
      <c r="I418" s="75"/>
      <c r="J418" s="75"/>
      <c r="K418" s="75"/>
      <c r="L418" s="74"/>
      <c r="M418" s="76"/>
      <c r="N418" s="75"/>
      <c r="O418" s="75"/>
      <c r="P418" s="75"/>
    </row>
    <row r="419" spans="1:16" ht="15.75" customHeight="1">
      <c r="A419" s="71"/>
      <c r="B419" s="72"/>
      <c r="C419" s="73"/>
      <c r="D419" s="72"/>
      <c r="E419" s="73"/>
      <c r="F419" s="74"/>
      <c r="G419" s="72"/>
      <c r="H419" s="73"/>
      <c r="I419" s="75"/>
      <c r="J419" s="75"/>
      <c r="K419" s="75"/>
      <c r="L419" s="74"/>
      <c r="M419" s="76"/>
      <c r="N419" s="75"/>
      <c r="O419" s="75"/>
      <c r="P419" s="75"/>
    </row>
    <row r="420" spans="1:16" ht="15.75" customHeight="1">
      <c r="A420" s="71"/>
      <c r="B420" s="72"/>
      <c r="C420" s="73"/>
      <c r="D420" s="72"/>
      <c r="E420" s="73"/>
      <c r="F420" s="74"/>
      <c r="G420" s="72"/>
      <c r="H420" s="73"/>
      <c r="I420" s="75"/>
      <c r="J420" s="75"/>
      <c r="K420" s="75"/>
      <c r="L420" s="74"/>
      <c r="M420" s="76"/>
      <c r="N420" s="75"/>
      <c r="O420" s="75"/>
      <c r="P420" s="75"/>
    </row>
    <row r="421" spans="1:16" ht="15.75" customHeight="1">
      <c r="A421" s="71"/>
      <c r="B421" s="72"/>
      <c r="C421" s="73"/>
      <c r="D421" s="72"/>
      <c r="E421" s="73"/>
      <c r="F421" s="74"/>
      <c r="G421" s="72"/>
      <c r="H421" s="73"/>
      <c r="I421" s="75"/>
      <c r="J421" s="75"/>
      <c r="K421" s="75"/>
      <c r="L421" s="74"/>
      <c r="M421" s="76"/>
      <c r="N421" s="75"/>
      <c r="O421" s="75"/>
      <c r="P421" s="75"/>
    </row>
    <row r="422" spans="1:16" ht="15.75" customHeight="1">
      <c r="A422" s="71"/>
      <c r="B422" s="72"/>
      <c r="C422" s="73"/>
      <c r="D422" s="72"/>
      <c r="E422" s="73"/>
      <c r="F422" s="74"/>
      <c r="G422" s="72"/>
      <c r="H422" s="73"/>
      <c r="I422" s="75"/>
      <c r="J422" s="75"/>
      <c r="K422" s="75"/>
      <c r="L422" s="74"/>
      <c r="M422" s="76"/>
      <c r="N422" s="75"/>
      <c r="O422" s="75"/>
      <c r="P422" s="75"/>
    </row>
    <row r="423" spans="1:16" ht="15.75" customHeight="1">
      <c r="A423" s="71"/>
      <c r="B423" s="72"/>
      <c r="C423" s="73"/>
      <c r="D423" s="72"/>
      <c r="E423" s="73"/>
      <c r="F423" s="74"/>
      <c r="G423" s="72"/>
      <c r="H423" s="73"/>
      <c r="I423" s="75"/>
      <c r="J423" s="75"/>
      <c r="K423" s="75"/>
      <c r="L423" s="74"/>
      <c r="M423" s="76"/>
      <c r="N423" s="75"/>
      <c r="O423" s="75"/>
      <c r="P423" s="75"/>
    </row>
    <row r="424" spans="1:16" ht="15.75" customHeight="1">
      <c r="A424" s="71"/>
      <c r="B424" s="72"/>
      <c r="C424" s="73"/>
      <c r="D424" s="72"/>
      <c r="E424" s="73"/>
      <c r="F424" s="74"/>
      <c r="G424" s="72"/>
      <c r="H424" s="73"/>
      <c r="I424" s="75"/>
      <c r="J424" s="75"/>
      <c r="K424" s="75"/>
      <c r="L424" s="74"/>
      <c r="M424" s="76"/>
      <c r="N424" s="75"/>
      <c r="O424" s="75"/>
      <c r="P424" s="75"/>
    </row>
    <row r="425" spans="1:16" ht="15.75" customHeight="1">
      <c r="A425" s="71"/>
      <c r="B425" s="72"/>
      <c r="C425" s="73"/>
      <c r="D425" s="72"/>
      <c r="E425" s="73"/>
      <c r="F425" s="74"/>
      <c r="G425" s="72"/>
      <c r="H425" s="73"/>
      <c r="I425" s="75"/>
      <c r="J425" s="75"/>
      <c r="K425" s="75"/>
      <c r="L425" s="74"/>
      <c r="M425" s="76"/>
      <c r="N425" s="75"/>
      <c r="O425" s="75"/>
      <c r="P425" s="75"/>
    </row>
    <row r="426" spans="1:16" ht="15.75" customHeight="1">
      <c r="A426" s="71"/>
      <c r="B426" s="72"/>
      <c r="C426" s="73"/>
      <c r="D426" s="72"/>
      <c r="E426" s="73"/>
      <c r="F426" s="74"/>
      <c r="G426" s="72"/>
      <c r="H426" s="73"/>
      <c r="I426" s="75"/>
      <c r="J426" s="75"/>
      <c r="K426" s="75"/>
      <c r="L426" s="74"/>
      <c r="M426" s="76"/>
      <c r="N426" s="75"/>
      <c r="O426" s="75"/>
      <c r="P426" s="75"/>
    </row>
    <row r="427" spans="1:16" ht="15.75" customHeight="1">
      <c r="A427" s="71"/>
      <c r="B427" s="72"/>
      <c r="C427" s="73"/>
      <c r="D427" s="72"/>
      <c r="E427" s="73"/>
      <c r="F427" s="74"/>
      <c r="G427" s="72"/>
      <c r="H427" s="73"/>
      <c r="I427" s="75"/>
      <c r="J427" s="75"/>
      <c r="K427" s="75"/>
      <c r="L427" s="74"/>
      <c r="M427" s="76"/>
      <c r="N427" s="75"/>
      <c r="O427" s="75"/>
      <c r="P427" s="75"/>
    </row>
    <row r="428" spans="1:16" ht="15.75" customHeight="1">
      <c r="A428" s="71"/>
      <c r="B428" s="72"/>
      <c r="C428" s="73"/>
      <c r="D428" s="72"/>
      <c r="E428" s="73"/>
      <c r="F428" s="74"/>
      <c r="G428" s="72"/>
      <c r="H428" s="73"/>
      <c r="I428" s="75"/>
      <c r="J428" s="75"/>
      <c r="K428" s="75"/>
      <c r="L428" s="74"/>
      <c r="M428" s="76"/>
      <c r="N428" s="75"/>
      <c r="O428" s="75"/>
      <c r="P428" s="75"/>
    </row>
    <row r="429" spans="1:16" ht="15.75" customHeight="1">
      <c r="A429" s="71"/>
      <c r="B429" s="72"/>
      <c r="C429" s="73"/>
      <c r="D429" s="72"/>
      <c r="E429" s="73"/>
      <c r="F429" s="74"/>
      <c r="G429" s="72"/>
      <c r="H429" s="73"/>
      <c r="I429" s="75"/>
      <c r="J429" s="75"/>
      <c r="K429" s="75"/>
      <c r="L429" s="74"/>
      <c r="M429" s="76"/>
      <c r="N429" s="75"/>
      <c r="O429" s="75"/>
      <c r="P429" s="75"/>
    </row>
    <row r="430" spans="1:16" ht="15.75" customHeight="1">
      <c r="A430" s="71"/>
      <c r="B430" s="72"/>
      <c r="C430" s="73"/>
      <c r="D430" s="72"/>
      <c r="E430" s="73"/>
      <c r="F430" s="74"/>
      <c r="G430" s="72"/>
      <c r="H430" s="73"/>
      <c r="I430" s="75"/>
      <c r="J430" s="75"/>
      <c r="K430" s="75"/>
      <c r="L430" s="74"/>
      <c r="M430" s="76"/>
      <c r="N430" s="75"/>
      <c r="O430" s="75"/>
      <c r="P430" s="75"/>
    </row>
    <row r="431" spans="1:16" ht="15.75" customHeight="1">
      <c r="A431" s="71"/>
      <c r="B431" s="72"/>
      <c r="C431" s="73"/>
      <c r="D431" s="72"/>
      <c r="E431" s="73"/>
      <c r="F431" s="74"/>
      <c r="G431" s="72"/>
      <c r="H431" s="73"/>
      <c r="I431" s="75"/>
      <c r="J431" s="75"/>
      <c r="K431" s="75"/>
      <c r="L431" s="74"/>
      <c r="M431" s="76"/>
      <c r="N431" s="75"/>
      <c r="O431" s="75"/>
      <c r="P431" s="75"/>
    </row>
    <row r="432" spans="1:16" ht="15.75" customHeight="1">
      <c r="A432" s="71"/>
      <c r="B432" s="72"/>
      <c r="C432" s="73"/>
      <c r="D432" s="72"/>
      <c r="E432" s="73"/>
      <c r="F432" s="74"/>
      <c r="G432" s="72"/>
      <c r="H432" s="73"/>
      <c r="I432" s="75"/>
      <c r="J432" s="75"/>
      <c r="K432" s="75"/>
      <c r="L432" s="74"/>
      <c r="M432" s="76"/>
      <c r="N432" s="75"/>
      <c r="O432" s="75"/>
      <c r="P432" s="75"/>
    </row>
    <row r="433" spans="1:16" ht="15.75" customHeight="1">
      <c r="A433" s="71"/>
      <c r="B433" s="72"/>
      <c r="C433" s="73"/>
      <c r="D433" s="72"/>
      <c r="E433" s="73"/>
      <c r="F433" s="74"/>
      <c r="G433" s="72"/>
      <c r="H433" s="73"/>
      <c r="I433" s="75"/>
      <c r="J433" s="75"/>
      <c r="K433" s="75"/>
      <c r="L433" s="74"/>
      <c r="M433" s="76"/>
      <c r="N433" s="75"/>
      <c r="O433" s="75"/>
      <c r="P433" s="75"/>
    </row>
    <row r="434" spans="1:16" ht="15.75" customHeight="1">
      <c r="A434" s="71"/>
      <c r="B434" s="72"/>
      <c r="C434" s="73"/>
      <c r="D434" s="72"/>
      <c r="E434" s="73"/>
      <c r="F434" s="74"/>
      <c r="G434" s="72"/>
      <c r="H434" s="73"/>
      <c r="I434" s="75"/>
      <c r="J434" s="75"/>
      <c r="K434" s="75"/>
      <c r="L434" s="74"/>
      <c r="M434" s="76"/>
      <c r="N434" s="75"/>
      <c r="O434" s="75"/>
      <c r="P434" s="75"/>
    </row>
    <row r="435" spans="1:16" ht="15.75" customHeight="1">
      <c r="A435" s="71"/>
      <c r="B435" s="72"/>
      <c r="C435" s="73"/>
      <c r="D435" s="72"/>
      <c r="E435" s="73"/>
      <c r="F435" s="74"/>
      <c r="G435" s="72"/>
      <c r="H435" s="73"/>
      <c r="I435" s="75"/>
      <c r="J435" s="75"/>
      <c r="K435" s="75"/>
      <c r="L435" s="74"/>
      <c r="M435" s="76"/>
      <c r="N435" s="75"/>
      <c r="O435" s="75"/>
      <c r="P435" s="75"/>
    </row>
    <row r="436" spans="1:16" ht="15.75" customHeight="1">
      <c r="A436" s="71"/>
      <c r="B436" s="72"/>
      <c r="C436" s="73"/>
      <c r="D436" s="72"/>
      <c r="E436" s="73"/>
      <c r="F436" s="74"/>
      <c r="G436" s="72"/>
      <c r="H436" s="73"/>
      <c r="I436" s="75"/>
      <c r="J436" s="75"/>
      <c r="K436" s="75"/>
      <c r="L436" s="74"/>
      <c r="M436" s="76"/>
      <c r="N436" s="75"/>
      <c r="O436" s="75"/>
      <c r="P436" s="75"/>
    </row>
    <row r="437" spans="1:16" ht="15.75" customHeight="1">
      <c r="A437" s="71"/>
      <c r="B437" s="72"/>
      <c r="C437" s="73"/>
      <c r="D437" s="72"/>
      <c r="E437" s="73"/>
      <c r="F437" s="74"/>
      <c r="G437" s="72"/>
      <c r="H437" s="73"/>
      <c r="I437" s="75"/>
      <c r="J437" s="75"/>
      <c r="K437" s="75"/>
      <c r="L437" s="74"/>
      <c r="M437" s="76"/>
      <c r="N437" s="75"/>
      <c r="O437" s="75"/>
      <c r="P437" s="75"/>
    </row>
    <row r="438" spans="1:16" ht="15.75" customHeight="1">
      <c r="A438" s="71"/>
      <c r="B438" s="72"/>
      <c r="C438" s="73"/>
      <c r="D438" s="72"/>
      <c r="E438" s="73"/>
      <c r="F438" s="74"/>
      <c r="G438" s="72"/>
      <c r="H438" s="73"/>
      <c r="I438" s="75"/>
      <c r="J438" s="75"/>
      <c r="K438" s="75"/>
      <c r="L438" s="74"/>
      <c r="M438" s="76"/>
      <c r="N438" s="75"/>
      <c r="O438" s="75"/>
      <c r="P438" s="75"/>
    </row>
    <row r="439" spans="1:16" ht="15.75" customHeight="1">
      <c r="A439" s="71"/>
      <c r="B439" s="72"/>
      <c r="C439" s="73"/>
      <c r="D439" s="72"/>
      <c r="E439" s="73"/>
      <c r="F439" s="74"/>
      <c r="G439" s="72"/>
      <c r="H439" s="73"/>
      <c r="I439" s="75"/>
      <c r="J439" s="75"/>
      <c r="K439" s="75"/>
      <c r="L439" s="74"/>
      <c r="M439" s="76"/>
      <c r="N439" s="75"/>
      <c r="O439" s="75"/>
      <c r="P439" s="75"/>
    </row>
    <row r="440" spans="1:16" ht="15.75" customHeight="1">
      <c r="A440" s="71"/>
      <c r="B440" s="72"/>
      <c r="C440" s="73"/>
      <c r="D440" s="72"/>
      <c r="E440" s="73"/>
      <c r="F440" s="74"/>
      <c r="G440" s="72"/>
      <c r="H440" s="73"/>
      <c r="I440" s="75"/>
      <c r="J440" s="75"/>
      <c r="K440" s="75"/>
      <c r="L440" s="74"/>
      <c r="M440" s="76"/>
      <c r="N440" s="75"/>
      <c r="O440" s="75"/>
      <c r="P440" s="75"/>
    </row>
    <row r="441" spans="1:16" ht="15.75" customHeight="1">
      <c r="A441" s="71"/>
      <c r="B441" s="72"/>
      <c r="C441" s="73"/>
      <c r="D441" s="72"/>
      <c r="E441" s="73"/>
      <c r="F441" s="74"/>
      <c r="G441" s="72"/>
      <c r="H441" s="73"/>
      <c r="I441" s="75"/>
      <c r="J441" s="75"/>
      <c r="K441" s="75"/>
      <c r="L441" s="74"/>
      <c r="M441" s="76"/>
      <c r="N441" s="75"/>
      <c r="O441" s="75"/>
      <c r="P441" s="75"/>
    </row>
    <row r="442" spans="1:16" ht="15.75" customHeight="1">
      <c r="A442" s="71"/>
      <c r="B442" s="72"/>
      <c r="C442" s="73"/>
      <c r="D442" s="72"/>
      <c r="E442" s="73"/>
      <c r="F442" s="74"/>
      <c r="G442" s="72"/>
      <c r="H442" s="73"/>
      <c r="I442" s="75"/>
      <c r="J442" s="75"/>
      <c r="K442" s="75"/>
      <c r="L442" s="74"/>
      <c r="M442" s="76"/>
      <c r="N442" s="75"/>
      <c r="O442" s="75"/>
      <c r="P442" s="75"/>
    </row>
    <row r="443" spans="1:16" ht="15.75" customHeight="1">
      <c r="A443" s="71"/>
      <c r="B443" s="72"/>
      <c r="C443" s="73"/>
      <c r="D443" s="72"/>
      <c r="E443" s="73"/>
      <c r="F443" s="74"/>
      <c r="G443" s="72"/>
      <c r="H443" s="73"/>
      <c r="I443" s="75"/>
      <c r="J443" s="75"/>
      <c r="K443" s="75"/>
      <c r="L443" s="74"/>
      <c r="M443" s="76"/>
      <c r="N443" s="75"/>
      <c r="O443" s="75"/>
      <c r="P443" s="75"/>
    </row>
    <row r="444" spans="1:16" ht="15.75" customHeight="1">
      <c r="A444" s="71"/>
      <c r="B444" s="72"/>
      <c r="C444" s="73"/>
      <c r="D444" s="72"/>
      <c r="E444" s="73"/>
      <c r="F444" s="74"/>
      <c r="G444" s="72"/>
      <c r="H444" s="73"/>
      <c r="I444" s="75"/>
      <c r="J444" s="75"/>
      <c r="K444" s="75"/>
      <c r="L444" s="74"/>
      <c r="M444" s="76"/>
      <c r="N444" s="75"/>
      <c r="O444" s="75"/>
      <c r="P444" s="75"/>
    </row>
    <row r="445" spans="1:16" ht="15.75" customHeight="1">
      <c r="A445" s="71"/>
      <c r="B445" s="72"/>
      <c r="C445" s="73"/>
      <c r="D445" s="72"/>
      <c r="E445" s="73"/>
      <c r="F445" s="74"/>
      <c r="G445" s="72"/>
      <c r="H445" s="73"/>
      <c r="I445" s="75"/>
      <c r="J445" s="75"/>
      <c r="K445" s="75"/>
      <c r="L445" s="74"/>
      <c r="M445" s="76"/>
      <c r="N445" s="75"/>
      <c r="O445" s="75"/>
      <c r="P445" s="75"/>
    </row>
    <row r="446" spans="1:16" ht="15.75" customHeight="1">
      <c r="A446" s="71"/>
      <c r="B446" s="72"/>
      <c r="C446" s="73"/>
      <c r="D446" s="72"/>
      <c r="E446" s="73"/>
      <c r="F446" s="74"/>
      <c r="G446" s="72"/>
      <c r="H446" s="73"/>
      <c r="I446" s="75"/>
      <c r="J446" s="75"/>
      <c r="K446" s="75"/>
      <c r="L446" s="74"/>
      <c r="M446" s="76"/>
      <c r="N446" s="75"/>
      <c r="O446" s="75"/>
      <c r="P446" s="75"/>
    </row>
    <row r="447" spans="1:16" ht="15.75" customHeight="1">
      <c r="A447" s="71"/>
      <c r="B447" s="72"/>
      <c r="C447" s="73"/>
      <c r="D447" s="72"/>
      <c r="E447" s="73"/>
      <c r="F447" s="74"/>
      <c r="G447" s="72"/>
      <c r="H447" s="73"/>
      <c r="I447" s="75"/>
      <c r="J447" s="75"/>
      <c r="K447" s="75"/>
      <c r="L447" s="74"/>
      <c r="M447" s="76"/>
      <c r="N447" s="75"/>
      <c r="O447" s="75"/>
      <c r="P447" s="75"/>
    </row>
    <row r="448" spans="1:16" ht="15.75" customHeight="1">
      <c r="A448" s="71"/>
      <c r="B448" s="72"/>
      <c r="C448" s="73"/>
      <c r="D448" s="72"/>
      <c r="E448" s="73"/>
      <c r="F448" s="74"/>
      <c r="G448" s="72"/>
      <c r="H448" s="73"/>
      <c r="I448" s="75"/>
      <c r="J448" s="75"/>
      <c r="K448" s="75"/>
      <c r="L448" s="74"/>
      <c r="M448" s="76"/>
      <c r="N448" s="75"/>
      <c r="O448" s="75"/>
      <c r="P448" s="75"/>
    </row>
    <row r="449" spans="1:16" ht="15.75" customHeight="1">
      <c r="A449" s="71"/>
      <c r="B449" s="72"/>
      <c r="C449" s="73"/>
      <c r="D449" s="72"/>
      <c r="E449" s="73"/>
      <c r="F449" s="74"/>
      <c r="G449" s="72"/>
      <c r="H449" s="73"/>
      <c r="I449" s="75"/>
      <c r="J449" s="75"/>
      <c r="K449" s="75"/>
      <c r="L449" s="74"/>
      <c r="M449" s="76"/>
      <c r="N449" s="75"/>
      <c r="O449" s="75"/>
      <c r="P449" s="75"/>
    </row>
    <row r="450" spans="1:16" ht="15.75" customHeight="1">
      <c r="A450" s="71"/>
      <c r="B450" s="72"/>
      <c r="C450" s="73"/>
      <c r="D450" s="72"/>
      <c r="E450" s="73"/>
      <c r="F450" s="74"/>
      <c r="G450" s="72"/>
      <c r="H450" s="73"/>
      <c r="I450" s="75"/>
      <c r="J450" s="75"/>
      <c r="K450" s="75"/>
      <c r="L450" s="74"/>
      <c r="M450" s="76"/>
      <c r="N450" s="75"/>
      <c r="O450" s="75"/>
      <c r="P450" s="75"/>
    </row>
    <row r="451" spans="1:16" ht="15.75" customHeight="1">
      <c r="A451" s="71"/>
      <c r="B451" s="72"/>
      <c r="C451" s="73"/>
      <c r="D451" s="72"/>
      <c r="E451" s="73"/>
      <c r="F451" s="74"/>
      <c r="G451" s="72"/>
      <c r="H451" s="73"/>
      <c r="I451" s="75"/>
      <c r="J451" s="75"/>
      <c r="K451" s="75"/>
      <c r="L451" s="74"/>
      <c r="M451" s="76"/>
      <c r="N451" s="75"/>
      <c r="O451" s="75"/>
      <c r="P451" s="75"/>
    </row>
    <row r="452" spans="1:16" ht="15.75" customHeight="1">
      <c r="A452" s="71"/>
      <c r="B452" s="72"/>
      <c r="C452" s="73"/>
      <c r="D452" s="72"/>
      <c r="E452" s="73"/>
      <c r="F452" s="74"/>
      <c r="G452" s="72"/>
      <c r="H452" s="73"/>
      <c r="I452" s="75"/>
      <c r="J452" s="75"/>
      <c r="K452" s="75"/>
      <c r="L452" s="74"/>
      <c r="M452" s="76"/>
      <c r="N452" s="75"/>
      <c r="O452" s="75"/>
      <c r="P452" s="75"/>
    </row>
    <row r="453" spans="1:16" ht="15.75" customHeight="1">
      <c r="A453" s="71"/>
      <c r="B453" s="72"/>
      <c r="C453" s="73"/>
      <c r="D453" s="72"/>
      <c r="E453" s="73"/>
      <c r="F453" s="74"/>
      <c r="G453" s="72"/>
      <c r="H453" s="73"/>
      <c r="I453" s="75"/>
      <c r="J453" s="75"/>
      <c r="K453" s="75"/>
      <c r="L453" s="74"/>
      <c r="M453" s="76"/>
      <c r="N453" s="75"/>
      <c r="O453" s="75"/>
      <c r="P453" s="75"/>
    </row>
    <row r="454" spans="1:16" ht="15.75" customHeight="1">
      <c r="A454" s="71"/>
      <c r="B454" s="72"/>
      <c r="C454" s="73"/>
      <c r="D454" s="72"/>
      <c r="E454" s="73"/>
      <c r="F454" s="74"/>
      <c r="G454" s="72"/>
      <c r="H454" s="73"/>
      <c r="I454" s="75"/>
      <c r="J454" s="75"/>
      <c r="K454" s="75"/>
      <c r="L454" s="74"/>
      <c r="M454" s="76"/>
      <c r="N454" s="75"/>
      <c r="O454" s="75"/>
      <c r="P454" s="75"/>
    </row>
    <row r="455" spans="1:16" ht="15.75" customHeight="1">
      <c r="A455" s="71"/>
      <c r="B455" s="72"/>
      <c r="C455" s="73"/>
      <c r="D455" s="72"/>
      <c r="E455" s="73"/>
      <c r="F455" s="74"/>
      <c r="G455" s="72"/>
      <c r="H455" s="73"/>
      <c r="I455" s="75"/>
      <c r="J455" s="75"/>
      <c r="K455" s="75"/>
      <c r="L455" s="74"/>
      <c r="M455" s="76"/>
      <c r="N455" s="75"/>
      <c r="O455" s="75"/>
      <c r="P455" s="75"/>
    </row>
    <row r="456" spans="1:16" ht="15.75" customHeight="1">
      <c r="A456" s="71"/>
      <c r="B456" s="72"/>
      <c r="C456" s="73"/>
      <c r="D456" s="72"/>
      <c r="E456" s="73"/>
      <c r="F456" s="74"/>
      <c r="G456" s="72"/>
      <c r="H456" s="73"/>
      <c r="I456" s="75"/>
      <c r="J456" s="75"/>
      <c r="K456" s="75"/>
      <c r="L456" s="74"/>
      <c r="M456" s="76"/>
      <c r="N456" s="75"/>
      <c r="O456" s="75"/>
      <c r="P456" s="75"/>
    </row>
    <row r="457" spans="1:16" ht="15.75" customHeight="1">
      <c r="A457" s="71"/>
      <c r="B457" s="72"/>
      <c r="C457" s="73"/>
      <c r="D457" s="72"/>
      <c r="E457" s="73"/>
      <c r="F457" s="74"/>
      <c r="G457" s="72"/>
      <c r="H457" s="73"/>
      <c r="I457" s="75"/>
      <c r="J457" s="75"/>
      <c r="K457" s="75"/>
      <c r="L457" s="74"/>
      <c r="M457" s="76"/>
      <c r="N457" s="75"/>
      <c r="O457" s="75"/>
      <c r="P457" s="75"/>
    </row>
    <row r="458" spans="1:16" ht="15.75" customHeight="1">
      <c r="A458" s="71"/>
      <c r="B458" s="72"/>
      <c r="C458" s="73"/>
      <c r="D458" s="72"/>
      <c r="E458" s="73"/>
      <c r="F458" s="74"/>
      <c r="G458" s="72"/>
      <c r="H458" s="73"/>
      <c r="I458" s="75"/>
      <c r="J458" s="75"/>
      <c r="K458" s="75"/>
      <c r="L458" s="74"/>
      <c r="M458" s="76"/>
      <c r="N458" s="75"/>
      <c r="O458" s="75"/>
      <c r="P458" s="75"/>
    </row>
    <row r="459" spans="1:16" ht="15.75" customHeight="1">
      <c r="A459" s="71"/>
      <c r="B459" s="72"/>
      <c r="C459" s="73"/>
      <c r="D459" s="72"/>
      <c r="E459" s="73"/>
      <c r="F459" s="74"/>
      <c r="G459" s="72"/>
      <c r="H459" s="73"/>
      <c r="I459" s="75"/>
      <c r="J459" s="75"/>
      <c r="K459" s="75"/>
      <c r="L459" s="74"/>
      <c r="M459" s="76"/>
      <c r="N459" s="75"/>
      <c r="O459" s="75"/>
      <c r="P459" s="75"/>
    </row>
    <row r="460" spans="1:16" ht="15.75" customHeight="1">
      <c r="A460" s="71"/>
      <c r="B460" s="72"/>
      <c r="C460" s="73"/>
      <c r="D460" s="72"/>
      <c r="E460" s="73"/>
      <c r="F460" s="74"/>
      <c r="G460" s="72"/>
      <c r="H460" s="73"/>
      <c r="I460" s="75"/>
      <c r="J460" s="75"/>
      <c r="K460" s="75"/>
      <c r="L460" s="74"/>
      <c r="M460" s="76"/>
      <c r="N460" s="75"/>
      <c r="O460" s="75"/>
      <c r="P460" s="75"/>
    </row>
    <row r="461" spans="1:16" ht="15.75" customHeight="1">
      <c r="A461" s="71"/>
      <c r="B461" s="72"/>
      <c r="C461" s="73"/>
      <c r="D461" s="72"/>
      <c r="E461" s="73"/>
      <c r="F461" s="74"/>
      <c r="G461" s="72"/>
      <c r="H461" s="73"/>
      <c r="I461" s="75"/>
      <c r="J461" s="75"/>
      <c r="K461" s="75"/>
      <c r="L461" s="74"/>
      <c r="M461" s="76"/>
      <c r="N461" s="75"/>
      <c r="O461" s="75"/>
      <c r="P461" s="75"/>
    </row>
    <row r="462" spans="1:16" ht="15.75" customHeight="1">
      <c r="A462" s="71"/>
      <c r="B462" s="72"/>
      <c r="C462" s="73"/>
      <c r="D462" s="72"/>
      <c r="E462" s="73"/>
      <c r="F462" s="74"/>
      <c r="G462" s="72"/>
      <c r="H462" s="73"/>
      <c r="I462" s="75"/>
      <c r="J462" s="75"/>
      <c r="K462" s="75"/>
      <c r="L462" s="74"/>
      <c r="M462" s="76"/>
      <c r="N462" s="75"/>
      <c r="O462" s="75"/>
      <c r="P462" s="75"/>
    </row>
    <row r="463" spans="1:16" ht="15.75" customHeight="1">
      <c r="A463" s="71"/>
      <c r="B463" s="72"/>
      <c r="C463" s="73"/>
      <c r="D463" s="72"/>
      <c r="E463" s="73"/>
      <c r="F463" s="74"/>
      <c r="G463" s="72"/>
      <c r="H463" s="73"/>
      <c r="I463" s="75"/>
      <c r="J463" s="75"/>
      <c r="K463" s="75"/>
      <c r="L463" s="74"/>
      <c r="M463" s="76"/>
      <c r="N463" s="75"/>
      <c r="O463" s="75"/>
      <c r="P463" s="75"/>
    </row>
    <row r="464" spans="1:16" ht="15.75" customHeight="1">
      <c r="A464" s="71"/>
      <c r="B464" s="72"/>
      <c r="C464" s="73"/>
      <c r="D464" s="72"/>
      <c r="E464" s="73"/>
      <c r="F464" s="74"/>
      <c r="G464" s="72"/>
      <c r="H464" s="73"/>
      <c r="I464" s="75"/>
      <c r="J464" s="75"/>
      <c r="K464" s="75"/>
      <c r="L464" s="74"/>
      <c r="M464" s="76"/>
      <c r="N464" s="75"/>
      <c r="O464" s="75"/>
      <c r="P464" s="75"/>
    </row>
    <row r="465" spans="1:16" ht="15.75" customHeight="1">
      <c r="A465" s="71"/>
      <c r="B465" s="72"/>
      <c r="C465" s="73"/>
      <c r="D465" s="72"/>
      <c r="E465" s="73"/>
      <c r="F465" s="74"/>
      <c r="G465" s="72"/>
      <c r="H465" s="73"/>
      <c r="I465" s="75"/>
      <c r="J465" s="75"/>
      <c r="K465" s="75"/>
      <c r="L465" s="74"/>
      <c r="M465" s="76"/>
      <c r="N465" s="75"/>
      <c r="O465" s="75"/>
      <c r="P465" s="75"/>
    </row>
    <row r="466" spans="1:16" ht="15.75" customHeight="1">
      <c r="A466" s="71"/>
      <c r="B466" s="72"/>
      <c r="C466" s="73"/>
      <c r="D466" s="72"/>
      <c r="E466" s="73"/>
      <c r="F466" s="74"/>
      <c r="G466" s="72"/>
      <c r="H466" s="73"/>
      <c r="I466" s="75"/>
      <c r="J466" s="75"/>
      <c r="K466" s="75"/>
      <c r="L466" s="74"/>
      <c r="M466" s="76"/>
      <c r="N466" s="75"/>
      <c r="O466" s="75"/>
      <c r="P466" s="75"/>
    </row>
    <row r="467" spans="1:16" ht="15.75" customHeight="1">
      <c r="A467" s="71"/>
      <c r="B467" s="72"/>
      <c r="C467" s="73"/>
      <c r="D467" s="72"/>
      <c r="E467" s="73"/>
      <c r="F467" s="74"/>
      <c r="G467" s="72"/>
      <c r="H467" s="73"/>
      <c r="I467" s="75"/>
      <c r="J467" s="75"/>
      <c r="K467" s="75"/>
      <c r="L467" s="74"/>
      <c r="M467" s="76"/>
      <c r="N467" s="75"/>
      <c r="O467" s="75"/>
      <c r="P467" s="75"/>
    </row>
    <row r="468" spans="1:16" ht="15.75" customHeight="1">
      <c r="A468" s="71"/>
      <c r="B468" s="72"/>
      <c r="C468" s="73"/>
      <c r="D468" s="72"/>
      <c r="E468" s="73"/>
      <c r="F468" s="74"/>
      <c r="G468" s="72"/>
      <c r="H468" s="73"/>
      <c r="I468" s="75"/>
      <c r="J468" s="75"/>
      <c r="K468" s="75"/>
      <c r="L468" s="74"/>
      <c r="M468" s="76"/>
      <c r="N468" s="75"/>
      <c r="O468" s="75"/>
      <c r="P468" s="75"/>
    </row>
    <row r="469" spans="1:16" ht="15.75" customHeight="1">
      <c r="A469" s="71"/>
      <c r="B469" s="72"/>
      <c r="C469" s="73"/>
      <c r="D469" s="72"/>
      <c r="E469" s="73"/>
      <c r="F469" s="74"/>
      <c r="G469" s="72"/>
      <c r="H469" s="73"/>
      <c r="I469" s="75"/>
      <c r="J469" s="75"/>
      <c r="K469" s="75"/>
      <c r="L469" s="74"/>
      <c r="M469" s="76"/>
      <c r="N469" s="75"/>
      <c r="O469" s="75"/>
      <c r="P469" s="75"/>
    </row>
    <row r="470" spans="1:16" ht="15.75" customHeight="1">
      <c r="A470" s="71"/>
      <c r="B470" s="72"/>
      <c r="C470" s="73"/>
      <c r="D470" s="72"/>
      <c r="E470" s="73"/>
      <c r="F470" s="74"/>
      <c r="G470" s="72"/>
      <c r="H470" s="73"/>
      <c r="I470" s="75"/>
      <c r="J470" s="75"/>
      <c r="K470" s="75"/>
      <c r="L470" s="74"/>
      <c r="M470" s="76"/>
      <c r="N470" s="75"/>
      <c r="O470" s="75"/>
      <c r="P470" s="75"/>
    </row>
    <row r="471" spans="1:16" ht="15.75" customHeight="1">
      <c r="A471" s="71"/>
      <c r="B471" s="72"/>
      <c r="C471" s="73"/>
      <c r="D471" s="72"/>
      <c r="E471" s="73"/>
      <c r="F471" s="74"/>
      <c r="G471" s="72"/>
      <c r="H471" s="73"/>
      <c r="I471" s="75"/>
      <c r="J471" s="75"/>
      <c r="K471" s="75"/>
      <c r="L471" s="74"/>
      <c r="M471" s="76"/>
      <c r="N471" s="75"/>
      <c r="O471" s="75"/>
      <c r="P471" s="75"/>
    </row>
    <row r="472" spans="1:16" ht="15.75" customHeight="1">
      <c r="A472" s="71"/>
      <c r="B472" s="72"/>
      <c r="C472" s="73"/>
      <c r="D472" s="72"/>
      <c r="E472" s="73"/>
      <c r="F472" s="74"/>
      <c r="G472" s="72"/>
      <c r="H472" s="73"/>
      <c r="I472" s="75"/>
      <c r="J472" s="75"/>
      <c r="K472" s="75"/>
      <c r="L472" s="74"/>
      <c r="M472" s="76"/>
      <c r="N472" s="75"/>
      <c r="O472" s="75"/>
      <c r="P472" s="75"/>
    </row>
    <row r="473" spans="1:16" ht="15.75" customHeight="1">
      <c r="A473" s="71"/>
      <c r="B473" s="72"/>
      <c r="C473" s="73"/>
      <c r="D473" s="72"/>
      <c r="E473" s="73"/>
      <c r="F473" s="74"/>
      <c r="G473" s="72"/>
      <c r="H473" s="73"/>
      <c r="I473" s="75"/>
      <c r="J473" s="75"/>
      <c r="K473" s="75"/>
      <c r="L473" s="74"/>
      <c r="M473" s="76"/>
      <c r="N473" s="75"/>
      <c r="O473" s="75"/>
      <c r="P473" s="75"/>
    </row>
    <row r="474" spans="1:16" ht="15.75" customHeight="1">
      <c r="A474" s="71"/>
      <c r="B474" s="72"/>
      <c r="C474" s="73"/>
      <c r="D474" s="72"/>
      <c r="E474" s="73"/>
      <c r="F474" s="74"/>
      <c r="G474" s="72"/>
      <c r="H474" s="73"/>
      <c r="I474" s="75"/>
      <c r="J474" s="75"/>
      <c r="K474" s="75"/>
      <c r="L474" s="74"/>
      <c r="M474" s="76"/>
      <c r="N474" s="75"/>
      <c r="O474" s="75"/>
      <c r="P474" s="75"/>
    </row>
    <row r="475" spans="1:16" ht="15.75" customHeight="1">
      <c r="A475" s="71"/>
      <c r="B475" s="72"/>
      <c r="C475" s="73"/>
      <c r="D475" s="72"/>
      <c r="E475" s="73"/>
      <c r="F475" s="74"/>
      <c r="G475" s="72"/>
      <c r="H475" s="73"/>
      <c r="I475" s="75"/>
      <c r="J475" s="75"/>
      <c r="K475" s="75"/>
      <c r="L475" s="74"/>
      <c r="M475" s="76"/>
      <c r="N475" s="75"/>
      <c r="O475" s="75"/>
      <c r="P475" s="75"/>
    </row>
    <row r="476" spans="1:16" ht="15.75" customHeight="1">
      <c r="A476" s="71"/>
      <c r="B476" s="72"/>
      <c r="C476" s="73"/>
      <c r="D476" s="72"/>
      <c r="E476" s="73"/>
      <c r="F476" s="74"/>
      <c r="G476" s="72"/>
      <c r="H476" s="73"/>
      <c r="I476" s="75"/>
      <c r="J476" s="75"/>
      <c r="K476" s="75"/>
      <c r="L476" s="74"/>
      <c r="M476" s="76"/>
      <c r="N476" s="75"/>
      <c r="O476" s="75"/>
      <c r="P476" s="75"/>
    </row>
    <row r="477" spans="1:16" ht="15.75" customHeight="1">
      <c r="A477" s="71"/>
      <c r="B477" s="72"/>
      <c r="C477" s="73"/>
      <c r="D477" s="72"/>
      <c r="E477" s="73"/>
      <c r="F477" s="74"/>
      <c r="G477" s="72"/>
      <c r="H477" s="73"/>
      <c r="I477" s="75"/>
      <c r="J477" s="75"/>
      <c r="K477" s="75"/>
      <c r="L477" s="74"/>
      <c r="M477" s="76"/>
      <c r="N477" s="75"/>
      <c r="O477" s="75"/>
      <c r="P477" s="75"/>
    </row>
    <row r="478" spans="1:16" ht="15.75" customHeight="1">
      <c r="A478" s="71"/>
      <c r="B478" s="72"/>
      <c r="C478" s="73"/>
      <c r="D478" s="72"/>
      <c r="E478" s="73"/>
      <c r="F478" s="74"/>
      <c r="G478" s="72"/>
      <c r="H478" s="73"/>
      <c r="I478" s="75"/>
      <c r="J478" s="75"/>
      <c r="K478" s="75"/>
      <c r="L478" s="74"/>
      <c r="M478" s="76"/>
      <c r="N478" s="75"/>
      <c r="O478" s="75"/>
      <c r="P478" s="75"/>
    </row>
    <row r="479" spans="1:16" ht="15.75" customHeight="1">
      <c r="A479" s="71"/>
      <c r="B479" s="72"/>
      <c r="C479" s="73"/>
      <c r="D479" s="72"/>
      <c r="E479" s="73"/>
      <c r="F479" s="74"/>
      <c r="G479" s="72"/>
      <c r="H479" s="73"/>
      <c r="I479" s="75"/>
      <c r="J479" s="75"/>
      <c r="K479" s="75"/>
      <c r="L479" s="74"/>
      <c r="M479" s="76"/>
      <c r="N479" s="75"/>
      <c r="O479" s="75"/>
      <c r="P479" s="75"/>
    </row>
    <row r="480" spans="1:16" ht="15.75" customHeight="1">
      <c r="A480" s="71"/>
      <c r="B480" s="72"/>
      <c r="C480" s="73"/>
      <c r="D480" s="72"/>
      <c r="E480" s="73"/>
      <c r="F480" s="74"/>
      <c r="G480" s="72"/>
      <c r="H480" s="73"/>
      <c r="I480" s="75"/>
      <c r="J480" s="75"/>
      <c r="K480" s="75"/>
      <c r="L480" s="74"/>
      <c r="M480" s="76"/>
      <c r="N480" s="75"/>
      <c r="O480" s="75"/>
      <c r="P480" s="75"/>
    </row>
    <row r="481" spans="1:16" ht="15.75" customHeight="1">
      <c r="A481" s="71"/>
      <c r="B481" s="72"/>
      <c r="C481" s="73"/>
      <c r="D481" s="72"/>
      <c r="E481" s="73"/>
      <c r="F481" s="74"/>
      <c r="G481" s="72"/>
      <c r="H481" s="73"/>
      <c r="I481" s="75"/>
      <c r="J481" s="75"/>
      <c r="K481" s="75"/>
      <c r="L481" s="74"/>
      <c r="M481" s="76"/>
      <c r="N481" s="75"/>
      <c r="O481" s="75"/>
      <c r="P481" s="75"/>
    </row>
    <row r="482" spans="1:16" ht="15.75" customHeight="1">
      <c r="A482" s="71"/>
      <c r="B482" s="72"/>
      <c r="C482" s="73"/>
      <c r="D482" s="72"/>
      <c r="E482" s="73"/>
      <c r="F482" s="74"/>
      <c r="G482" s="72"/>
      <c r="H482" s="73"/>
      <c r="I482" s="75"/>
      <c r="J482" s="75"/>
      <c r="K482" s="75"/>
      <c r="L482" s="74"/>
      <c r="M482" s="76"/>
      <c r="N482" s="75"/>
      <c r="O482" s="75"/>
      <c r="P482" s="75"/>
    </row>
    <row r="483" spans="1:16" ht="15.75" customHeight="1">
      <c r="A483" s="71"/>
      <c r="B483" s="72"/>
      <c r="C483" s="73"/>
      <c r="D483" s="72"/>
      <c r="E483" s="73"/>
      <c r="F483" s="74"/>
      <c r="G483" s="72"/>
      <c r="H483" s="73"/>
      <c r="I483" s="75"/>
      <c r="J483" s="75"/>
      <c r="K483" s="75"/>
      <c r="L483" s="74"/>
      <c r="M483" s="76"/>
      <c r="N483" s="75"/>
      <c r="O483" s="75"/>
      <c r="P483" s="75"/>
    </row>
    <row r="484" spans="1:16" ht="15.75" customHeight="1">
      <c r="A484" s="71"/>
      <c r="B484" s="72"/>
      <c r="C484" s="73"/>
      <c r="D484" s="72"/>
      <c r="E484" s="73"/>
      <c r="F484" s="74"/>
      <c r="G484" s="72"/>
      <c r="H484" s="73"/>
      <c r="I484" s="75"/>
      <c r="J484" s="75"/>
      <c r="K484" s="75"/>
      <c r="L484" s="74"/>
      <c r="M484" s="76"/>
      <c r="N484" s="75"/>
      <c r="O484" s="75"/>
      <c r="P484" s="75"/>
    </row>
    <row r="485" spans="1:16" ht="15.75" customHeight="1">
      <c r="A485" s="71"/>
      <c r="B485" s="72"/>
      <c r="C485" s="73"/>
      <c r="D485" s="72"/>
      <c r="E485" s="73"/>
      <c r="F485" s="74"/>
      <c r="G485" s="72"/>
      <c r="H485" s="73"/>
      <c r="I485" s="75"/>
      <c r="J485" s="75"/>
      <c r="K485" s="75"/>
      <c r="L485" s="74"/>
      <c r="M485" s="76"/>
      <c r="N485" s="75"/>
      <c r="O485" s="75"/>
      <c r="P485" s="75"/>
    </row>
    <row r="486" spans="1:16" ht="15.75" customHeight="1">
      <c r="A486" s="71"/>
      <c r="B486" s="72"/>
      <c r="C486" s="73"/>
      <c r="D486" s="72"/>
      <c r="E486" s="73"/>
      <c r="F486" s="74"/>
      <c r="G486" s="72"/>
      <c r="H486" s="73"/>
      <c r="I486" s="75"/>
      <c r="J486" s="75"/>
      <c r="K486" s="75"/>
      <c r="L486" s="74"/>
      <c r="M486" s="76"/>
      <c r="N486" s="75"/>
      <c r="O486" s="75"/>
      <c r="P486" s="75"/>
    </row>
    <row r="487" spans="1:16" ht="15.75" customHeight="1">
      <c r="A487" s="71"/>
      <c r="B487" s="72"/>
      <c r="C487" s="73"/>
      <c r="D487" s="72"/>
      <c r="E487" s="73"/>
      <c r="F487" s="74"/>
      <c r="G487" s="72"/>
      <c r="H487" s="73"/>
      <c r="I487" s="75"/>
      <c r="J487" s="75"/>
      <c r="K487" s="75"/>
      <c r="L487" s="74"/>
      <c r="M487" s="76"/>
      <c r="N487" s="75"/>
      <c r="O487" s="75"/>
      <c r="P487" s="75"/>
    </row>
    <row r="488" spans="1:16" ht="15.75" customHeight="1">
      <c r="A488" s="71"/>
      <c r="B488" s="72"/>
      <c r="C488" s="73"/>
      <c r="D488" s="72"/>
      <c r="E488" s="73"/>
      <c r="F488" s="74"/>
      <c r="G488" s="72"/>
      <c r="H488" s="73"/>
      <c r="I488" s="75"/>
      <c r="J488" s="75"/>
      <c r="K488" s="75"/>
      <c r="L488" s="74"/>
      <c r="M488" s="76"/>
      <c r="N488" s="75"/>
      <c r="O488" s="75"/>
      <c r="P488" s="75"/>
    </row>
    <row r="489" spans="1:16" ht="15.75" customHeight="1">
      <c r="A489" s="71"/>
      <c r="B489" s="72"/>
      <c r="C489" s="73"/>
      <c r="D489" s="72"/>
      <c r="E489" s="73"/>
      <c r="F489" s="74"/>
      <c r="G489" s="72"/>
      <c r="H489" s="73"/>
      <c r="I489" s="75"/>
      <c r="J489" s="75"/>
      <c r="K489" s="75"/>
      <c r="L489" s="74"/>
      <c r="M489" s="76"/>
      <c r="N489" s="75"/>
      <c r="O489" s="75"/>
      <c r="P489" s="75"/>
    </row>
    <row r="490" spans="1:16" ht="15.75" customHeight="1">
      <c r="A490" s="71"/>
      <c r="B490" s="72"/>
      <c r="C490" s="73"/>
      <c r="D490" s="72"/>
      <c r="E490" s="73"/>
      <c r="F490" s="74"/>
      <c r="G490" s="72"/>
      <c r="H490" s="73"/>
      <c r="I490" s="75"/>
      <c r="J490" s="75"/>
      <c r="K490" s="75"/>
      <c r="L490" s="74"/>
      <c r="M490" s="76"/>
      <c r="N490" s="75"/>
      <c r="O490" s="75"/>
      <c r="P490" s="75"/>
    </row>
    <row r="491" spans="1:16" ht="15.75" customHeight="1">
      <c r="A491" s="71"/>
      <c r="B491" s="72"/>
      <c r="C491" s="73"/>
      <c r="D491" s="72"/>
      <c r="E491" s="73"/>
      <c r="F491" s="74"/>
      <c r="G491" s="72"/>
      <c r="H491" s="73"/>
      <c r="I491" s="75"/>
      <c r="J491" s="75"/>
      <c r="K491" s="75"/>
      <c r="L491" s="74"/>
      <c r="M491" s="76"/>
      <c r="N491" s="75"/>
      <c r="O491" s="75"/>
      <c r="P491" s="75"/>
    </row>
    <row r="492" spans="1:16" ht="15.75" customHeight="1">
      <c r="A492" s="71"/>
      <c r="B492" s="72"/>
      <c r="C492" s="73"/>
      <c r="D492" s="72"/>
      <c r="E492" s="73"/>
      <c r="F492" s="74"/>
      <c r="G492" s="72"/>
      <c r="H492" s="73"/>
      <c r="I492" s="75"/>
      <c r="J492" s="75"/>
      <c r="K492" s="75"/>
      <c r="L492" s="74"/>
      <c r="M492" s="76"/>
      <c r="N492" s="75"/>
      <c r="O492" s="75"/>
      <c r="P492" s="75"/>
    </row>
    <row r="493" spans="1:16" ht="15.75" customHeight="1">
      <c r="A493" s="71"/>
      <c r="B493" s="72"/>
      <c r="C493" s="73"/>
      <c r="D493" s="72"/>
      <c r="E493" s="73"/>
      <c r="F493" s="74"/>
      <c r="G493" s="72"/>
      <c r="H493" s="73"/>
      <c r="I493" s="75"/>
      <c r="J493" s="75"/>
      <c r="K493" s="75"/>
      <c r="L493" s="74"/>
      <c r="M493" s="76"/>
      <c r="N493" s="75"/>
      <c r="O493" s="75"/>
      <c r="P493" s="75"/>
    </row>
    <row r="494" spans="1:16" ht="15.75" customHeight="1">
      <c r="A494" s="71"/>
      <c r="B494" s="72"/>
      <c r="C494" s="73"/>
      <c r="D494" s="72"/>
      <c r="E494" s="73"/>
      <c r="F494" s="74"/>
      <c r="G494" s="72"/>
      <c r="H494" s="73"/>
      <c r="I494" s="75"/>
      <c r="J494" s="75"/>
      <c r="K494" s="75"/>
      <c r="L494" s="74"/>
      <c r="M494" s="76"/>
      <c r="N494" s="75"/>
      <c r="O494" s="75"/>
      <c r="P494" s="75"/>
    </row>
    <row r="495" spans="1:16" ht="15.75" customHeight="1">
      <c r="A495" s="71"/>
      <c r="B495" s="72"/>
      <c r="C495" s="73"/>
      <c r="D495" s="72"/>
      <c r="E495" s="73"/>
      <c r="F495" s="74"/>
      <c r="G495" s="72"/>
      <c r="H495" s="73"/>
      <c r="I495" s="75"/>
      <c r="J495" s="75"/>
      <c r="K495" s="75"/>
      <c r="L495" s="74"/>
      <c r="M495" s="76"/>
      <c r="N495" s="75"/>
      <c r="O495" s="75"/>
      <c r="P495" s="75"/>
    </row>
    <row r="496" spans="1:16" ht="15.75" customHeight="1">
      <c r="A496" s="71"/>
      <c r="B496" s="72"/>
      <c r="C496" s="73"/>
      <c r="D496" s="72"/>
      <c r="E496" s="73"/>
      <c r="F496" s="74"/>
      <c r="G496" s="72"/>
      <c r="H496" s="73"/>
      <c r="I496" s="75"/>
      <c r="J496" s="75"/>
      <c r="K496" s="75"/>
      <c r="L496" s="74"/>
      <c r="M496" s="76"/>
      <c r="N496" s="75"/>
      <c r="O496" s="75"/>
      <c r="P496" s="75"/>
    </row>
    <row r="497" spans="1:16" ht="15.75" customHeight="1">
      <c r="A497" s="71"/>
      <c r="B497" s="72"/>
      <c r="C497" s="73"/>
      <c r="D497" s="72"/>
      <c r="E497" s="73"/>
      <c r="F497" s="74"/>
      <c r="G497" s="72"/>
      <c r="H497" s="73"/>
      <c r="I497" s="75"/>
      <c r="J497" s="75"/>
      <c r="K497" s="75"/>
      <c r="L497" s="74"/>
      <c r="M497" s="76"/>
      <c r="N497" s="75"/>
      <c r="O497" s="75"/>
      <c r="P497" s="75"/>
    </row>
    <row r="498" spans="1:16" ht="15.75" customHeight="1">
      <c r="A498" s="71"/>
      <c r="B498" s="72"/>
      <c r="C498" s="73"/>
      <c r="D498" s="72"/>
      <c r="E498" s="73"/>
      <c r="F498" s="74"/>
      <c r="G498" s="72"/>
      <c r="H498" s="73"/>
      <c r="I498" s="75"/>
      <c r="J498" s="75"/>
      <c r="K498" s="75"/>
      <c r="L498" s="74"/>
      <c r="M498" s="76"/>
      <c r="N498" s="75"/>
      <c r="O498" s="75"/>
      <c r="P498" s="75"/>
    </row>
    <row r="499" spans="1:16" ht="15.75" customHeight="1">
      <c r="A499" s="71"/>
      <c r="B499" s="72"/>
      <c r="C499" s="73"/>
      <c r="D499" s="72"/>
      <c r="E499" s="73"/>
      <c r="F499" s="74"/>
      <c r="G499" s="72"/>
      <c r="H499" s="73"/>
      <c r="I499" s="75"/>
      <c r="J499" s="75"/>
      <c r="K499" s="75"/>
      <c r="L499" s="74"/>
      <c r="M499" s="76"/>
      <c r="N499" s="75"/>
      <c r="O499" s="75"/>
      <c r="P499" s="75"/>
    </row>
    <row r="500" spans="1:16" ht="15.75" customHeight="1">
      <c r="A500" s="71"/>
      <c r="B500" s="72"/>
      <c r="C500" s="73"/>
      <c r="D500" s="72"/>
      <c r="E500" s="73"/>
      <c r="F500" s="74"/>
      <c r="G500" s="72"/>
      <c r="H500" s="73"/>
      <c r="I500" s="75"/>
      <c r="J500" s="75"/>
      <c r="K500" s="75"/>
      <c r="L500" s="74"/>
      <c r="M500" s="76"/>
      <c r="N500" s="75"/>
      <c r="O500" s="75"/>
      <c r="P500" s="75"/>
    </row>
    <row r="501" spans="1:16" ht="15.75" customHeight="1">
      <c r="A501" s="71"/>
      <c r="B501" s="72"/>
      <c r="C501" s="73"/>
      <c r="D501" s="72"/>
      <c r="E501" s="73"/>
      <c r="F501" s="74"/>
      <c r="G501" s="72"/>
      <c r="H501" s="73"/>
      <c r="I501" s="75"/>
      <c r="J501" s="75"/>
      <c r="K501" s="75"/>
      <c r="L501" s="74"/>
      <c r="M501" s="76"/>
      <c r="N501" s="75"/>
      <c r="O501" s="75"/>
      <c r="P501" s="75"/>
    </row>
    <row r="502" spans="1:16" ht="15.75" customHeight="1">
      <c r="A502" s="71"/>
      <c r="B502" s="72"/>
      <c r="C502" s="73"/>
      <c r="D502" s="72"/>
      <c r="E502" s="73"/>
      <c r="F502" s="74"/>
      <c r="G502" s="72"/>
      <c r="H502" s="73"/>
      <c r="I502" s="75"/>
      <c r="J502" s="75"/>
      <c r="K502" s="75"/>
      <c r="L502" s="74"/>
      <c r="M502" s="76"/>
      <c r="N502" s="75"/>
      <c r="O502" s="75"/>
      <c r="P502" s="75"/>
    </row>
    <row r="503" spans="1:16" ht="15.75" customHeight="1">
      <c r="A503" s="71"/>
      <c r="B503" s="72"/>
      <c r="C503" s="73"/>
      <c r="D503" s="72"/>
      <c r="E503" s="73"/>
      <c r="F503" s="74"/>
      <c r="G503" s="72"/>
      <c r="H503" s="73"/>
      <c r="I503" s="75"/>
      <c r="J503" s="75"/>
      <c r="K503" s="75"/>
      <c r="L503" s="74"/>
      <c r="M503" s="76"/>
      <c r="N503" s="75"/>
      <c r="O503" s="75"/>
      <c r="P503" s="75"/>
    </row>
    <row r="504" spans="1:16" ht="15.75" customHeight="1">
      <c r="A504" s="71"/>
      <c r="B504" s="72"/>
      <c r="C504" s="73"/>
      <c r="D504" s="72"/>
      <c r="E504" s="73"/>
      <c r="F504" s="74"/>
      <c r="G504" s="72"/>
      <c r="H504" s="73"/>
      <c r="I504" s="75"/>
      <c r="J504" s="75"/>
      <c r="K504" s="75"/>
      <c r="L504" s="74"/>
      <c r="M504" s="76"/>
      <c r="N504" s="75"/>
      <c r="O504" s="75"/>
      <c r="P504" s="75"/>
    </row>
    <row r="505" spans="1:16" ht="15.75" customHeight="1">
      <c r="A505" s="71"/>
      <c r="B505" s="72"/>
      <c r="C505" s="73"/>
      <c r="D505" s="72"/>
      <c r="E505" s="73"/>
      <c r="F505" s="74"/>
      <c r="G505" s="72"/>
      <c r="H505" s="73"/>
      <c r="I505" s="75"/>
      <c r="J505" s="75"/>
      <c r="K505" s="75"/>
      <c r="L505" s="74"/>
      <c r="M505" s="76"/>
      <c r="N505" s="75"/>
      <c r="O505" s="75"/>
      <c r="P505" s="75"/>
    </row>
    <row r="506" spans="1:16" ht="15.75" customHeight="1">
      <c r="A506" s="71"/>
      <c r="B506" s="72"/>
      <c r="C506" s="73"/>
      <c r="D506" s="72"/>
      <c r="E506" s="73"/>
      <c r="F506" s="74"/>
      <c r="G506" s="72"/>
      <c r="H506" s="73"/>
      <c r="I506" s="75"/>
      <c r="J506" s="75"/>
      <c r="K506" s="75"/>
      <c r="L506" s="74"/>
      <c r="M506" s="76"/>
      <c r="N506" s="75"/>
      <c r="O506" s="75"/>
      <c r="P506" s="75"/>
    </row>
    <row r="507" spans="1:16" ht="15.75" customHeight="1">
      <c r="A507" s="71"/>
      <c r="B507" s="72"/>
      <c r="C507" s="73"/>
      <c r="D507" s="72"/>
      <c r="E507" s="73"/>
      <c r="F507" s="74"/>
      <c r="G507" s="72"/>
      <c r="H507" s="73"/>
      <c r="I507" s="75"/>
      <c r="J507" s="75"/>
      <c r="K507" s="75"/>
      <c r="L507" s="74"/>
      <c r="M507" s="76"/>
      <c r="N507" s="75"/>
      <c r="O507" s="75"/>
      <c r="P507" s="75"/>
    </row>
    <row r="508" spans="1:16" ht="15.75" customHeight="1">
      <c r="A508" s="71"/>
      <c r="B508" s="72"/>
      <c r="C508" s="73"/>
      <c r="D508" s="72"/>
      <c r="E508" s="73"/>
      <c r="F508" s="74"/>
      <c r="G508" s="72"/>
      <c r="H508" s="73"/>
      <c r="I508" s="75"/>
      <c r="J508" s="75"/>
      <c r="K508" s="75"/>
      <c r="L508" s="74"/>
      <c r="M508" s="76"/>
      <c r="N508" s="75"/>
      <c r="O508" s="75"/>
      <c r="P508" s="75"/>
    </row>
    <row r="509" spans="1:16" ht="15.75" customHeight="1">
      <c r="A509" s="71"/>
      <c r="B509" s="72"/>
      <c r="C509" s="73"/>
      <c r="D509" s="72"/>
      <c r="E509" s="73"/>
      <c r="F509" s="74"/>
      <c r="G509" s="72"/>
      <c r="H509" s="73"/>
      <c r="I509" s="75"/>
      <c r="J509" s="75"/>
      <c r="K509" s="75"/>
      <c r="L509" s="74"/>
      <c r="M509" s="76"/>
      <c r="N509" s="75"/>
      <c r="O509" s="75"/>
      <c r="P509" s="75"/>
    </row>
    <row r="510" spans="1:16" ht="15.75" customHeight="1">
      <c r="A510" s="71"/>
      <c r="B510" s="72"/>
      <c r="C510" s="73"/>
      <c r="D510" s="72"/>
      <c r="E510" s="73"/>
      <c r="F510" s="74"/>
      <c r="G510" s="72"/>
      <c r="H510" s="73"/>
      <c r="I510" s="75"/>
      <c r="J510" s="75"/>
      <c r="K510" s="75"/>
      <c r="L510" s="74"/>
      <c r="M510" s="76"/>
      <c r="N510" s="75"/>
      <c r="O510" s="75"/>
      <c r="P510" s="75"/>
    </row>
    <row r="511" spans="1:16" ht="15.75" customHeight="1">
      <c r="A511" s="71"/>
      <c r="B511" s="72"/>
      <c r="C511" s="73"/>
      <c r="D511" s="72"/>
      <c r="E511" s="73"/>
      <c r="F511" s="74"/>
      <c r="G511" s="72"/>
      <c r="H511" s="73"/>
      <c r="I511" s="75"/>
      <c r="J511" s="75"/>
      <c r="K511" s="75"/>
      <c r="L511" s="74"/>
      <c r="M511" s="76"/>
      <c r="N511" s="75"/>
      <c r="O511" s="75"/>
      <c r="P511" s="75"/>
    </row>
    <row r="512" spans="1:16" ht="15.75" customHeight="1">
      <c r="A512" s="71"/>
      <c r="B512" s="72"/>
      <c r="C512" s="73"/>
      <c r="D512" s="72"/>
      <c r="E512" s="73"/>
      <c r="F512" s="74"/>
      <c r="G512" s="72"/>
      <c r="H512" s="73"/>
      <c r="I512" s="75"/>
      <c r="J512" s="75"/>
      <c r="K512" s="75"/>
      <c r="L512" s="74"/>
      <c r="M512" s="76"/>
      <c r="N512" s="75"/>
      <c r="O512" s="75"/>
      <c r="P512" s="75"/>
    </row>
    <row r="513" spans="1:16" ht="15.75" customHeight="1">
      <c r="A513" s="71"/>
      <c r="B513" s="72"/>
      <c r="C513" s="73"/>
      <c r="D513" s="72"/>
      <c r="E513" s="73"/>
      <c r="F513" s="74"/>
      <c r="G513" s="72"/>
      <c r="H513" s="73"/>
      <c r="I513" s="75"/>
      <c r="J513" s="75"/>
      <c r="K513" s="75"/>
      <c r="L513" s="74"/>
      <c r="M513" s="76"/>
      <c r="N513" s="75"/>
      <c r="O513" s="75"/>
      <c r="P513" s="75"/>
    </row>
    <row r="514" spans="1:16" ht="15.75" customHeight="1">
      <c r="A514" s="71"/>
      <c r="B514" s="72"/>
      <c r="C514" s="73"/>
      <c r="D514" s="72"/>
      <c r="E514" s="73"/>
      <c r="F514" s="74"/>
      <c r="G514" s="72"/>
      <c r="H514" s="73"/>
      <c r="I514" s="75"/>
      <c r="J514" s="75"/>
      <c r="K514" s="75"/>
      <c r="L514" s="74"/>
      <c r="M514" s="76"/>
      <c r="N514" s="75"/>
      <c r="O514" s="75"/>
      <c r="P514" s="75"/>
    </row>
    <row r="515" spans="1:16" ht="15.75" customHeight="1">
      <c r="A515" s="71"/>
      <c r="B515" s="72"/>
      <c r="C515" s="73"/>
      <c r="D515" s="72"/>
      <c r="E515" s="73"/>
      <c r="F515" s="74"/>
      <c r="G515" s="72"/>
      <c r="H515" s="73"/>
      <c r="I515" s="75"/>
      <c r="J515" s="75"/>
      <c r="K515" s="75"/>
      <c r="L515" s="74"/>
      <c r="M515" s="76"/>
      <c r="N515" s="75"/>
      <c r="O515" s="75"/>
      <c r="P515" s="75"/>
    </row>
    <row r="516" spans="1:16" ht="15.75" customHeight="1">
      <c r="A516" s="71"/>
      <c r="B516" s="72"/>
      <c r="C516" s="73"/>
      <c r="D516" s="72"/>
      <c r="E516" s="73"/>
      <c r="F516" s="74"/>
      <c r="G516" s="72"/>
      <c r="H516" s="73"/>
      <c r="I516" s="75"/>
      <c r="J516" s="75"/>
      <c r="K516" s="75"/>
      <c r="L516" s="74"/>
      <c r="M516" s="76"/>
      <c r="N516" s="75"/>
      <c r="O516" s="75"/>
      <c r="P516" s="75"/>
    </row>
    <row r="517" spans="1:16" ht="15.75" customHeight="1">
      <c r="A517" s="71"/>
      <c r="B517" s="72"/>
      <c r="C517" s="73"/>
      <c r="D517" s="72"/>
      <c r="E517" s="73"/>
      <c r="F517" s="74"/>
      <c r="G517" s="72"/>
      <c r="H517" s="73"/>
      <c r="I517" s="75"/>
      <c r="J517" s="75"/>
      <c r="K517" s="75"/>
      <c r="L517" s="74"/>
      <c r="M517" s="76"/>
      <c r="N517" s="75"/>
      <c r="O517" s="75"/>
      <c r="P517" s="75"/>
    </row>
    <row r="518" spans="1:16" ht="15.75" customHeight="1">
      <c r="A518" s="71"/>
      <c r="B518" s="72"/>
      <c r="C518" s="73"/>
      <c r="D518" s="72"/>
      <c r="E518" s="73"/>
      <c r="F518" s="74"/>
      <c r="G518" s="72"/>
      <c r="H518" s="73"/>
      <c r="I518" s="75"/>
      <c r="J518" s="75"/>
      <c r="K518" s="75"/>
      <c r="L518" s="74"/>
      <c r="M518" s="76"/>
      <c r="N518" s="75"/>
      <c r="O518" s="75"/>
      <c r="P518" s="75"/>
    </row>
    <row r="519" spans="1:16" ht="15.75" customHeight="1">
      <c r="A519" s="71"/>
      <c r="B519" s="72"/>
      <c r="C519" s="73"/>
      <c r="D519" s="72"/>
      <c r="E519" s="73"/>
      <c r="F519" s="74"/>
      <c r="G519" s="72"/>
      <c r="H519" s="73"/>
      <c r="I519" s="75"/>
      <c r="J519" s="75"/>
      <c r="K519" s="75"/>
      <c r="L519" s="74"/>
      <c r="M519" s="76"/>
      <c r="N519" s="75"/>
      <c r="O519" s="75"/>
      <c r="P519" s="75"/>
    </row>
    <row r="520" spans="1:16" ht="15.75" customHeight="1">
      <c r="A520" s="71"/>
      <c r="B520" s="72"/>
      <c r="C520" s="73"/>
      <c r="D520" s="72"/>
      <c r="E520" s="73"/>
      <c r="F520" s="74"/>
      <c r="G520" s="72"/>
      <c r="H520" s="73"/>
      <c r="I520" s="75"/>
      <c r="J520" s="75"/>
      <c r="K520" s="75"/>
      <c r="L520" s="74"/>
      <c r="M520" s="76"/>
      <c r="N520" s="75"/>
      <c r="O520" s="75"/>
      <c r="P520" s="75"/>
    </row>
    <row r="521" spans="1:16" ht="15.75" customHeight="1">
      <c r="A521" s="71"/>
      <c r="B521" s="72"/>
      <c r="C521" s="73"/>
      <c r="D521" s="72"/>
      <c r="E521" s="73"/>
      <c r="F521" s="74"/>
      <c r="G521" s="72"/>
      <c r="H521" s="73"/>
      <c r="I521" s="75"/>
      <c r="J521" s="75"/>
      <c r="K521" s="75"/>
      <c r="L521" s="74"/>
      <c r="M521" s="76"/>
      <c r="N521" s="75"/>
      <c r="O521" s="75"/>
      <c r="P521" s="75"/>
    </row>
    <row r="522" spans="1:16" ht="15.75" customHeight="1">
      <c r="A522" s="71"/>
      <c r="B522" s="72"/>
      <c r="C522" s="73"/>
      <c r="D522" s="72"/>
      <c r="E522" s="73"/>
      <c r="F522" s="74"/>
      <c r="G522" s="72"/>
      <c r="H522" s="73"/>
      <c r="I522" s="75"/>
      <c r="J522" s="75"/>
      <c r="K522" s="75"/>
      <c r="L522" s="74"/>
      <c r="M522" s="76"/>
      <c r="N522" s="75"/>
      <c r="O522" s="75"/>
      <c r="P522" s="75"/>
    </row>
    <row r="523" spans="1:16" ht="15.75" customHeight="1">
      <c r="A523" s="71"/>
      <c r="B523" s="72"/>
      <c r="C523" s="73"/>
      <c r="D523" s="72"/>
      <c r="E523" s="73"/>
      <c r="F523" s="74"/>
      <c r="G523" s="72"/>
      <c r="H523" s="73"/>
      <c r="I523" s="75"/>
      <c r="J523" s="75"/>
      <c r="K523" s="75"/>
      <c r="L523" s="74"/>
      <c r="M523" s="76"/>
      <c r="N523" s="75"/>
      <c r="O523" s="75"/>
      <c r="P523" s="75"/>
    </row>
    <row r="524" spans="1:16" ht="15.75" customHeight="1">
      <c r="A524" s="71"/>
      <c r="B524" s="72"/>
      <c r="C524" s="73"/>
      <c r="D524" s="72"/>
      <c r="E524" s="73"/>
      <c r="F524" s="74"/>
      <c r="G524" s="72"/>
      <c r="H524" s="73"/>
      <c r="I524" s="75"/>
      <c r="J524" s="75"/>
      <c r="K524" s="75"/>
      <c r="L524" s="74"/>
      <c r="M524" s="76"/>
      <c r="N524" s="75"/>
      <c r="O524" s="75"/>
      <c r="P524" s="75"/>
    </row>
    <row r="525" spans="1:16" ht="15.75" customHeight="1">
      <c r="A525" s="71"/>
      <c r="B525" s="72"/>
      <c r="C525" s="73"/>
      <c r="D525" s="72"/>
      <c r="E525" s="73"/>
      <c r="F525" s="74"/>
      <c r="G525" s="72"/>
      <c r="H525" s="73"/>
      <c r="I525" s="75"/>
      <c r="J525" s="75"/>
      <c r="K525" s="75"/>
      <c r="L525" s="74"/>
      <c r="M525" s="76"/>
      <c r="N525" s="75"/>
      <c r="O525" s="75"/>
      <c r="P525" s="75"/>
    </row>
    <row r="526" spans="1:16" ht="15.75" customHeight="1">
      <c r="A526" s="71"/>
      <c r="B526" s="72"/>
      <c r="C526" s="73"/>
      <c r="D526" s="72"/>
      <c r="E526" s="73"/>
      <c r="F526" s="74"/>
      <c r="G526" s="72"/>
      <c r="H526" s="73"/>
      <c r="I526" s="75"/>
      <c r="J526" s="75"/>
      <c r="K526" s="75"/>
      <c r="L526" s="74"/>
      <c r="M526" s="76"/>
      <c r="N526" s="75"/>
      <c r="O526" s="75"/>
      <c r="P526" s="75"/>
    </row>
    <row r="527" spans="1:16" ht="15.75" customHeight="1">
      <c r="A527" s="71"/>
      <c r="B527" s="72"/>
      <c r="C527" s="73"/>
      <c r="D527" s="72"/>
      <c r="E527" s="73"/>
      <c r="F527" s="74"/>
      <c r="G527" s="72"/>
      <c r="H527" s="73"/>
      <c r="I527" s="75"/>
      <c r="J527" s="75"/>
      <c r="K527" s="75"/>
      <c r="L527" s="74"/>
      <c r="M527" s="76"/>
      <c r="N527" s="75"/>
      <c r="O527" s="75"/>
      <c r="P527" s="75"/>
    </row>
    <row r="528" spans="1:16" ht="15.75" customHeight="1">
      <c r="A528" s="71"/>
      <c r="B528" s="72"/>
      <c r="C528" s="73"/>
      <c r="D528" s="72"/>
      <c r="E528" s="73"/>
      <c r="F528" s="74"/>
      <c r="G528" s="72"/>
      <c r="H528" s="73"/>
      <c r="I528" s="75"/>
      <c r="J528" s="75"/>
      <c r="K528" s="75"/>
      <c r="L528" s="74"/>
      <c r="M528" s="76"/>
      <c r="N528" s="75"/>
      <c r="O528" s="75"/>
      <c r="P528" s="75"/>
    </row>
    <row r="529" spans="1:16" ht="15.75" customHeight="1">
      <c r="A529" s="71"/>
      <c r="B529" s="72"/>
      <c r="C529" s="73"/>
      <c r="D529" s="72"/>
      <c r="E529" s="73"/>
      <c r="F529" s="74"/>
      <c r="G529" s="72"/>
      <c r="H529" s="73"/>
      <c r="I529" s="75"/>
      <c r="J529" s="75"/>
      <c r="K529" s="75"/>
      <c r="L529" s="74"/>
      <c r="M529" s="76"/>
      <c r="N529" s="75"/>
      <c r="O529" s="75"/>
      <c r="P529" s="75"/>
    </row>
    <row r="530" spans="1:16" ht="15.75" customHeight="1">
      <c r="A530" s="71"/>
      <c r="B530" s="72"/>
      <c r="C530" s="73"/>
      <c r="D530" s="72"/>
      <c r="E530" s="73"/>
      <c r="F530" s="74"/>
      <c r="G530" s="72"/>
      <c r="H530" s="73"/>
      <c r="I530" s="75"/>
      <c r="J530" s="75"/>
      <c r="K530" s="75"/>
      <c r="L530" s="74"/>
      <c r="M530" s="76"/>
      <c r="N530" s="75"/>
      <c r="O530" s="75"/>
      <c r="P530" s="75"/>
    </row>
    <row r="531" spans="1:16" ht="15.75" customHeight="1">
      <c r="A531" s="71"/>
      <c r="B531" s="72"/>
      <c r="C531" s="73"/>
      <c r="D531" s="72"/>
      <c r="E531" s="73"/>
      <c r="F531" s="74"/>
      <c r="G531" s="72"/>
      <c r="H531" s="73"/>
      <c r="I531" s="75"/>
      <c r="J531" s="75"/>
      <c r="K531" s="75"/>
      <c r="L531" s="74"/>
      <c r="M531" s="76"/>
      <c r="N531" s="75"/>
      <c r="O531" s="75"/>
      <c r="P531" s="75"/>
    </row>
    <row r="532" spans="1:16" ht="15.75" customHeight="1">
      <c r="A532" s="71"/>
      <c r="B532" s="72"/>
      <c r="C532" s="73"/>
      <c r="D532" s="72"/>
      <c r="E532" s="73"/>
      <c r="F532" s="74"/>
      <c r="G532" s="72"/>
      <c r="H532" s="73"/>
      <c r="I532" s="75"/>
      <c r="J532" s="75"/>
      <c r="K532" s="75"/>
      <c r="L532" s="74"/>
      <c r="M532" s="76"/>
      <c r="N532" s="75"/>
      <c r="O532" s="75"/>
      <c r="P532" s="75"/>
    </row>
    <row r="533" spans="1:16" ht="15.75" customHeight="1">
      <c r="A533" s="71"/>
      <c r="B533" s="72"/>
      <c r="C533" s="73"/>
      <c r="D533" s="72"/>
      <c r="E533" s="73"/>
      <c r="F533" s="74"/>
      <c r="G533" s="72"/>
      <c r="H533" s="73"/>
      <c r="I533" s="75"/>
      <c r="J533" s="75"/>
      <c r="K533" s="75"/>
      <c r="L533" s="74"/>
      <c r="M533" s="76"/>
      <c r="N533" s="75"/>
      <c r="O533" s="75"/>
      <c r="P533" s="75"/>
    </row>
    <row r="534" spans="1:16" ht="15.75" customHeight="1">
      <c r="A534" s="71"/>
      <c r="B534" s="72"/>
      <c r="C534" s="73"/>
      <c r="D534" s="72"/>
      <c r="E534" s="73"/>
      <c r="F534" s="74"/>
      <c r="G534" s="72"/>
      <c r="H534" s="73"/>
      <c r="I534" s="75"/>
      <c r="J534" s="75"/>
      <c r="K534" s="75"/>
      <c r="L534" s="74"/>
      <c r="M534" s="76"/>
      <c r="N534" s="75"/>
      <c r="O534" s="75"/>
      <c r="P534" s="75"/>
    </row>
    <row r="535" spans="1:16" ht="15.75" customHeight="1">
      <c r="A535" s="71"/>
      <c r="B535" s="72"/>
      <c r="C535" s="73"/>
      <c r="D535" s="72"/>
      <c r="E535" s="73"/>
      <c r="F535" s="74"/>
      <c r="G535" s="72"/>
      <c r="H535" s="73"/>
      <c r="I535" s="75"/>
      <c r="J535" s="75"/>
      <c r="K535" s="75"/>
      <c r="L535" s="74"/>
      <c r="M535" s="76"/>
      <c r="N535" s="75"/>
      <c r="O535" s="75"/>
      <c r="P535" s="75"/>
    </row>
    <row r="536" spans="1:16" ht="15.75" customHeight="1">
      <c r="A536" s="71"/>
      <c r="B536" s="72"/>
      <c r="C536" s="73"/>
      <c r="D536" s="72"/>
      <c r="E536" s="73"/>
      <c r="F536" s="74"/>
      <c r="G536" s="72"/>
      <c r="H536" s="73"/>
      <c r="I536" s="75"/>
      <c r="J536" s="75"/>
      <c r="K536" s="75"/>
      <c r="L536" s="74"/>
      <c r="M536" s="76"/>
      <c r="N536" s="75"/>
      <c r="O536" s="75"/>
      <c r="P536" s="75"/>
    </row>
    <row r="537" spans="1:16" ht="15.75" customHeight="1">
      <c r="A537" s="71"/>
      <c r="B537" s="72"/>
      <c r="C537" s="73"/>
      <c r="D537" s="72"/>
      <c r="E537" s="73"/>
      <c r="F537" s="74"/>
      <c r="G537" s="72"/>
      <c r="H537" s="73"/>
      <c r="I537" s="75"/>
      <c r="J537" s="75"/>
      <c r="K537" s="75"/>
      <c r="L537" s="74"/>
      <c r="M537" s="76"/>
      <c r="N537" s="75"/>
      <c r="O537" s="75"/>
      <c r="P537" s="75"/>
    </row>
    <row r="538" spans="1:16" ht="15.75" customHeight="1">
      <c r="A538" s="71"/>
      <c r="B538" s="72"/>
      <c r="C538" s="73"/>
      <c r="D538" s="72"/>
      <c r="E538" s="73"/>
      <c r="F538" s="74"/>
      <c r="G538" s="72"/>
      <c r="H538" s="73"/>
      <c r="I538" s="75"/>
      <c r="J538" s="75"/>
      <c r="K538" s="75"/>
      <c r="L538" s="74"/>
      <c r="M538" s="76"/>
      <c r="N538" s="75"/>
      <c r="O538" s="75"/>
      <c r="P538" s="75"/>
    </row>
    <row r="539" spans="1:16" ht="15.75" customHeight="1">
      <c r="A539" s="71"/>
      <c r="B539" s="72"/>
      <c r="C539" s="73"/>
      <c r="D539" s="72"/>
      <c r="E539" s="73"/>
      <c r="F539" s="74"/>
      <c r="G539" s="72"/>
      <c r="H539" s="73"/>
      <c r="I539" s="75"/>
      <c r="J539" s="75"/>
      <c r="K539" s="75"/>
      <c r="L539" s="74"/>
      <c r="M539" s="76"/>
      <c r="N539" s="75"/>
      <c r="O539" s="75"/>
      <c r="P539" s="75"/>
    </row>
    <row r="540" spans="1:16" ht="15.75" customHeight="1">
      <c r="A540" s="71"/>
      <c r="B540" s="72"/>
      <c r="C540" s="73"/>
      <c r="D540" s="72"/>
      <c r="E540" s="73"/>
      <c r="F540" s="74"/>
      <c r="G540" s="72"/>
      <c r="H540" s="73"/>
      <c r="I540" s="75"/>
      <c r="J540" s="75"/>
      <c r="K540" s="75"/>
      <c r="L540" s="74"/>
      <c r="M540" s="76"/>
      <c r="N540" s="75"/>
      <c r="O540" s="75"/>
      <c r="P540" s="75"/>
    </row>
    <row r="541" spans="1:16" ht="15.75" customHeight="1">
      <c r="A541" s="71"/>
      <c r="B541" s="72"/>
      <c r="C541" s="73"/>
      <c r="D541" s="72"/>
      <c r="E541" s="73"/>
      <c r="F541" s="74"/>
      <c r="G541" s="72"/>
      <c r="H541" s="73"/>
      <c r="I541" s="75"/>
      <c r="J541" s="75"/>
      <c r="K541" s="75"/>
      <c r="L541" s="74"/>
      <c r="M541" s="76"/>
      <c r="N541" s="75"/>
      <c r="O541" s="75"/>
      <c r="P541" s="75"/>
    </row>
    <row r="542" spans="1:16" ht="15.75" customHeight="1">
      <c r="A542" s="71"/>
      <c r="B542" s="72"/>
      <c r="C542" s="73"/>
      <c r="D542" s="72"/>
      <c r="E542" s="73"/>
      <c r="F542" s="74"/>
      <c r="G542" s="72"/>
      <c r="H542" s="73"/>
      <c r="I542" s="75"/>
      <c r="J542" s="75"/>
      <c r="K542" s="75"/>
      <c r="L542" s="74"/>
      <c r="M542" s="76"/>
      <c r="N542" s="75"/>
      <c r="O542" s="75"/>
      <c r="P542" s="75"/>
    </row>
    <row r="543" spans="1:16" ht="15.75" customHeight="1">
      <c r="A543" s="71"/>
      <c r="B543" s="72"/>
      <c r="C543" s="73"/>
      <c r="D543" s="72"/>
      <c r="E543" s="73"/>
      <c r="F543" s="74"/>
      <c r="G543" s="72"/>
      <c r="H543" s="73"/>
      <c r="I543" s="75"/>
      <c r="J543" s="75"/>
      <c r="K543" s="75"/>
      <c r="L543" s="74"/>
      <c r="M543" s="76"/>
      <c r="N543" s="75"/>
      <c r="O543" s="75"/>
      <c r="P543" s="75"/>
    </row>
    <row r="544" spans="1:16" ht="15.75" customHeight="1">
      <c r="A544" s="71"/>
      <c r="B544" s="72"/>
      <c r="C544" s="73"/>
      <c r="D544" s="72"/>
      <c r="E544" s="73"/>
      <c r="F544" s="74"/>
      <c r="G544" s="72"/>
      <c r="H544" s="73"/>
      <c r="I544" s="75"/>
      <c r="J544" s="75"/>
      <c r="K544" s="75"/>
      <c r="L544" s="74"/>
      <c r="M544" s="76"/>
      <c r="N544" s="75"/>
      <c r="O544" s="75"/>
      <c r="P544" s="75"/>
    </row>
    <row r="545" spans="1:16" ht="15.75" customHeight="1">
      <c r="A545" s="71"/>
      <c r="B545" s="72"/>
      <c r="C545" s="73"/>
      <c r="D545" s="72"/>
      <c r="E545" s="73"/>
      <c r="F545" s="74"/>
      <c r="G545" s="72"/>
      <c r="H545" s="73"/>
      <c r="I545" s="75"/>
      <c r="J545" s="75"/>
      <c r="K545" s="75"/>
      <c r="L545" s="74"/>
      <c r="M545" s="76"/>
      <c r="N545" s="75"/>
      <c r="O545" s="75"/>
      <c r="P545" s="75"/>
    </row>
    <row r="546" spans="1:16" ht="15.75" customHeight="1">
      <c r="A546" s="71"/>
      <c r="B546" s="72"/>
      <c r="C546" s="73"/>
      <c r="D546" s="72"/>
      <c r="E546" s="73"/>
      <c r="F546" s="74"/>
      <c r="G546" s="72"/>
      <c r="H546" s="73"/>
      <c r="I546" s="75"/>
      <c r="J546" s="75"/>
      <c r="K546" s="75"/>
      <c r="L546" s="74"/>
      <c r="M546" s="76"/>
      <c r="N546" s="75"/>
      <c r="O546" s="75"/>
      <c r="P546" s="75"/>
    </row>
    <row r="547" spans="1:16" ht="15.75" customHeight="1">
      <c r="A547" s="71"/>
      <c r="B547" s="72"/>
      <c r="C547" s="73"/>
      <c r="D547" s="72"/>
      <c r="E547" s="73"/>
      <c r="F547" s="74"/>
      <c r="G547" s="72"/>
      <c r="H547" s="73"/>
      <c r="I547" s="75"/>
      <c r="J547" s="75"/>
      <c r="K547" s="75"/>
      <c r="L547" s="74"/>
      <c r="M547" s="76"/>
      <c r="N547" s="75"/>
      <c r="O547" s="75"/>
      <c r="P547" s="75"/>
    </row>
    <row r="548" spans="1:16" ht="15.75" customHeight="1">
      <c r="A548" s="71"/>
      <c r="B548" s="72"/>
      <c r="C548" s="73"/>
      <c r="D548" s="72"/>
      <c r="E548" s="73"/>
      <c r="F548" s="74"/>
      <c r="G548" s="72"/>
      <c r="H548" s="73"/>
      <c r="I548" s="75"/>
      <c r="J548" s="75"/>
      <c r="K548" s="75"/>
      <c r="L548" s="74"/>
      <c r="M548" s="76"/>
      <c r="N548" s="75"/>
      <c r="O548" s="75"/>
      <c r="P548" s="75"/>
    </row>
    <row r="549" spans="1:16" ht="15.75" customHeight="1">
      <c r="A549" s="71"/>
      <c r="B549" s="72"/>
      <c r="C549" s="73"/>
      <c r="D549" s="72"/>
      <c r="E549" s="73"/>
      <c r="F549" s="74"/>
      <c r="G549" s="72"/>
      <c r="H549" s="73"/>
      <c r="I549" s="75"/>
      <c r="J549" s="75"/>
      <c r="K549" s="75"/>
      <c r="L549" s="74"/>
      <c r="M549" s="76"/>
      <c r="N549" s="75"/>
      <c r="O549" s="75"/>
      <c r="P549" s="75"/>
    </row>
    <row r="550" spans="1:16" ht="15.75" customHeight="1">
      <c r="A550" s="71"/>
      <c r="B550" s="72"/>
      <c r="C550" s="73"/>
      <c r="D550" s="72"/>
      <c r="E550" s="73"/>
      <c r="F550" s="74"/>
      <c r="G550" s="72"/>
      <c r="H550" s="73"/>
      <c r="I550" s="75"/>
      <c r="J550" s="75"/>
      <c r="K550" s="75"/>
      <c r="L550" s="74"/>
      <c r="M550" s="76"/>
      <c r="N550" s="75"/>
      <c r="O550" s="75"/>
      <c r="P550" s="75"/>
    </row>
    <row r="551" spans="1:16" ht="15.75" customHeight="1">
      <c r="A551" s="71"/>
      <c r="B551" s="72"/>
      <c r="C551" s="73"/>
      <c r="D551" s="72"/>
      <c r="E551" s="73"/>
      <c r="F551" s="74"/>
      <c r="G551" s="72"/>
      <c r="H551" s="73"/>
      <c r="I551" s="75"/>
      <c r="J551" s="75"/>
      <c r="K551" s="75"/>
      <c r="L551" s="74"/>
      <c r="M551" s="76"/>
      <c r="N551" s="75"/>
      <c r="O551" s="75"/>
      <c r="P551" s="75"/>
    </row>
    <row r="552" spans="1:16" ht="15.75" customHeight="1">
      <c r="A552" s="71"/>
      <c r="B552" s="72"/>
      <c r="C552" s="73"/>
      <c r="D552" s="72"/>
      <c r="E552" s="73"/>
      <c r="F552" s="74"/>
      <c r="G552" s="72"/>
      <c r="H552" s="73"/>
      <c r="I552" s="75"/>
      <c r="J552" s="75"/>
      <c r="K552" s="75"/>
      <c r="L552" s="74"/>
      <c r="M552" s="76"/>
      <c r="N552" s="75"/>
      <c r="O552" s="75"/>
      <c r="P552" s="75"/>
    </row>
    <row r="553" spans="1:16" ht="15.75" customHeight="1">
      <c r="A553" s="71"/>
      <c r="B553" s="72"/>
      <c r="C553" s="73"/>
      <c r="D553" s="72"/>
      <c r="E553" s="73"/>
      <c r="F553" s="74"/>
      <c r="G553" s="72"/>
      <c r="H553" s="73"/>
      <c r="I553" s="75"/>
      <c r="J553" s="75"/>
      <c r="K553" s="75"/>
      <c r="L553" s="74"/>
      <c r="M553" s="76"/>
      <c r="N553" s="75"/>
      <c r="O553" s="75"/>
      <c r="P553" s="75"/>
    </row>
    <row r="554" spans="1:16" ht="15.75" customHeight="1">
      <c r="A554" s="71"/>
      <c r="B554" s="72"/>
      <c r="C554" s="73"/>
      <c r="D554" s="72"/>
      <c r="E554" s="73"/>
      <c r="F554" s="74"/>
      <c r="G554" s="72"/>
      <c r="H554" s="73"/>
      <c r="I554" s="75"/>
      <c r="J554" s="75"/>
      <c r="K554" s="75"/>
      <c r="L554" s="74"/>
      <c r="M554" s="76"/>
      <c r="N554" s="75"/>
      <c r="O554" s="75"/>
      <c r="P554" s="75"/>
    </row>
    <row r="555" spans="1:16" ht="15.75" customHeight="1">
      <c r="A555" s="71"/>
      <c r="B555" s="72"/>
      <c r="C555" s="73"/>
      <c r="D555" s="72"/>
      <c r="E555" s="73"/>
      <c r="F555" s="74"/>
      <c r="G555" s="72"/>
      <c r="H555" s="73"/>
      <c r="I555" s="75"/>
      <c r="J555" s="75"/>
      <c r="K555" s="75"/>
      <c r="L555" s="74"/>
      <c r="M555" s="76"/>
      <c r="N555" s="75"/>
      <c r="O555" s="75"/>
      <c r="P555" s="75"/>
    </row>
    <row r="556" spans="1:16" ht="15.75" customHeight="1">
      <c r="A556" s="71"/>
      <c r="B556" s="72"/>
      <c r="C556" s="73"/>
      <c r="D556" s="72"/>
      <c r="E556" s="73"/>
      <c r="F556" s="74"/>
      <c r="G556" s="72"/>
      <c r="H556" s="73"/>
      <c r="I556" s="75"/>
      <c r="J556" s="75"/>
      <c r="K556" s="75"/>
      <c r="L556" s="74"/>
      <c r="M556" s="76"/>
      <c r="N556" s="75"/>
      <c r="O556" s="75"/>
      <c r="P556" s="75"/>
    </row>
    <row r="557" spans="1:16" ht="15.75" customHeight="1">
      <c r="A557" s="71"/>
      <c r="B557" s="72"/>
      <c r="C557" s="73"/>
      <c r="D557" s="72"/>
      <c r="E557" s="73"/>
      <c r="F557" s="74"/>
      <c r="G557" s="72"/>
      <c r="H557" s="73"/>
      <c r="I557" s="75"/>
      <c r="J557" s="75"/>
      <c r="K557" s="75"/>
      <c r="L557" s="74"/>
      <c r="M557" s="76"/>
      <c r="N557" s="75"/>
      <c r="O557" s="75"/>
      <c r="P557" s="75"/>
    </row>
    <row r="558" spans="1:16" ht="15.75" customHeight="1">
      <c r="A558" s="71"/>
      <c r="B558" s="72"/>
      <c r="C558" s="73"/>
      <c r="D558" s="72"/>
      <c r="E558" s="73"/>
      <c r="F558" s="74"/>
      <c r="G558" s="72"/>
      <c r="H558" s="73"/>
      <c r="I558" s="75"/>
      <c r="J558" s="75"/>
      <c r="K558" s="75"/>
      <c r="L558" s="74"/>
      <c r="M558" s="76"/>
      <c r="N558" s="75"/>
      <c r="O558" s="75"/>
      <c r="P558" s="75"/>
    </row>
    <row r="559" spans="1:16" ht="15.75" customHeight="1">
      <c r="A559" s="71"/>
      <c r="B559" s="72"/>
      <c r="C559" s="73"/>
      <c r="D559" s="72"/>
      <c r="E559" s="73"/>
      <c r="F559" s="74"/>
      <c r="G559" s="72"/>
      <c r="H559" s="73"/>
      <c r="I559" s="75"/>
      <c r="J559" s="75"/>
      <c r="K559" s="75"/>
      <c r="L559" s="74"/>
      <c r="M559" s="76"/>
      <c r="N559" s="75"/>
      <c r="O559" s="75"/>
      <c r="P559" s="75"/>
    </row>
    <row r="560" spans="1:16" ht="15.75" customHeight="1">
      <c r="A560" s="71"/>
      <c r="B560" s="72"/>
      <c r="C560" s="73"/>
      <c r="D560" s="72"/>
      <c r="E560" s="73"/>
      <c r="F560" s="74"/>
      <c r="G560" s="72"/>
      <c r="H560" s="73"/>
      <c r="I560" s="75"/>
      <c r="J560" s="75"/>
      <c r="K560" s="75"/>
      <c r="L560" s="74"/>
      <c r="M560" s="76"/>
      <c r="N560" s="75"/>
      <c r="O560" s="75"/>
      <c r="P560" s="75"/>
    </row>
    <row r="561" spans="1:16" ht="15.75" customHeight="1">
      <c r="A561" s="71"/>
      <c r="B561" s="72"/>
      <c r="C561" s="73"/>
      <c r="D561" s="72"/>
      <c r="E561" s="73"/>
      <c r="F561" s="74"/>
      <c r="G561" s="72"/>
      <c r="H561" s="73"/>
      <c r="I561" s="75"/>
      <c r="J561" s="75"/>
      <c r="K561" s="75"/>
      <c r="L561" s="74"/>
      <c r="M561" s="76"/>
      <c r="N561" s="75"/>
      <c r="O561" s="75"/>
      <c r="P561" s="75"/>
    </row>
    <row r="562" spans="1:16" ht="15.75" customHeight="1">
      <c r="A562" s="71"/>
      <c r="B562" s="72"/>
      <c r="C562" s="73"/>
      <c r="D562" s="72"/>
      <c r="E562" s="73"/>
      <c r="F562" s="74"/>
      <c r="G562" s="72"/>
      <c r="H562" s="73"/>
      <c r="I562" s="75"/>
      <c r="J562" s="75"/>
      <c r="K562" s="75"/>
      <c r="L562" s="74"/>
      <c r="M562" s="76"/>
      <c r="N562" s="75"/>
      <c r="O562" s="75"/>
      <c r="P562" s="75"/>
    </row>
    <row r="563" spans="1:16" ht="15.75" customHeight="1">
      <c r="A563" s="71"/>
      <c r="B563" s="72"/>
      <c r="C563" s="73"/>
      <c r="D563" s="72"/>
      <c r="E563" s="73"/>
      <c r="F563" s="74"/>
      <c r="G563" s="72"/>
      <c r="H563" s="73"/>
      <c r="I563" s="75"/>
      <c r="J563" s="75"/>
      <c r="K563" s="75"/>
      <c r="L563" s="74"/>
      <c r="M563" s="76"/>
      <c r="N563" s="75"/>
      <c r="O563" s="75"/>
      <c r="P563" s="75"/>
    </row>
    <row r="564" spans="1:16" ht="15.75" customHeight="1">
      <c r="A564" s="71"/>
      <c r="B564" s="72"/>
      <c r="C564" s="73"/>
      <c r="D564" s="72"/>
      <c r="E564" s="73"/>
      <c r="F564" s="74"/>
      <c r="G564" s="72"/>
      <c r="H564" s="73"/>
      <c r="I564" s="75"/>
      <c r="J564" s="75"/>
      <c r="K564" s="75"/>
      <c r="L564" s="74"/>
      <c r="M564" s="76"/>
      <c r="N564" s="75"/>
      <c r="O564" s="75"/>
      <c r="P564" s="75"/>
    </row>
    <row r="565" spans="1:16" ht="15.75" customHeight="1">
      <c r="A565" s="71"/>
      <c r="B565" s="72"/>
      <c r="C565" s="73"/>
      <c r="D565" s="72"/>
      <c r="E565" s="73"/>
      <c r="F565" s="74"/>
      <c r="G565" s="72"/>
      <c r="H565" s="73"/>
      <c r="I565" s="75"/>
      <c r="J565" s="75"/>
      <c r="K565" s="75"/>
      <c r="L565" s="74"/>
      <c r="M565" s="76"/>
      <c r="N565" s="75"/>
      <c r="O565" s="75"/>
      <c r="P565" s="75"/>
    </row>
    <row r="566" spans="1:16" ht="15.75" customHeight="1">
      <c r="A566" s="71"/>
      <c r="B566" s="72"/>
      <c r="C566" s="73"/>
      <c r="D566" s="72"/>
      <c r="E566" s="73"/>
      <c r="F566" s="74"/>
      <c r="G566" s="72"/>
      <c r="H566" s="73"/>
      <c r="I566" s="75"/>
      <c r="J566" s="75"/>
      <c r="K566" s="75"/>
      <c r="L566" s="74"/>
      <c r="M566" s="76"/>
      <c r="N566" s="75"/>
      <c r="O566" s="75"/>
      <c r="P566" s="75"/>
    </row>
    <row r="567" spans="1:16" ht="15.75" customHeight="1">
      <c r="A567" s="71"/>
      <c r="B567" s="72"/>
      <c r="C567" s="73"/>
      <c r="D567" s="72"/>
      <c r="E567" s="73"/>
      <c r="F567" s="74"/>
      <c r="G567" s="72"/>
      <c r="H567" s="73"/>
      <c r="I567" s="75"/>
      <c r="J567" s="75"/>
      <c r="K567" s="75"/>
      <c r="L567" s="74"/>
      <c r="M567" s="76"/>
      <c r="N567" s="75"/>
      <c r="O567" s="75"/>
      <c r="P567" s="75"/>
    </row>
    <row r="568" spans="1:16" ht="15.75" customHeight="1">
      <c r="A568" s="71"/>
      <c r="B568" s="72"/>
      <c r="C568" s="73"/>
      <c r="D568" s="72"/>
      <c r="E568" s="73"/>
      <c r="F568" s="74"/>
      <c r="G568" s="72"/>
      <c r="H568" s="73"/>
      <c r="I568" s="75"/>
      <c r="J568" s="75"/>
      <c r="K568" s="75"/>
      <c r="L568" s="74"/>
      <c r="M568" s="76"/>
      <c r="N568" s="75"/>
      <c r="O568" s="75"/>
      <c r="P568" s="75"/>
    </row>
    <row r="569" spans="1:16" ht="15.75" customHeight="1">
      <c r="A569" s="71"/>
      <c r="B569" s="72"/>
      <c r="C569" s="73"/>
      <c r="D569" s="72"/>
      <c r="E569" s="73"/>
      <c r="F569" s="74"/>
      <c r="G569" s="72"/>
      <c r="H569" s="73"/>
      <c r="I569" s="75"/>
      <c r="J569" s="75"/>
      <c r="K569" s="75"/>
      <c r="L569" s="74"/>
      <c r="M569" s="76"/>
      <c r="N569" s="75"/>
      <c r="O569" s="75"/>
      <c r="P569" s="75"/>
    </row>
    <row r="570" spans="1:16" ht="15.75" customHeight="1">
      <c r="A570" s="71"/>
      <c r="B570" s="72"/>
      <c r="C570" s="73"/>
      <c r="D570" s="72"/>
      <c r="E570" s="73"/>
      <c r="F570" s="74"/>
      <c r="G570" s="72"/>
      <c r="H570" s="73"/>
      <c r="I570" s="75"/>
      <c r="J570" s="75"/>
      <c r="K570" s="75"/>
      <c r="L570" s="74"/>
      <c r="M570" s="76"/>
      <c r="N570" s="75"/>
      <c r="O570" s="75"/>
      <c r="P570" s="75"/>
    </row>
    <row r="571" spans="1:16" ht="15.75" customHeight="1">
      <c r="A571" s="71"/>
      <c r="B571" s="72"/>
      <c r="C571" s="73"/>
      <c r="D571" s="72"/>
      <c r="E571" s="73"/>
      <c r="F571" s="74"/>
      <c r="G571" s="72"/>
      <c r="H571" s="73"/>
      <c r="I571" s="75"/>
      <c r="J571" s="75"/>
      <c r="K571" s="75"/>
      <c r="L571" s="74"/>
      <c r="M571" s="76"/>
      <c r="N571" s="75"/>
      <c r="O571" s="75"/>
      <c r="P571" s="75"/>
    </row>
    <row r="572" spans="1:16" ht="15.75" customHeight="1">
      <c r="A572" s="71"/>
      <c r="B572" s="72"/>
      <c r="C572" s="73"/>
      <c r="D572" s="72"/>
      <c r="E572" s="73"/>
      <c r="F572" s="74"/>
      <c r="G572" s="72"/>
      <c r="H572" s="73"/>
      <c r="I572" s="75"/>
      <c r="J572" s="75"/>
      <c r="K572" s="75"/>
      <c r="L572" s="74"/>
      <c r="M572" s="76"/>
      <c r="N572" s="75"/>
      <c r="O572" s="75"/>
      <c r="P572" s="75"/>
    </row>
    <row r="573" spans="1:16" ht="15.75" customHeight="1">
      <c r="A573" s="71"/>
      <c r="B573" s="72"/>
      <c r="C573" s="73"/>
      <c r="D573" s="72"/>
      <c r="E573" s="73"/>
      <c r="F573" s="74"/>
      <c r="G573" s="72"/>
      <c r="H573" s="73"/>
      <c r="I573" s="75"/>
      <c r="J573" s="75"/>
      <c r="K573" s="75"/>
      <c r="L573" s="74"/>
      <c r="M573" s="76"/>
      <c r="N573" s="75"/>
      <c r="O573" s="75"/>
      <c r="P573" s="75"/>
    </row>
    <row r="574" spans="1:16" ht="15.75" customHeight="1">
      <c r="A574" s="71"/>
      <c r="B574" s="72"/>
      <c r="C574" s="73"/>
      <c r="D574" s="72"/>
      <c r="E574" s="73"/>
      <c r="F574" s="74"/>
      <c r="G574" s="72"/>
      <c r="H574" s="73"/>
      <c r="I574" s="75"/>
      <c r="J574" s="75"/>
      <c r="K574" s="75"/>
      <c r="L574" s="74"/>
      <c r="M574" s="76"/>
      <c r="N574" s="75"/>
      <c r="O574" s="75"/>
      <c r="P574" s="75"/>
    </row>
    <row r="575" spans="1:16" ht="15.75" customHeight="1">
      <c r="A575" s="71"/>
      <c r="B575" s="72"/>
      <c r="C575" s="73"/>
      <c r="D575" s="72"/>
      <c r="E575" s="73"/>
      <c r="F575" s="74"/>
      <c r="G575" s="72"/>
      <c r="H575" s="73"/>
      <c r="I575" s="75"/>
      <c r="J575" s="75"/>
      <c r="K575" s="75"/>
      <c r="L575" s="74"/>
      <c r="M575" s="76"/>
      <c r="N575" s="75"/>
      <c r="O575" s="75"/>
      <c r="P575" s="75"/>
    </row>
    <row r="576" spans="1:16" ht="15.75" customHeight="1">
      <c r="A576" s="71"/>
      <c r="B576" s="72"/>
      <c r="C576" s="73"/>
      <c r="D576" s="72"/>
      <c r="E576" s="73"/>
      <c r="F576" s="74"/>
      <c r="G576" s="72"/>
      <c r="H576" s="73"/>
      <c r="I576" s="75"/>
      <c r="J576" s="75"/>
      <c r="K576" s="75"/>
      <c r="L576" s="74"/>
      <c r="M576" s="76"/>
      <c r="N576" s="75"/>
      <c r="O576" s="75"/>
      <c r="P576" s="75"/>
    </row>
    <row r="577" spans="1:16" ht="15.75" customHeight="1">
      <c r="A577" s="71"/>
      <c r="B577" s="72"/>
      <c r="C577" s="73"/>
      <c r="D577" s="72"/>
      <c r="E577" s="73"/>
      <c r="F577" s="74"/>
      <c r="G577" s="72"/>
      <c r="H577" s="73"/>
      <c r="I577" s="75"/>
      <c r="J577" s="75"/>
      <c r="K577" s="75"/>
      <c r="L577" s="74"/>
      <c r="M577" s="76"/>
      <c r="N577" s="75"/>
      <c r="O577" s="75"/>
      <c r="P577" s="75"/>
    </row>
    <row r="578" spans="1:16" ht="15.75" customHeight="1">
      <c r="A578" s="71"/>
      <c r="B578" s="72"/>
      <c r="C578" s="73"/>
      <c r="D578" s="72"/>
      <c r="E578" s="73"/>
      <c r="F578" s="74"/>
      <c r="G578" s="72"/>
      <c r="H578" s="73"/>
      <c r="I578" s="75"/>
      <c r="J578" s="75"/>
      <c r="K578" s="75"/>
      <c r="L578" s="74"/>
      <c r="M578" s="76"/>
      <c r="N578" s="75"/>
      <c r="O578" s="75"/>
      <c r="P578" s="75"/>
    </row>
    <row r="579" spans="1:16" ht="15.75" customHeight="1">
      <c r="A579" s="71"/>
      <c r="B579" s="72"/>
      <c r="C579" s="73"/>
      <c r="D579" s="72"/>
      <c r="E579" s="73"/>
      <c r="F579" s="74"/>
      <c r="G579" s="72"/>
      <c r="H579" s="73"/>
      <c r="I579" s="75"/>
      <c r="J579" s="75"/>
      <c r="K579" s="75"/>
      <c r="L579" s="74"/>
      <c r="M579" s="76"/>
      <c r="N579" s="75"/>
      <c r="O579" s="75"/>
      <c r="P579" s="75"/>
    </row>
    <row r="580" spans="1:16" ht="15.75" customHeight="1">
      <c r="A580" s="71"/>
      <c r="B580" s="72"/>
      <c r="C580" s="73"/>
      <c r="D580" s="72"/>
      <c r="E580" s="73"/>
      <c r="F580" s="74"/>
      <c r="G580" s="72"/>
      <c r="H580" s="73"/>
      <c r="I580" s="75"/>
      <c r="J580" s="75"/>
      <c r="K580" s="75"/>
      <c r="L580" s="74"/>
      <c r="M580" s="76"/>
      <c r="N580" s="75"/>
      <c r="O580" s="75"/>
      <c r="P580" s="75"/>
    </row>
    <row r="581" spans="1:16" ht="15.75" customHeight="1">
      <c r="A581" s="71"/>
      <c r="B581" s="72"/>
      <c r="C581" s="73"/>
      <c r="D581" s="72"/>
      <c r="E581" s="73"/>
      <c r="F581" s="74"/>
      <c r="G581" s="72"/>
      <c r="H581" s="73"/>
      <c r="I581" s="75"/>
      <c r="J581" s="75"/>
      <c r="K581" s="75"/>
      <c r="L581" s="74"/>
      <c r="M581" s="76"/>
      <c r="N581" s="75"/>
      <c r="O581" s="75"/>
      <c r="P581" s="75"/>
    </row>
    <row r="582" spans="1:16" ht="15.75" customHeight="1">
      <c r="A582" s="71"/>
      <c r="B582" s="72"/>
      <c r="C582" s="73"/>
      <c r="D582" s="72"/>
      <c r="E582" s="73"/>
      <c r="F582" s="74"/>
      <c r="G582" s="72"/>
      <c r="H582" s="73"/>
      <c r="I582" s="75"/>
      <c r="J582" s="75"/>
      <c r="K582" s="75"/>
      <c r="L582" s="74"/>
      <c r="M582" s="76"/>
      <c r="N582" s="75"/>
      <c r="O582" s="75"/>
      <c r="P582" s="75"/>
    </row>
    <row r="583" spans="1:16" ht="15.75" customHeight="1">
      <c r="A583" s="71"/>
      <c r="B583" s="72"/>
      <c r="C583" s="73"/>
      <c r="D583" s="72"/>
      <c r="E583" s="73"/>
      <c r="F583" s="74"/>
      <c r="G583" s="72"/>
      <c r="H583" s="73"/>
      <c r="I583" s="75"/>
      <c r="J583" s="75"/>
      <c r="K583" s="75"/>
      <c r="L583" s="74"/>
      <c r="M583" s="76"/>
      <c r="N583" s="75"/>
      <c r="O583" s="75"/>
      <c r="P583" s="75"/>
    </row>
    <row r="584" spans="1:16" ht="15.75" customHeight="1">
      <c r="A584" s="71"/>
      <c r="B584" s="72"/>
      <c r="C584" s="73"/>
      <c r="D584" s="72"/>
      <c r="E584" s="73"/>
      <c r="F584" s="74"/>
      <c r="G584" s="72"/>
      <c r="H584" s="73"/>
      <c r="I584" s="75"/>
      <c r="J584" s="75"/>
      <c r="K584" s="75"/>
      <c r="L584" s="74"/>
      <c r="M584" s="76"/>
      <c r="N584" s="75"/>
      <c r="O584" s="75"/>
      <c r="P584" s="75"/>
    </row>
    <row r="585" spans="1:16" ht="15.75" customHeight="1">
      <c r="A585" s="71"/>
      <c r="B585" s="72"/>
      <c r="C585" s="73"/>
      <c r="D585" s="72"/>
      <c r="E585" s="73"/>
      <c r="F585" s="74"/>
      <c r="G585" s="72"/>
      <c r="H585" s="73"/>
      <c r="I585" s="75"/>
      <c r="J585" s="75"/>
      <c r="K585" s="75"/>
      <c r="L585" s="74"/>
      <c r="M585" s="76"/>
      <c r="N585" s="75"/>
      <c r="O585" s="75"/>
      <c r="P585" s="75"/>
    </row>
    <row r="586" spans="1:16" ht="15.75" customHeight="1">
      <c r="A586" s="71"/>
      <c r="B586" s="72"/>
      <c r="C586" s="73"/>
      <c r="D586" s="72"/>
      <c r="E586" s="73"/>
      <c r="F586" s="74"/>
      <c r="G586" s="72"/>
      <c r="H586" s="73"/>
      <c r="I586" s="75"/>
      <c r="J586" s="75"/>
      <c r="K586" s="75"/>
      <c r="L586" s="74"/>
      <c r="M586" s="76"/>
      <c r="N586" s="75"/>
      <c r="O586" s="75"/>
      <c r="P586" s="75"/>
    </row>
    <row r="587" spans="1:16" ht="15.75" customHeight="1">
      <c r="A587" s="71"/>
      <c r="B587" s="72"/>
      <c r="C587" s="73"/>
      <c r="D587" s="72"/>
      <c r="E587" s="73"/>
      <c r="F587" s="74"/>
      <c r="G587" s="72"/>
      <c r="H587" s="73"/>
      <c r="I587" s="75"/>
      <c r="J587" s="75"/>
      <c r="K587" s="75"/>
      <c r="L587" s="74"/>
      <c r="M587" s="76"/>
      <c r="N587" s="75"/>
      <c r="O587" s="75"/>
      <c r="P587" s="75"/>
    </row>
    <row r="588" spans="1:16" ht="15.75" customHeight="1">
      <c r="A588" s="71"/>
      <c r="B588" s="72"/>
      <c r="C588" s="73"/>
      <c r="D588" s="72"/>
      <c r="E588" s="73"/>
      <c r="F588" s="74"/>
      <c r="G588" s="72"/>
      <c r="H588" s="73"/>
      <c r="I588" s="75"/>
      <c r="J588" s="75"/>
      <c r="K588" s="75"/>
      <c r="L588" s="74"/>
      <c r="M588" s="76"/>
      <c r="N588" s="75"/>
      <c r="O588" s="75"/>
      <c r="P588" s="75"/>
    </row>
    <row r="589" spans="1:16" ht="15.75" customHeight="1">
      <c r="A589" s="71"/>
      <c r="B589" s="72"/>
      <c r="C589" s="73"/>
      <c r="D589" s="72"/>
      <c r="E589" s="73"/>
      <c r="F589" s="74"/>
      <c r="G589" s="72"/>
      <c r="H589" s="73"/>
      <c r="I589" s="75"/>
      <c r="J589" s="75"/>
      <c r="K589" s="75"/>
      <c r="L589" s="74"/>
      <c r="M589" s="76"/>
      <c r="N589" s="75"/>
      <c r="O589" s="75"/>
      <c r="P589" s="75"/>
    </row>
    <row r="590" spans="1:16" ht="15.75" customHeight="1">
      <c r="A590" s="71"/>
      <c r="B590" s="72"/>
      <c r="C590" s="73"/>
      <c r="D590" s="72"/>
      <c r="E590" s="73"/>
      <c r="F590" s="74"/>
      <c r="G590" s="72"/>
      <c r="H590" s="73"/>
      <c r="I590" s="75"/>
      <c r="J590" s="75"/>
      <c r="K590" s="75"/>
      <c r="L590" s="74"/>
      <c r="M590" s="76"/>
      <c r="N590" s="75"/>
      <c r="O590" s="75"/>
      <c r="P590" s="75"/>
    </row>
    <row r="591" spans="1:16" ht="15.75" customHeight="1">
      <c r="A591" s="71"/>
      <c r="B591" s="72"/>
      <c r="C591" s="73"/>
      <c r="D591" s="72"/>
      <c r="E591" s="73"/>
      <c r="F591" s="74"/>
      <c r="G591" s="72"/>
      <c r="H591" s="73"/>
      <c r="I591" s="75"/>
      <c r="J591" s="75"/>
      <c r="K591" s="75"/>
      <c r="L591" s="74"/>
      <c r="M591" s="76"/>
      <c r="N591" s="75"/>
      <c r="O591" s="75"/>
      <c r="P591" s="75"/>
    </row>
    <row r="592" spans="1:16" ht="15.75" customHeight="1">
      <c r="A592" s="71"/>
      <c r="B592" s="72"/>
      <c r="C592" s="73"/>
      <c r="D592" s="72"/>
      <c r="E592" s="73"/>
      <c r="F592" s="74"/>
      <c r="G592" s="72"/>
      <c r="H592" s="73"/>
      <c r="I592" s="75"/>
      <c r="J592" s="75"/>
      <c r="K592" s="75"/>
      <c r="L592" s="74"/>
      <c r="M592" s="76"/>
      <c r="N592" s="75"/>
      <c r="O592" s="75"/>
      <c r="P592" s="75"/>
    </row>
    <row r="593" spans="1:16" ht="15.75" customHeight="1">
      <c r="A593" s="71"/>
      <c r="B593" s="72"/>
      <c r="C593" s="73"/>
      <c r="D593" s="72"/>
      <c r="E593" s="73"/>
      <c r="F593" s="74"/>
      <c r="G593" s="72"/>
      <c r="H593" s="73"/>
      <c r="I593" s="75"/>
      <c r="J593" s="75"/>
      <c r="K593" s="75"/>
      <c r="L593" s="74"/>
      <c r="M593" s="76"/>
      <c r="N593" s="75"/>
      <c r="O593" s="75"/>
      <c r="P593" s="75"/>
    </row>
    <row r="594" spans="1:16" ht="15.75" customHeight="1">
      <c r="A594" s="71"/>
      <c r="B594" s="72"/>
      <c r="C594" s="73"/>
      <c r="D594" s="72"/>
      <c r="E594" s="73"/>
      <c r="F594" s="74"/>
      <c r="G594" s="72"/>
      <c r="H594" s="73"/>
      <c r="I594" s="75"/>
      <c r="J594" s="75"/>
      <c r="K594" s="75"/>
      <c r="L594" s="74"/>
      <c r="M594" s="76"/>
      <c r="N594" s="75"/>
      <c r="O594" s="75"/>
      <c r="P594" s="75"/>
    </row>
    <row r="595" spans="1:16" ht="15.75" customHeight="1">
      <c r="A595" s="71"/>
      <c r="B595" s="72"/>
      <c r="C595" s="73"/>
      <c r="D595" s="72"/>
      <c r="E595" s="73"/>
      <c r="F595" s="74"/>
      <c r="G595" s="72"/>
      <c r="H595" s="73"/>
      <c r="I595" s="75"/>
      <c r="J595" s="75"/>
      <c r="K595" s="75"/>
      <c r="L595" s="74"/>
      <c r="M595" s="76"/>
      <c r="N595" s="75"/>
      <c r="O595" s="75"/>
      <c r="P595" s="75"/>
    </row>
    <row r="596" spans="1:16" ht="15.75" customHeight="1">
      <c r="A596" s="71"/>
      <c r="B596" s="72"/>
      <c r="C596" s="73"/>
      <c r="D596" s="72"/>
      <c r="E596" s="73"/>
      <c r="F596" s="74"/>
      <c r="G596" s="72"/>
      <c r="H596" s="73"/>
      <c r="I596" s="75"/>
      <c r="J596" s="75"/>
      <c r="K596" s="75"/>
      <c r="L596" s="74"/>
      <c r="M596" s="76"/>
      <c r="N596" s="75"/>
      <c r="O596" s="75"/>
      <c r="P596" s="75"/>
    </row>
    <row r="597" spans="1:16" ht="15.75" customHeight="1">
      <c r="A597" s="71"/>
      <c r="B597" s="72"/>
      <c r="C597" s="73"/>
      <c r="D597" s="72"/>
      <c r="E597" s="73"/>
      <c r="F597" s="74"/>
      <c r="G597" s="72"/>
      <c r="H597" s="73"/>
      <c r="I597" s="75"/>
      <c r="J597" s="75"/>
      <c r="K597" s="75"/>
      <c r="L597" s="74"/>
      <c r="M597" s="76"/>
      <c r="N597" s="75"/>
      <c r="O597" s="75"/>
      <c r="P597" s="75"/>
    </row>
    <row r="598" spans="1:16" ht="15.75" customHeight="1">
      <c r="A598" s="71"/>
      <c r="B598" s="72"/>
      <c r="C598" s="73"/>
      <c r="D598" s="72"/>
      <c r="E598" s="73"/>
      <c r="F598" s="74"/>
      <c r="G598" s="72"/>
      <c r="H598" s="73"/>
      <c r="I598" s="75"/>
      <c r="J598" s="75"/>
      <c r="K598" s="75"/>
      <c r="L598" s="74"/>
      <c r="M598" s="76"/>
      <c r="N598" s="75"/>
      <c r="O598" s="75"/>
      <c r="P598" s="75"/>
    </row>
    <row r="599" spans="1:16" ht="15.75" customHeight="1">
      <c r="A599" s="71"/>
      <c r="B599" s="72"/>
      <c r="C599" s="73"/>
      <c r="D599" s="72"/>
      <c r="E599" s="73"/>
      <c r="F599" s="74"/>
      <c r="G599" s="72"/>
      <c r="H599" s="73"/>
      <c r="I599" s="75"/>
      <c r="J599" s="75"/>
      <c r="K599" s="75"/>
      <c r="L599" s="74"/>
      <c r="M599" s="76"/>
      <c r="N599" s="75"/>
      <c r="O599" s="75"/>
      <c r="P599" s="75"/>
    </row>
    <row r="600" spans="1:16" ht="15.75" customHeight="1">
      <c r="A600" s="71"/>
      <c r="B600" s="72"/>
      <c r="C600" s="73"/>
      <c r="D600" s="72"/>
      <c r="E600" s="73"/>
      <c r="F600" s="74"/>
      <c r="G600" s="72"/>
      <c r="H600" s="73"/>
      <c r="I600" s="75"/>
      <c r="J600" s="75"/>
      <c r="K600" s="75"/>
      <c r="L600" s="74"/>
      <c r="M600" s="76"/>
      <c r="N600" s="75"/>
      <c r="O600" s="75"/>
      <c r="P600" s="75"/>
    </row>
    <row r="601" spans="1:16" ht="15.75" customHeight="1">
      <c r="A601" s="71"/>
      <c r="B601" s="72"/>
      <c r="C601" s="73"/>
      <c r="D601" s="72"/>
      <c r="E601" s="73"/>
      <c r="F601" s="74"/>
      <c r="G601" s="72"/>
      <c r="H601" s="73"/>
      <c r="I601" s="75"/>
      <c r="J601" s="75"/>
      <c r="K601" s="75"/>
      <c r="L601" s="74"/>
      <c r="M601" s="76"/>
      <c r="N601" s="75"/>
      <c r="O601" s="75"/>
      <c r="P601" s="75"/>
    </row>
    <row r="602" spans="1:16" ht="15.75" customHeight="1">
      <c r="A602" s="71"/>
      <c r="B602" s="72"/>
      <c r="C602" s="73"/>
      <c r="D602" s="72"/>
      <c r="E602" s="73"/>
      <c r="F602" s="74"/>
      <c r="G602" s="72"/>
      <c r="H602" s="73"/>
      <c r="I602" s="75"/>
      <c r="J602" s="75"/>
      <c r="K602" s="75"/>
      <c r="L602" s="74"/>
      <c r="M602" s="76"/>
      <c r="N602" s="75"/>
      <c r="O602" s="75"/>
      <c r="P602" s="75"/>
    </row>
    <row r="603" spans="1:16" ht="15.75" customHeight="1">
      <c r="A603" s="71"/>
      <c r="B603" s="72"/>
      <c r="C603" s="73"/>
      <c r="D603" s="72"/>
      <c r="E603" s="73"/>
      <c r="F603" s="74"/>
      <c r="G603" s="72"/>
      <c r="H603" s="73"/>
      <c r="I603" s="75"/>
      <c r="J603" s="75"/>
      <c r="K603" s="75"/>
      <c r="L603" s="74"/>
      <c r="M603" s="76"/>
      <c r="N603" s="75"/>
      <c r="O603" s="75"/>
      <c r="P603" s="75"/>
    </row>
    <row r="604" spans="1:16" ht="15.75" customHeight="1">
      <c r="A604" s="71"/>
      <c r="B604" s="72"/>
      <c r="C604" s="73"/>
      <c r="D604" s="72"/>
      <c r="E604" s="73"/>
      <c r="F604" s="74"/>
      <c r="G604" s="72"/>
      <c r="H604" s="73"/>
      <c r="I604" s="75"/>
      <c r="J604" s="75"/>
      <c r="K604" s="75"/>
      <c r="L604" s="74"/>
      <c r="M604" s="76"/>
      <c r="N604" s="75"/>
      <c r="O604" s="75"/>
      <c r="P604" s="75"/>
    </row>
    <row r="605" spans="1:16" ht="15.75" customHeight="1">
      <c r="A605" s="71"/>
      <c r="B605" s="72"/>
      <c r="C605" s="73"/>
      <c r="D605" s="72"/>
      <c r="E605" s="73"/>
      <c r="F605" s="74"/>
      <c r="G605" s="72"/>
      <c r="H605" s="73"/>
      <c r="I605" s="75"/>
      <c r="J605" s="75"/>
      <c r="K605" s="75"/>
      <c r="L605" s="74"/>
      <c r="M605" s="76"/>
      <c r="N605" s="75"/>
      <c r="O605" s="75"/>
      <c r="P605" s="75"/>
    </row>
    <row r="606" spans="1:16" ht="15.75" customHeight="1">
      <c r="A606" s="71"/>
      <c r="B606" s="72"/>
      <c r="C606" s="73"/>
      <c r="D606" s="72"/>
      <c r="E606" s="73"/>
      <c r="F606" s="74"/>
      <c r="G606" s="72"/>
      <c r="H606" s="73"/>
      <c r="I606" s="75"/>
      <c r="J606" s="75"/>
      <c r="K606" s="75"/>
      <c r="L606" s="74"/>
      <c r="M606" s="76"/>
      <c r="N606" s="75"/>
      <c r="O606" s="75"/>
      <c r="P606" s="75"/>
    </row>
    <row r="607" spans="1:16" ht="15.75" customHeight="1">
      <c r="A607" s="71"/>
      <c r="B607" s="72"/>
      <c r="C607" s="73"/>
      <c r="D607" s="72"/>
      <c r="E607" s="73"/>
      <c r="F607" s="74"/>
      <c r="G607" s="72"/>
      <c r="H607" s="73"/>
      <c r="I607" s="75"/>
      <c r="J607" s="75"/>
      <c r="K607" s="75"/>
      <c r="L607" s="74"/>
      <c r="M607" s="76"/>
      <c r="N607" s="75"/>
      <c r="O607" s="75"/>
      <c r="P607" s="75"/>
    </row>
    <row r="608" spans="1:16" ht="15.75" customHeight="1">
      <c r="A608" s="71"/>
      <c r="B608" s="72"/>
      <c r="C608" s="73"/>
      <c r="D608" s="72"/>
      <c r="E608" s="73"/>
      <c r="F608" s="74"/>
      <c r="G608" s="72"/>
      <c r="H608" s="73"/>
      <c r="I608" s="75"/>
      <c r="J608" s="75"/>
      <c r="K608" s="75"/>
      <c r="L608" s="74"/>
      <c r="M608" s="76"/>
      <c r="N608" s="75"/>
      <c r="O608" s="75"/>
      <c r="P608" s="75"/>
    </row>
    <row r="609" spans="1:16" ht="15.75" customHeight="1">
      <c r="A609" s="71"/>
      <c r="B609" s="72"/>
      <c r="C609" s="73"/>
      <c r="D609" s="72"/>
      <c r="E609" s="73"/>
      <c r="F609" s="74"/>
      <c r="G609" s="72"/>
      <c r="H609" s="73"/>
      <c r="I609" s="75"/>
      <c r="J609" s="75"/>
      <c r="K609" s="75"/>
      <c r="L609" s="74"/>
      <c r="M609" s="76"/>
      <c r="N609" s="75"/>
      <c r="O609" s="75"/>
      <c r="P609" s="75"/>
    </row>
    <row r="610" spans="1:16" ht="15.75" customHeight="1">
      <c r="A610" s="71"/>
      <c r="B610" s="72"/>
      <c r="C610" s="73"/>
      <c r="D610" s="72"/>
      <c r="E610" s="73"/>
      <c r="F610" s="74"/>
      <c r="G610" s="72"/>
      <c r="H610" s="73"/>
      <c r="I610" s="75"/>
      <c r="J610" s="75"/>
      <c r="K610" s="75"/>
      <c r="L610" s="74"/>
      <c r="M610" s="76"/>
      <c r="N610" s="75"/>
      <c r="O610" s="75"/>
      <c r="P610" s="75"/>
    </row>
    <row r="611" spans="1:16" ht="15.75" customHeight="1">
      <c r="A611" s="71"/>
      <c r="B611" s="72"/>
      <c r="C611" s="73"/>
      <c r="D611" s="72"/>
      <c r="E611" s="73"/>
      <c r="F611" s="74"/>
      <c r="G611" s="72"/>
      <c r="H611" s="73"/>
      <c r="I611" s="75"/>
      <c r="J611" s="75"/>
      <c r="K611" s="75"/>
      <c r="L611" s="74"/>
      <c r="M611" s="76"/>
      <c r="N611" s="75"/>
      <c r="O611" s="75"/>
      <c r="P611" s="75"/>
    </row>
    <row r="612" spans="1:16" ht="15.75" customHeight="1">
      <c r="A612" s="71"/>
      <c r="B612" s="72"/>
      <c r="C612" s="73"/>
      <c r="D612" s="72"/>
      <c r="E612" s="73"/>
      <c r="F612" s="74"/>
      <c r="G612" s="72"/>
      <c r="H612" s="73"/>
      <c r="I612" s="75"/>
      <c r="J612" s="75"/>
      <c r="K612" s="75"/>
      <c r="L612" s="74"/>
      <c r="M612" s="76"/>
      <c r="N612" s="75"/>
      <c r="O612" s="75"/>
      <c r="P612" s="75"/>
    </row>
    <row r="613" spans="1:16" ht="15.75" customHeight="1">
      <c r="A613" s="71"/>
      <c r="B613" s="72"/>
      <c r="C613" s="73"/>
      <c r="D613" s="72"/>
      <c r="E613" s="73"/>
      <c r="F613" s="74"/>
      <c r="G613" s="72"/>
      <c r="H613" s="73"/>
      <c r="I613" s="75"/>
      <c r="J613" s="75"/>
      <c r="K613" s="75"/>
      <c r="L613" s="74"/>
      <c r="M613" s="76"/>
      <c r="N613" s="75"/>
      <c r="O613" s="75"/>
      <c r="P613" s="75"/>
    </row>
    <row r="614" spans="1:16" ht="15.75" customHeight="1">
      <c r="A614" s="71"/>
      <c r="B614" s="72"/>
      <c r="C614" s="73"/>
      <c r="D614" s="72"/>
      <c r="E614" s="73"/>
      <c r="F614" s="74"/>
      <c r="G614" s="72"/>
      <c r="H614" s="73"/>
      <c r="I614" s="75"/>
      <c r="J614" s="75"/>
      <c r="K614" s="75"/>
      <c r="L614" s="74"/>
      <c r="M614" s="76"/>
      <c r="N614" s="75"/>
      <c r="O614" s="75"/>
      <c r="P614" s="75"/>
    </row>
    <row r="615" spans="1:16" ht="15.75" customHeight="1">
      <c r="A615" s="71"/>
      <c r="B615" s="72"/>
      <c r="C615" s="73"/>
      <c r="D615" s="72"/>
      <c r="E615" s="73"/>
      <c r="F615" s="74"/>
      <c r="G615" s="72"/>
      <c r="H615" s="73"/>
      <c r="I615" s="75"/>
      <c r="J615" s="75"/>
      <c r="K615" s="75"/>
      <c r="L615" s="74"/>
      <c r="M615" s="76"/>
      <c r="N615" s="75"/>
      <c r="O615" s="75"/>
      <c r="P615" s="75"/>
    </row>
    <row r="616" spans="1:16" ht="15.75" customHeight="1">
      <c r="A616" s="71"/>
      <c r="B616" s="72"/>
      <c r="C616" s="73"/>
      <c r="D616" s="72"/>
      <c r="E616" s="73"/>
      <c r="F616" s="74"/>
      <c r="G616" s="72"/>
      <c r="H616" s="73"/>
      <c r="I616" s="75"/>
      <c r="J616" s="75"/>
      <c r="K616" s="75"/>
      <c r="L616" s="74"/>
      <c r="M616" s="76"/>
      <c r="N616" s="75"/>
      <c r="O616" s="75"/>
      <c r="P616" s="75"/>
    </row>
    <row r="617" spans="1:16" ht="15.75" customHeight="1">
      <c r="A617" s="71"/>
      <c r="B617" s="72"/>
      <c r="C617" s="73"/>
      <c r="D617" s="72"/>
      <c r="E617" s="73"/>
      <c r="F617" s="74"/>
      <c r="G617" s="72"/>
      <c r="H617" s="73"/>
      <c r="I617" s="75"/>
      <c r="J617" s="75"/>
      <c r="K617" s="75"/>
      <c r="L617" s="74"/>
      <c r="M617" s="76"/>
      <c r="N617" s="75"/>
      <c r="O617" s="75"/>
      <c r="P617" s="75"/>
    </row>
    <row r="618" spans="1:16" ht="15.75" customHeight="1">
      <c r="A618" s="71"/>
      <c r="B618" s="72"/>
      <c r="C618" s="73"/>
      <c r="D618" s="72"/>
      <c r="E618" s="73"/>
      <c r="F618" s="74"/>
      <c r="G618" s="72"/>
      <c r="H618" s="73"/>
      <c r="I618" s="75"/>
      <c r="J618" s="75"/>
      <c r="K618" s="75"/>
      <c r="L618" s="74"/>
      <c r="M618" s="76"/>
      <c r="N618" s="75"/>
      <c r="O618" s="75"/>
      <c r="P618" s="75"/>
    </row>
    <row r="619" spans="1:16" ht="15.75" customHeight="1">
      <c r="A619" s="71"/>
      <c r="B619" s="72"/>
      <c r="C619" s="73"/>
      <c r="D619" s="72"/>
      <c r="E619" s="73"/>
      <c r="F619" s="74"/>
      <c r="G619" s="72"/>
      <c r="H619" s="73"/>
      <c r="I619" s="75"/>
      <c r="J619" s="75"/>
      <c r="K619" s="75"/>
      <c r="L619" s="74"/>
      <c r="M619" s="76"/>
      <c r="N619" s="75"/>
      <c r="O619" s="75"/>
      <c r="P619" s="75"/>
    </row>
    <row r="620" spans="1:16" ht="15.75" customHeight="1">
      <c r="A620" s="71"/>
      <c r="B620" s="72"/>
      <c r="C620" s="73"/>
      <c r="D620" s="72"/>
      <c r="E620" s="73"/>
      <c r="F620" s="74"/>
      <c r="G620" s="72"/>
      <c r="H620" s="73"/>
      <c r="I620" s="75"/>
      <c r="J620" s="75"/>
      <c r="K620" s="75"/>
      <c r="L620" s="74"/>
      <c r="M620" s="76"/>
      <c r="N620" s="75"/>
      <c r="O620" s="75"/>
      <c r="P620" s="75"/>
    </row>
    <row r="621" spans="1:16" ht="15.75" customHeight="1">
      <c r="A621" s="71"/>
      <c r="B621" s="72"/>
      <c r="C621" s="73"/>
      <c r="D621" s="72"/>
      <c r="E621" s="73"/>
      <c r="F621" s="74"/>
      <c r="G621" s="72"/>
      <c r="H621" s="73"/>
      <c r="I621" s="75"/>
      <c r="J621" s="75"/>
      <c r="K621" s="75"/>
      <c r="L621" s="74"/>
      <c r="M621" s="76"/>
      <c r="N621" s="75"/>
      <c r="O621" s="75"/>
      <c r="P621" s="75"/>
    </row>
    <row r="622" spans="1:16" ht="15.75" customHeight="1">
      <c r="A622" s="71"/>
      <c r="B622" s="72"/>
      <c r="C622" s="73"/>
      <c r="D622" s="72"/>
      <c r="E622" s="73"/>
      <c r="F622" s="74"/>
      <c r="G622" s="72"/>
      <c r="H622" s="73"/>
      <c r="I622" s="75"/>
      <c r="J622" s="75"/>
      <c r="K622" s="75"/>
      <c r="L622" s="74"/>
      <c r="M622" s="76"/>
      <c r="N622" s="75"/>
      <c r="O622" s="75"/>
      <c r="P622" s="75"/>
    </row>
    <row r="623" spans="1:16" ht="15.75" customHeight="1">
      <c r="A623" s="71"/>
      <c r="B623" s="72"/>
      <c r="C623" s="73"/>
      <c r="D623" s="72"/>
      <c r="E623" s="73"/>
      <c r="F623" s="74"/>
      <c r="G623" s="72"/>
      <c r="H623" s="73"/>
      <c r="I623" s="75"/>
      <c r="J623" s="75"/>
      <c r="K623" s="75"/>
      <c r="L623" s="74"/>
      <c r="M623" s="76"/>
      <c r="N623" s="75"/>
      <c r="O623" s="75"/>
      <c r="P623" s="75"/>
    </row>
    <row r="624" spans="1:16" ht="15.75" customHeight="1">
      <c r="A624" s="71"/>
      <c r="B624" s="72"/>
      <c r="C624" s="73"/>
      <c r="D624" s="72"/>
      <c r="E624" s="73"/>
      <c r="F624" s="74"/>
      <c r="G624" s="72"/>
      <c r="H624" s="73"/>
      <c r="I624" s="75"/>
      <c r="J624" s="75"/>
      <c r="K624" s="75"/>
      <c r="L624" s="74"/>
      <c r="M624" s="76"/>
      <c r="N624" s="75"/>
      <c r="O624" s="75"/>
      <c r="P624" s="75"/>
    </row>
    <row r="625" spans="1:16" ht="15.75" customHeight="1">
      <c r="A625" s="71"/>
      <c r="B625" s="72"/>
      <c r="C625" s="73"/>
      <c r="D625" s="72"/>
      <c r="E625" s="73"/>
      <c r="F625" s="74"/>
      <c r="G625" s="72"/>
      <c r="H625" s="73"/>
      <c r="I625" s="75"/>
      <c r="J625" s="75"/>
      <c r="K625" s="75"/>
      <c r="L625" s="74"/>
      <c r="M625" s="76"/>
      <c r="N625" s="75"/>
      <c r="O625" s="75"/>
      <c r="P625" s="75"/>
    </row>
    <row r="626" spans="1:16" ht="15.75" customHeight="1">
      <c r="A626" s="71"/>
      <c r="B626" s="72"/>
      <c r="C626" s="73"/>
      <c r="D626" s="72"/>
      <c r="E626" s="73"/>
      <c r="F626" s="74"/>
      <c r="G626" s="72"/>
      <c r="H626" s="73"/>
      <c r="I626" s="75"/>
      <c r="J626" s="75"/>
      <c r="K626" s="75"/>
      <c r="L626" s="74"/>
      <c r="M626" s="76"/>
      <c r="N626" s="75"/>
      <c r="O626" s="75"/>
      <c r="P626" s="75"/>
    </row>
    <row r="627" spans="1:16" ht="15.75" customHeight="1">
      <c r="A627" s="71"/>
      <c r="B627" s="72"/>
      <c r="C627" s="73"/>
      <c r="D627" s="72"/>
      <c r="E627" s="73"/>
      <c r="F627" s="74"/>
      <c r="G627" s="72"/>
      <c r="H627" s="73"/>
      <c r="I627" s="75"/>
      <c r="J627" s="75"/>
      <c r="K627" s="75"/>
      <c r="L627" s="74"/>
      <c r="M627" s="76"/>
      <c r="N627" s="75"/>
      <c r="O627" s="75"/>
      <c r="P627" s="75"/>
    </row>
    <row r="628" spans="1:16" ht="15.75" customHeight="1">
      <c r="A628" s="71"/>
      <c r="B628" s="72"/>
      <c r="C628" s="73"/>
      <c r="D628" s="72"/>
      <c r="E628" s="73"/>
      <c r="F628" s="74"/>
      <c r="G628" s="72"/>
      <c r="H628" s="73"/>
      <c r="I628" s="75"/>
      <c r="J628" s="75"/>
      <c r="K628" s="75"/>
      <c r="L628" s="74"/>
      <c r="M628" s="76"/>
      <c r="N628" s="75"/>
      <c r="O628" s="75"/>
      <c r="P628" s="75"/>
    </row>
    <row r="629" spans="1:16" ht="15.75" customHeight="1">
      <c r="A629" s="71"/>
      <c r="B629" s="72"/>
      <c r="C629" s="73"/>
      <c r="D629" s="72"/>
      <c r="E629" s="73"/>
      <c r="F629" s="74"/>
      <c r="G629" s="72"/>
      <c r="H629" s="73"/>
      <c r="I629" s="75"/>
      <c r="J629" s="75"/>
      <c r="K629" s="75"/>
      <c r="L629" s="74"/>
      <c r="M629" s="76"/>
      <c r="N629" s="75"/>
      <c r="O629" s="75"/>
      <c r="P629" s="75"/>
    </row>
    <row r="630" spans="1:16" ht="15.75" customHeight="1">
      <c r="A630" s="71"/>
      <c r="B630" s="72"/>
      <c r="C630" s="73"/>
      <c r="D630" s="72"/>
      <c r="E630" s="73"/>
      <c r="F630" s="74"/>
      <c r="G630" s="72"/>
      <c r="H630" s="73"/>
      <c r="I630" s="75"/>
      <c r="J630" s="75"/>
      <c r="K630" s="75"/>
      <c r="L630" s="74"/>
      <c r="M630" s="76"/>
      <c r="N630" s="75"/>
      <c r="O630" s="75"/>
      <c r="P630" s="75"/>
    </row>
    <row r="631" spans="1:16" ht="15.75" customHeight="1">
      <c r="A631" s="71"/>
      <c r="B631" s="72"/>
      <c r="C631" s="73"/>
      <c r="D631" s="72"/>
      <c r="E631" s="73"/>
      <c r="F631" s="74"/>
      <c r="G631" s="72"/>
      <c r="H631" s="73"/>
      <c r="I631" s="75"/>
      <c r="J631" s="75"/>
      <c r="K631" s="75"/>
      <c r="L631" s="74"/>
      <c r="M631" s="76"/>
      <c r="N631" s="75"/>
      <c r="O631" s="75"/>
      <c r="P631" s="75"/>
    </row>
    <row r="632" spans="1:16" ht="15.75" customHeight="1">
      <c r="A632" s="71"/>
      <c r="B632" s="72"/>
      <c r="C632" s="73"/>
      <c r="D632" s="72"/>
      <c r="E632" s="73"/>
      <c r="F632" s="74"/>
      <c r="G632" s="72"/>
      <c r="H632" s="73"/>
      <c r="I632" s="75"/>
      <c r="J632" s="75"/>
      <c r="K632" s="75"/>
      <c r="L632" s="74"/>
      <c r="M632" s="76"/>
      <c r="N632" s="75"/>
      <c r="O632" s="75"/>
      <c r="P632" s="75"/>
    </row>
    <row r="633" spans="1:16" ht="15.75" customHeight="1">
      <c r="A633" s="71"/>
      <c r="B633" s="72"/>
      <c r="C633" s="73"/>
      <c r="D633" s="72"/>
      <c r="E633" s="73"/>
      <c r="F633" s="74"/>
      <c r="G633" s="72"/>
      <c r="H633" s="73"/>
      <c r="I633" s="75"/>
      <c r="J633" s="75"/>
      <c r="K633" s="75"/>
      <c r="L633" s="74"/>
      <c r="M633" s="76"/>
      <c r="N633" s="75"/>
      <c r="O633" s="75"/>
      <c r="P633" s="75"/>
    </row>
    <row r="634" spans="1:16" ht="15.75" customHeight="1">
      <c r="A634" s="71"/>
      <c r="B634" s="72"/>
      <c r="C634" s="73"/>
      <c r="D634" s="72"/>
      <c r="E634" s="73"/>
      <c r="F634" s="74"/>
      <c r="G634" s="72"/>
      <c r="H634" s="73"/>
      <c r="I634" s="75"/>
      <c r="J634" s="75"/>
      <c r="K634" s="75"/>
      <c r="L634" s="74"/>
      <c r="M634" s="76"/>
      <c r="N634" s="75"/>
      <c r="O634" s="75"/>
      <c r="P634" s="75"/>
    </row>
    <row r="635" spans="1:16" ht="15.75" customHeight="1">
      <c r="A635" s="71"/>
      <c r="B635" s="72"/>
      <c r="C635" s="73"/>
      <c r="D635" s="72"/>
      <c r="E635" s="73"/>
      <c r="F635" s="74"/>
      <c r="G635" s="72"/>
      <c r="H635" s="73"/>
      <c r="I635" s="75"/>
      <c r="J635" s="75"/>
      <c r="K635" s="75"/>
      <c r="L635" s="74"/>
      <c r="M635" s="76"/>
      <c r="N635" s="75"/>
      <c r="O635" s="75"/>
      <c r="P635" s="75"/>
    </row>
    <row r="636" spans="1:16" ht="15.75" customHeight="1">
      <c r="A636" s="71"/>
      <c r="B636" s="72"/>
      <c r="C636" s="73"/>
      <c r="D636" s="72"/>
      <c r="E636" s="73"/>
      <c r="F636" s="74"/>
      <c r="G636" s="72"/>
      <c r="H636" s="73"/>
      <c r="I636" s="75"/>
      <c r="J636" s="75"/>
      <c r="K636" s="75"/>
      <c r="L636" s="74"/>
      <c r="M636" s="76"/>
      <c r="N636" s="75"/>
      <c r="O636" s="75"/>
      <c r="P636" s="75"/>
    </row>
    <row r="637" spans="1:16" ht="15.75" customHeight="1">
      <c r="A637" s="71"/>
      <c r="B637" s="72"/>
      <c r="C637" s="73"/>
      <c r="D637" s="72"/>
      <c r="E637" s="73"/>
      <c r="F637" s="74"/>
      <c r="G637" s="72"/>
      <c r="H637" s="73"/>
      <c r="I637" s="75"/>
      <c r="J637" s="75"/>
      <c r="K637" s="75"/>
      <c r="L637" s="74"/>
      <c r="M637" s="76"/>
      <c r="N637" s="75"/>
      <c r="O637" s="75"/>
      <c r="P637" s="75"/>
    </row>
    <row r="638" spans="1:16" ht="15.75" customHeight="1">
      <c r="A638" s="71"/>
      <c r="B638" s="72"/>
      <c r="C638" s="73"/>
      <c r="D638" s="72"/>
      <c r="E638" s="73"/>
      <c r="F638" s="74"/>
      <c r="G638" s="72"/>
      <c r="H638" s="73"/>
      <c r="I638" s="75"/>
      <c r="J638" s="75"/>
      <c r="K638" s="75"/>
      <c r="L638" s="74"/>
      <c r="M638" s="76"/>
      <c r="N638" s="75"/>
      <c r="O638" s="75"/>
      <c r="P638" s="75"/>
    </row>
    <row r="639" spans="1:16" ht="15.75" customHeight="1">
      <c r="A639" s="71"/>
      <c r="B639" s="72"/>
      <c r="C639" s="73"/>
      <c r="D639" s="72"/>
      <c r="E639" s="73"/>
      <c r="F639" s="74"/>
      <c r="G639" s="72"/>
      <c r="H639" s="73"/>
      <c r="I639" s="75"/>
      <c r="J639" s="75"/>
      <c r="K639" s="75"/>
      <c r="L639" s="74"/>
      <c r="M639" s="76"/>
      <c r="N639" s="75"/>
      <c r="O639" s="75"/>
      <c r="P639" s="75"/>
    </row>
    <row r="640" spans="1:16" ht="15.75" customHeight="1">
      <c r="A640" s="71"/>
      <c r="B640" s="72"/>
      <c r="C640" s="73"/>
      <c r="D640" s="72"/>
      <c r="E640" s="73"/>
      <c r="F640" s="74"/>
      <c r="G640" s="72"/>
      <c r="H640" s="73"/>
      <c r="I640" s="75"/>
      <c r="J640" s="75"/>
      <c r="K640" s="75"/>
      <c r="L640" s="74"/>
      <c r="M640" s="76"/>
      <c r="N640" s="75"/>
      <c r="O640" s="75"/>
      <c r="P640" s="75"/>
    </row>
    <row r="641" spans="1:16" ht="15.75" customHeight="1">
      <c r="A641" s="71"/>
      <c r="B641" s="72"/>
      <c r="C641" s="73"/>
      <c r="D641" s="72"/>
      <c r="E641" s="73"/>
      <c r="F641" s="74"/>
      <c r="G641" s="72"/>
      <c r="H641" s="73"/>
      <c r="I641" s="75"/>
      <c r="J641" s="75"/>
      <c r="K641" s="75"/>
      <c r="L641" s="74"/>
      <c r="M641" s="76"/>
      <c r="N641" s="75"/>
      <c r="O641" s="75"/>
      <c r="P641" s="75"/>
    </row>
    <row r="642" spans="1:16" ht="15.75" customHeight="1">
      <c r="A642" s="71"/>
      <c r="B642" s="72"/>
      <c r="C642" s="73"/>
      <c r="D642" s="72"/>
      <c r="E642" s="73"/>
      <c r="F642" s="74"/>
      <c r="G642" s="72"/>
      <c r="H642" s="73"/>
      <c r="I642" s="75"/>
      <c r="J642" s="75"/>
      <c r="K642" s="75"/>
      <c r="L642" s="74"/>
      <c r="M642" s="76"/>
      <c r="N642" s="75"/>
      <c r="O642" s="75"/>
      <c r="P642" s="75"/>
    </row>
    <row r="643" spans="1:16" ht="15.75" customHeight="1">
      <c r="A643" s="71"/>
      <c r="B643" s="72"/>
      <c r="C643" s="73"/>
      <c r="D643" s="72"/>
      <c r="E643" s="73"/>
      <c r="F643" s="74"/>
      <c r="G643" s="72"/>
      <c r="H643" s="73"/>
      <c r="I643" s="75"/>
      <c r="J643" s="75"/>
      <c r="K643" s="75"/>
      <c r="L643" s="74"/>
      <c r="M643" s="76"/>
      <c r="N643" s="75"/>
      <c r="O643" s="75"/>
      <c r="P643" s="75"/>
    </row>
    <row r="644" spans="1:16" ht="15.75" customHeight="1">
      <c r="A644" s="71"/>
      <c r="B644" s="72"/>
      <c r="C644" s="73"/>
      <c r="D644" s="72"/>
      <c r="E644" s="73"/>
      <c r="F644" s="74"/>
      <c r="G644" s="72"/>
      <c r="H644" s="73"/>
      <c r="I644" s="75"/>
      <c r="J644" s="75"/>
      <c r="K644" s="75"/>
      <c r="L644" s="74"/>
      <c r="M644" s="76"/>
      <c r="N644" s="75"/>
      <c r="O644" s="75"/>
      <c r="P644" s="75"/>
    </row>
    <row r="645" spans="1:16" ht="15.75" customHeight="1">
      <c r="A645" s="71"/>
      <c r="B645" s="72"/>
      <c r="C645" s="73"/>
      <c r="D645" s="72"/>
      <c r="E645" s="73"/>
      <c r="F645" s="74"/>
      <c r="G645" s="72"/>
      <c r="H645" s="73"/>
      <c r="I645" s="75"/>
      <c r="J645" s="75"/>
      <c r="K645" s="75"/>
      <c r="L645" s="74"/>
      <c r="M645" s="76"/>
      <c r="N645" s="75"/>
      <c r="O645" s="75"/>
      <c r="P645" s="75"/>
    </row>
    <row r="646" spans="1:16" ht="15.75" customHeight="1">
      <c r="A646" s="71"/>
      <c r="B646" s="72"/>
      <c r="C646" s="73"/>
      <c r="D646" s="72"/>
      <c r="E646" s="73"/>
      <c r="F646" s="74"/>
      <c r="G646" s="72"/>
      <c r="H646" s="73"/>
      <c r="I646" s="75"/>
      <c r="J646" s="75"/>
      <c r="K646" s="75"/>
      <c r="L646" s="74"/>
      <c r="M646" s="76"/>
      <c r="N646" s="75"/>
      <c r="O646" s="75"/>
      <c r="P646" s="75"/>
    </row>
    <row r="647" spans="1:16" ht="15.75" customHeight="1">
      <c r="A647" s="71"/>
      <c r="B647" s="72"/>
      <c r="C647" s="73"/>
      <c r="D647" s="72"/>
      <c r="E647" s="73"/>
      <c r="F647" s="74"/>
      <c r="G647" s="72"/>
      <c r="H647" s="73"/>
      <c r="I647" s="75"/>
      <c r="J647" s="75"/>
      <c r="K647" s="75"/>
      <c r="L647" s="74"/>
      <c r="M647" s="76"/>
      <c r="N647" s="75"/>
      <c r="O647" s="75"/>
      <c r="P647" s="75"/>
    </row>
    <row r="648" spans="1:16" ht="15.75" customHeight="1">
      <c r="A648" s="71"/>
      <c r="B648" s="72"/>
      <c r="C648" s="73"/>
      <c r="D648" s="72"/>
      <c r="E648" s="73"/>
      <c r="F648" s="74"/>
      <c r="G648" s="72"/>
      <c r="H648" s="73"/>
      <c r="I648" s="75"/>
      <c r="J648" s="75"/>
      <c r="K648" s="75"/>
      <c r="L648" s="74"/>
      <c r="M648" s="76"/>
      <c r="N648" s="75"/>
      <c r="O648" s="75"/>
      <c r="P648" s="75"/>
    </row>
    <row r="649" spans="1:16" ht="15.75" customHeight="1">
      <c r="A649" s="71"/>
      <c r="B649" s="72"/>
      <c r="C649" s="73"/>
      <c r="D649" s="72"/>
      <c r="E649" s="73"/>
      <c r="F649" s="74"/>
      <c r="G649" s="72"/>
      <c r="H649" s="73"/>
      <c r="I649" s="75"/>
      <c r="J649" s="75"/>
      <c r="K649" s="75"/>
      <c r="L649" s="74"/>
      <c r="M649" s="76"/>
      <c r="N649" s="75"/>
      <c r="O649" s="75"/>
      <c r="P649" s="75"/>
    </row>
    <row r="650" spans="1:16" ht="15.75" customHeight="1">
      <c r="A650" s="71"/>
      <c r="B650" s="72"/>
      <c r="C650" s="73"/>
      <c r="D650" s="72"/>
      <c r="E650" s="73"/>
      <c r="F650" s="74"/>
      <c r="G650" s="72"/>
      <c r="H650" s="73"/>
      <c r="I650" s="75"/>
      <c r="J650" s="75"/>
      <c r="K650" s="75"/>
      <c r="L650" s="74"/>
      <c r="M650" s="76"/>
      <c r="N650" s="75"/>
      <c r="O650" s="75"/>
      <c r="P650" s="75"/>
    </row>
    <row r="651" spans="1:16" ht="15.75" customHeight="1">
      <c r="A651" s="71"/>
      <c r="B651" s="72"/>
      <c r="C651" s="73"/>
      <c r="D651" s="72"/>
      <c r="E651" s="73"/>
      <c r="F651" s="74"/>
      <c r="G651" s="72"/>
      <c r="H651" s="73"/>
      <c r="I651" s="75"/>
      <c r="J651" s="75"/>
      <c r="K651" s="75"/>
      <c r="L651" s="74"/>
      <c r="M651" s="76"/>
      <c r="N651" s="75"/>
      <c r="O651" s="75"/>
      <c r="P651" s="75"/>
    </row>
    <row r="652" spans="1:16" ht="15.75" customHeight="1">
      <c r="A652" s="71"/>
      <c r="B652" s="72"/>
      <c r="C652" s="73"/>
      <c r="D652" s="72"/>
      <c r="E652" s="73"/>
      <c r="F652" s="74"/>
      <c r="G652" s="72"/>
      <c r="H652" s="73"/>
      <c r="I652" s="75"/>
      <c r="J652" s="75"/>
      <c r="K652" s="75"/>
      <c r="L652" s="74"/>
      <c r="M652" s="76"/>
      <c r="N652" s="75"/>
      <c r="O652" s="75"/>
      <c r="P652" s="75"/>
    </row>
    <row r="653" spans="1:16" ht="15.75" customHeight="1">
      <c r="A653" s="71"/>
      <c r="B653" s="72"/>
      <c r="C653" s="73"/>
      <c r="D653" s="72"/>
      <c r="E653" s="73"/>
      <c r="F653" s="74"/>
      <c r="G653" s="72"/>
      <c r="H653" s="73"/>
      <c r="I653" s="75"/>
      <c r="J653" s="75"/>
      <c r="K653" s="75"/>
      <c r="L653" s="74"/>
      <c r="M653" s="76"/>
      <c r="N653" s="75"/>
      <c r="O653" s="75"/>
      <c r="P653" s="75"/>
    </row>
    <row r="654" spans="1:16" ht="15.75" customHeight="1">
      <c r="A654" s="71"/>
      <c r="B654" s="72"/>
      <c r="C654" s="73"/>
      <c r="D654" s="72"/>
      <c r="E654" s="73"/>
      <c r="F654" s="74"/>
      <c r="G654" s="72"/>
      <c r="H654" s="73"/>
      <c r="I654" s="75"/>
      <c r="J654" s="75"/>
      <c r="K654" s="75"/>
      <c r="L654" s="74"/>
      <c r="M654" s="76"/>
      <c r="N654" s="75"/>
      <c r="O654" s="75"/>
      <c r="P654" s="75"/>
    </row>
    <row r="655" spans="1:16" ht="15.75" customHeight="1">
      <c r="A655" s="71"/>
      <c r="B655" s="72"/>
      <c r="C655" s="73"/>
      <c r="D655" s="72"/>
      <c r="E655" s="73"/>
      <c r="F655" s="74"/>
      <c r="G655" s="72"/>
      <c r="H655" s="73"/>
      <c r="I655" s="75"/>
      <c r="J655" s="75"/>
      <c r="K655" s="75"/>
      <c r="L655" s="74"/>
      <c r="M655" s="76"/>
      <c r="N655" s="75"/>
      <c r="O655" s="75"/>
      <c r="P655" s="75"/>
    </row>
    <row r="656" spans="1:16" ht="15.75" customHeight="1">
      <c r="A656" s="71"/>
      <c r="B656" s="72"/>
      <c r="C656" s="73"/>
      <c r="D656" s="72"/>
      <c r="E656" s="73"/>
      <c r="F656" s="74"/>
      <c r="G656" s="72"/>
      <c r="H656" s="73"/>
      <c r="I656" s="75"/>
      <c r="J656" s="75"/>
      <c r="K656" s="75"/>
      <c r="L656" s="74"/>
      <c r="M656" s="76"/>
      <c r="N656" s="75"/>
      <c r="O656" s="75"/>
      <c r="P656" s="75"/>
    </row>
    <row r="657" spans="1:16" ht="15.75" customHeight="1">
      <c r="A657" s="71"/>
      <c r="B657" s="72"/>
      <c r="C657" s="73"/>
      <c r="D657" s="72"/>
      <c r="E657" s="73"/>
      <c r="F657" s="74"/>
      <c r="G657" s="72"/>
      <c r="H657" s="73"/>
      <c r="I657" s="75"/>
      <c r="J657" s="75"/>
      <c r="K657" s="75"/>
      <c r="L657" s="74"/>
      <c r="M657" s="76"/>
      <c r="N657" s="75"/>
      <c r="O657" s="75"/>
      <c r="P657" s="75"/>
    </row>
    <row r="658" spans="1:16" ht="15.75" customHeight="1">
      <c r="A658" s="71"/>
      <c r="B658" s="72"/>
      <c r="C658" s="73"/>
      <c r="D658" s="72"/>
      <c r="E658" s="73"/>
      <c r="F658" s="74"/>
      <c r="G658" s="72"/>
      <c r="H658" s="73"/>
      <c r="I658" s="75"/>
      <c r="J658" s="75"/>
      <c r="K658" s="75"/>
      <c r="L658" s="74"/>
      <c r="M658" s="76"/>
      <c r="N658" s="75"/>
      <c r="O658" s="75"/>
      <c r="P658" s="75"/>
    </row>
    <row r="659" spans="1:16" ht="15.75" customHeight="1">
      <c r="A659" s="71"/>
      <c r="B659" s="72"/>
      <c r="C659" s="73"/>
      <c r="D659" s="72"/>
      <c r="E659" s="73"/>
      <c r="F659" s="74"/>
      <c r="G659" s="72"/>
      <c r="H659" s="73"/>
      <c r="I659" s="75"/>
      <c r="J659" s="75"/>
      <c r="K659" s="75"/>
      <c r="L659" s="74"/>
      <c r="M659" s="76"/>
      <c r="N659" s="75"/>
      <c r="O659" s="75"/>
      <c r="P659" s="75"/>
    </row>
    <row r="660" spans="1:16" ht="15.75" customHeight="1">
      <c r="A660" s="71"/>
      <c r="B660" s="72"/>
      <c r="C660" s="73"/>
      <c r="D660" s="72"/>
      <c r="E660" s="73"/>
      <c r="F660" s="74"/>
      <c r="G660" s="72"/>
      <c r="H660" s="73"/>
      <c r="I660" s="75"/>
      <c r="J660" s="75"/>
      <c r="K660" s="75"/>
      <c r="L660" s="74"/>
      <c r="M660" s="76"/>
      <c r="N660" s="75"/>
      <c r="O660" s="75"/>
      <c r="P660" s="75"/>
    </row>
    <row r="661" spans="1:16" ht="15.75" customHeight="1">
      <c r="A661" s="71"/>
      <c r="B661" s="72"/>
      <c r="C661" s="73"/>
      <c r="D661" s="72"/>
      <c r="E661" s="73"/>
      <c r="F661" s="74"/>
      <c r="G661" s="72"/>
      <c r="H661" s="73"/>
      <c r="I661" s="75"/>
      <c r="J661" s="75"/>
      <c r="K661" s="75"/>
      <c r="L661" s="74"/>
      <c r="M661" s="76"/>
      <c r="N661" s="75"/>
      <c r="O661" s="75"/>
      <c r="P661" s="75"/>
    </row>
    <row r="662" spans="1:16" ht="15.75" customHeight="1">
      <c r="A662" s="71"/>
      <c r="B662" s="72"/>
      <c r="C662" s="73"/>
      <c r="D662" s="72"/>
      <c r="E662" s="73"/>
      <c r="F662" s="74"/>
      <c r="G662" s="72"/>
      <c r="H662" s="73"/>
      <c r="I662" s="75"/>
      <c r="J662" s="75"/>
      <c r="K662" s="75"/>
      <c r="L662" s="74"/>
      <c r="M662" s="76"/>
      <c r="N662" s="75"/>
      <c r="O662" s="75"/>
      <c r="P662" s="75"/>
    </row>
    <row r="663" spans="1:16" ht="15.75" customHeight="1">
      <c r="A663" s="71"/>
      <c r="B663" s="72"/>
      <c r="C663" s="73"/>
      <c r="D663" s="72"/>
      <c r="E663" s="73"/>
      <c r="F663" s="74"/>
      <c r="G663" s="72"/>
      <c r="H663" s="73"/>
      <c r="I663" s="75"/>
      <c r="J663" s="75"/>
      <c r="K663" s="75"/>
      <c r="L663" s="74"/>
      <c r="M663" s="76"/>
      <c r="N663" s="75"/>
      <c r="O663" s="75"/>
      <c r="P663" s="75"/>
    </row>
    <row r="664" spans="1:16" ht="15.75" customHeight="1">
      <c r="A664" s="71"/>
      <c r="B664" s="72"/>
      <c r="C664" s="73"/>
      <c r="D664" s="72"/>
      <c r="E664" s="73"/>
      <c r="F664" s="74"/>
      <c r="G664" s="72"/>
      <c r="H664" s="73"/>
      <c r="I664" s="75"/>
      <c r="J664" s="75"/>
      <c r="K664" s="75"/>
      <c r="L664" s="74"/>
      <c r="M664" s="76"/>
      <c r="N664" s="75"/>
      <c r="O664" s="75"/>
      <c r="P664" s="75"/>
    </row>
    <row r="665" spans="1:16" ht="15.75" customHeight="1">
      <c r="A665" s="71"/>
      <c r="B665" s="72"/>
      <c r="C665" s="73"/>
      <c r="D665" s="72"/>
      <c r="E665" s="73"/>
      <c r="F665" s="74"/>
      <c r="G665" s="72"/>
      <c r="H665" s="73"/>
      <c r="I665" s="75"/>
      <c r="J665" s="75"/>
      <c r="K665" s="75"/>
      <c r="L665" s="74"/>
      <c r="M665" s="76"/>
      <c r="N665" s="75"/>
      <c r="O665" s="75"/>
      <c r="P665" s="75"/>
    </row>
    <row r="666" spans="1:16" ht="15.75" customHeight="1">
      <c r="A666" s="71"/>
      <c r="B666" s="72"/>
      <c r="C666" s="73"/>
      <c r="D666" s="72"/>
      <c r="E666" s="73"/>
      <c r="F666" s="74"/>
      <c r="G666" s="72"/>
      <c r="H666" s="73"/>
      <c r="I666" s="75"/>
      <c r="J666" s="75"/>
      <c r="K666" s="75"/>
      <c r="L666" s="74"/>
      <c r="M666" s="76"/>
      <c r="N666" s="75"/>
      <c r="O666" s="75"/>
      <c r="P666" s="75"/>
    </row>
    <row r="667" spans="1:16" ht="15.75" customHeight="1">
      <c r="A667" s="71"/>
      <c r="B667" s="72"/>
      <c r="C667" s="73"/>
      <c r="D667" s="72"/>
      <c r="E667" s="73"/>
      <c r="F667" s="74"/>
      <c r="G667" s="72"/>
      <c r="H667" s="73"/>
      <c r="I667" s="75"/>
      <c r="J667" s="75"/>
      <c r="K667" s="75"/>
      <c r="L667" s="74"/>
      <c r="M667" s="76"/>
      <c r="N667" s="75"/>
      <c r="O667" s="75"/>
      <c r="P667" s="75"/>
    </row>
    <row r="668" spans="1:16" ht="15.75" customHeight="1">
      <c r="A668" s="71"/>
      <c r="B668" s="72"/>
      <c r="C668" s="73"/>
      <c r="D668" s="72"/>
      <c r="E668" s="73"/>
      <c r="F668" s="74"/>
      <c r="G668" s="72"/>
      <c r="H668" s="73"/>
      <c r="I668" s="75"/>
      <c r="J668" s="75"/>
      <c r="K668" s="75"/>
      <c r="L668" s="74"/>
      <c r="M668" s="76"/>
      <c r="N668" s="75"/>
      <c r="O668" s="75"/>
      <c r="P668" s="75"/>
    </row>
    <row r="669" spans="1:16" ht="15.75" customHeight="1">
      <c r="A669" s="71"/>
      <c r="B669" s="72"/>
      <c r="C669" s="73"/>
      <c r="D669" s="72"/>
      <c r="E669" s="73"/>
      <c r="F669" s="74"/>
      <c r="G669" s="72"/>
      <c r="H669" s="73"/>
      <c r="I669" s="75"/>
      <c r="J669" s="75"/>
      <c r="K669" s="75"/>
      <c r="L669" s="74"/>
      <c r="M669" s="76"/>
      <c r="N669" s="75"/>
      <c r="O669" s="75"/>
      <c r="P669" s="75"/>
    </row>
    <row r="670" spans="1:16" ht="15.75" customHeight="1">
      <c r="A670" s="71"/>
      <c r="B670" s="72"/>
      <c r="C670" s="73"/>
      <c r="D670" s="72"/>
      <c r="E670" s="73"/>
      <c r="F670" s="74"/>
      <c r="G670" s="72"/>
      <c r="H670" s="73"/>
      <c r="I670" s="75"/>
      <c r="J670" s="75"/>
      <c r="K670" s="75"/>
      <c r="L670" s="74"/>
      <c r="M670" s="76"/>
      <c r="N670" s="75"/>
      <c r="O670" s="75"/>
      <c r="P670" s="75"/>
    </row>
    <row r="671" spans="1:16" ht="15.75" customHeight="1">
      <c r="A671" s="71"/>
      <c r="B671" s="72"/>
      <c r="C671" s="73"/>
      <c r="D671" s="72"/>
      <c r="E671" s="73"/>
      <c r="F671" s="74"/>
      <c r="G671" s="72"/>
      <c r="H671" s="73"/>
      <c r="I671" s="75"/>
      <c r="J671" s="75"/>
      <c r="K671" s="75"/>
      <c r="L671" s="74"/>
      <c r="M671" s="76"/>
      <c r="N671" s="75"/>
      <c r="O671" s="75"/>
      <c r="P671" s="75"/>
    </row>
    <row r="672" spans="1:16" ht="15.75" customHeight="1">
      <c r="A672" s="71"/>
      <c r="B672" s="72"/>
      <c r="C672" s="73"/>
      <c r="D672" s="72"/>
      <c r="E672" s="73"/>
      <c r="F672" s="74"/>
      <c r="G672" s="72"/>
      <c r="H672" s="73"/>
      <c r="I672" s="75"/>
      <c r="J672" s="75"/>
      <c r="K672" s="75"/>
      <c r="L672" s="74"/>
      <c r="M672" s="76"/>
      <c r="N672" s="75"/>
      <c r="O672" s="75"/>
      <c r="P672" s="75"/>
    </row>
    <row r="673" spans="1:16" ht="15.75" customHeight="1">
      <c r="A673" s="71"/>
      <c r="B673" s="72"/>
      <c r="C673" s="73"/>
      <c r="D673" s="72"/>
      <c r="E673" s="73"/>
      <c r="F673" s="74"/>
      <c r="G673" s="72"/>
      <c r="H673" s="73"/>
      <c r="I673" s="75"/>
      <c r="J673" s="75"/>
      <c r="K673" s="75"/>
      <c r="L673" s="74"/>
      <c r="M673" s="76"/>
      <c r="N673" s="75"/>
      <c r="O673" s="75"/>
      <c r="P673" s="75"/>
    </row>
    <row r="674" spans="1:16" ht="15.75" customHeight="1">
      <c r="A674" s="71"/>
      <c r="B674" s="72"/>
      <c r="C674" s="73"/>
      <c r="D674" s="72"/>
      <c r="E674" s="73"/>
      <c r="F674" s="74"/>
      <c r="G674" s="72"/>
      <c r="H674" s="73"/>
      <c r="I674" s="75"/>
      <c r="J674" s="75"/>
      <c r="K674" s="75"/>
      <c r="L674" s="74"/>
      <c r="M674" s="76"/>
      <c r="N674" s="75"/>
      <c r="O674" s="75"/>
      <c r="P674" s="75"/>
    </row>
    <row r="675" spans="1:16" ht="15.75" customHeight="1">
      <c r="A675" s="71"/>
      <c r="B675" s="72"/>
      <c r="C675" s="73"/>
      <c r="D675" s="72"/>
      <c r="E675" s="73"/>
      <c r="F675" s="74"/>
      <c r="G675" s="72"/>
      <c r="H675" s="73"/>
      <c r="I675" s="75"/>
      <c r="J675" s="75"/>
      <c r="K675" s="75"/>
      <c r="L675" s="74"/>
      <c r="M675" s="76"/>
      <c r="N675" s="75"/>
      <c r="O675" s="75"/>
      <c r="P675" s="75"/>
    </row>
    <row r="676" spans="1:16" ht="15.75" customHeight="1">
      <c r="A676" s="71"/>
      <c r="B676" s="72"/>
      <c r="C676" s="73"/>
      <c r="D676" s="72"/>
      <c r="E676" s="73"/>
      <c r="F676" s="74"/>
      <c r="G676" s="72"/>
      <c r="H676" s="73"/>
      <c r="I676" s="75"/>
      <c r="J676" s="75"/>
      <c r="K676" s="75"/>
      <c r="L676" s="74"/>
      <c r="M676" s="76"/>
      <c r="N676" s="75"/>
      <c r="O676" s="75"/>
      <c r="P676" s="75"/>
    </row>
    <row r="677" spans="1:16" ht="15.75" customHeight="1">
      <c r="A677" s="71"/>
      <c r="B677" s="72"/>
      <c r="C677" s="73"/>
      <c r="D677" s="72"/>
      <c r="E677" s="73"/>
      <c r="F677" s="74"/>
      <c r="G677" s="72"/>
      <c r="H677" s="73"/>
      <c r="I677" s="75"/>
      <c r="J677" s="75"/>
      <c r="K677" s="75"/>
      <c r="L677" s="74"/>
      <c r="M677" s="76"/>
      <c r="N677" s="75"/>
      <c r="O677" s="75"/>
      <c r="P677" s="75"/>
    </row>
    <row r="678" spans="1:16" ht="15.75" customHeight="1">
      <c r="A678" s="71"/>
      <c r="B678" s="72"/>
      <c r="C678" s="73"/>
      <c r="D678" s="72"/>
      <c r="E678" s="73"/>
      <c r="F678" s="74"/>
      <c r="G678" s="72"/>
      <c r="H678" s="73"/>
      <c r="I678" s="75"/>
      <c r="J678" s="75"/>
      <c r="K678" s="75"/>
      <c r="L678" s="74"/>
      <c r="M678" s="76"/>
      <c r="N678" s="75"/>
      <c r="O678" s="75"/>
      <c r="P678" s="75"/>
    </row>
    <row r="679" spans="1:16" ht="15.75" customHeight="1">
      <c r="A679" s="71"/>
      <c r="B679" s="72"/>
      <c r="C679" s="73"/>
      <c r="D679" s="72"/>
      <c r="E679" s="73"/>
      <c r="F679" s="74"/>
      <c r="G679" s="72"/>
      <c r="H679" s="73"/>
      <c r="I679" s="75"/>
      <c r="J679" s="75"/>
      <c r="K679" s="75"/>
      <c r="L679" s="74"/>
      <c r="M679" s="76"/>
      <c r="N679" s="75"/>
      <c r="O679" s="75"/>
      <c r="P679" s="75"/>
    </row>
    <row r="680" spans="1:16" ht="15.75" customHeight="1">
      <c r="A680" s="71"/>
      <c r="B680" s="72"/>
      <c r="C680" s="73"/>
      <c r="D680" s="72"/>
      <c r="E680" s="73"/>
      <c r="F680" s="74"/>
      <c r="G680" s="72"/>
      <c r="H680" s="73"/>
      <c r="I680" s="75"/>
      <c r="J680" s="75"/>
      <c r="K680" s="75"/>
      <c r="L680" s="74"/>
      <c r="M680" s="76"/>
      <c r="N680" s="75"/>
      <c r="O680" s="75"/>
      <c r="P680" s="75"/>
    </row>
    <row r="681" spans="1:16" ht="15.75" customHeight="1">
      <c r="A681" s="71"/>
      <c r="B681" s="72"/>
      <c r="C681" s="73"/>
      <c r="D681" s="72"/>
      <c r="E681" s="73"/>
      <c r="F681" s="74"/>
      <c r="G681" s="72"/>
      <c r="H681" s="73"/>
      <c r="I681" s="75"/>
      <c r="J681" s="75"/>
      <c r="K681" s="75"/>
      <c r="L681" s="74"/>
      <c r="M681" s="76"/>
      <c r="N681" s="75"/>
      <c r="O681" s="75"/>
      <c r="P681" s="75"/>
    </row>
    <row r="682" spans="1:16" ht="15.75" customHeight="1">
      <c r="A682" s="71"/>
      <c r="B682" s="72"/>
      <c r="C682" s="73"/>
      <c r="D682" s="72"/>
      <c r="E682" s="73"/>
      <c r="F682" s="74"/>
      <c r="G682" s="72"/>
      <c r="H682" s="73"/>
      <c r="I682" s="75"/>
      <c r="J682" s="75"/>
      <c r="K682" s="75"/>
      <c r="L682" s="74"/>
      <c r="M682" s="76"/>
      <c r="N682" s="75"/>
      <c r="O682" s="75"/>
      <c r="P682" s="75"/>
    </row>
    <row r="683" spans="1:16" ht="15.75" customHeight="1">
      <c r="A683" s="71"/>
      <c r="B683" s="72"/>
      <c r="C683" s="73"/>
      <c r="D683" s="72"/>
      <c r="E683" s="73"/>
      <c r="F683" s="74"/>
      <c r="G683" s="72"/>
      <c r="H683" s="73"/>
      <c r="I683" s="75"/>
      <c r="J683" s="75"/>
      <c r="K683" s="75"/>
      <c r="L683" s="74"/>
      <c r="M683" s="76"/>
      <c r="N683" s="75"/>
      <c r="O683" s="75"/>
      <c r="P683" s="75"/>
    </row>
    <row r="684" spans="1:16" ht="15.75" customHeight="1">
      <c r="A684" s="71"/>
      <c r="B684" s="72"/>
      <c r="C684" s="73"/>
      <c r="D684" s="72"/>
      <c r="E684" s="73"/>
      <c r="F684" s="74"/>
      <c r="G684" s="72"/>
      <c r="H684" s="73"/>
      <c r="I684" s="75"/>
      <c r="J684" s="75"/>
      <c r="K684" s="75"/>
      <c r="L684" s="74"/>
      <c r="M684" s="76"/>
      <c r="N684" s="75"/>
      <c r="O684" s="75"/>
      <c r="P684" s="75"/>
    </row>
    <row r="685" spans="1:16" ht="15.75" customHeight="1">
      <c r="A685" s="71"/>
      <c r="B685" s="72"/>
      <c r="C685" s="73"/>
      <c r="D685" s="72"/>
      <c r="E685" s="73"/>
      <c r="F685" s="74"/>
      <c r="G685" s="72"/>
      <c r="H685" s="73"/>
      <c r="I685" s="75"/>
      <c r="J685" s="75"/>
      <c r="K685" s="75"/>
      <c r="L685" s="74"/>
      <c r="M685" s="76"/>
      <c r="N685" s="75"/>
      <c r="O685" s="75"/>
      <c r="P685" s="75"/>
    </row>
    <row r="686" spans="1:16" ht="15.75" customHeight="1">
      <c r="A686" s="71"/>
      <c r="B686" s="72"/>
      <c r="C686" s="73"/>
      <c r="D686" s="72"/>
      <c r="E686" s="73"/>
      <c r="F686" s="74"/>
      <c r="G686" s="72"/>
      <c r="H686" s="73"/>
      <c r="I686" s="75"/>
      <c r="J686" s="75"/>
      <c r="K686" s="75"/>
      <c r="L686" s="74"/>
      <c r="M686" s="76"/>
      <c r="N686" s="75"/>
      <c r="O686" s="75"/>
      <c r="P686" s="75"/>
    </row>
    <row r="687" spans="1:16" ht="15.75" customHeight="1">
      <c r="A687" s="71"/>
      <c r="B687" s="72"/>
      <c r="C687" s="73"/>
      <c r="D687" s="72"/>
      <c r="E687" s="73"/>
      <c r="F687" s="74"/>
      <c r="G687" s="72"/>
      <c r="H687" s="73"/>
      <c r="I687" s="75"/>
      <c r="J687" s="75"/>
      <c r="K687" s="75"/>
      <c r="L687" s="74"/>
      <c r="M687" s="76"/>
      <c r="N687" s="75"/>
      <c r="O687" s="75"/>
      <c r="P687" s="75"/>
    </row>
    <row r="688" spans="1:16" ht="15.75" customHeight="1">
      <c r="A688" s="71"/>
      <c r="B688" s="72"/>
      <c r="C688" s="73"/>
      <c r="D688" s="72"/>
      <c r="E688" s="73"/>
      <c r="F688" s="74"/>
      <c r="G688" s="72"/>
      <c r="H688" s="73"/>
      <c r="I688" s="75"/>
      <c r="J688" s="75"/>
      <c r="K688" s="75"/>
      <c r="L688" s="74"/>
      <c r="M688" s="76"/>
      <c r="N688" s="75"/>
      <c r="O688" s="75"/>
      <c r="P688" s="75"/>
    </row>
    <row r="689" spans="1:16" ht="15.75" customHeight="1">
      <c r="A689" s="71"/>
      <c r="B689" s="72"/>
      <c r="C689" s="73"/>
      <c r="D689" s="72"/>
      <c r="E689" s="73"/>
      <c r="F689" s="74"/>
      <c r="G689" s="72"/>
      <c r="H689" s="73"/>
      <c r="I689" s="75"/>
      <c r="J689" s="75"/>
      <c r="K689" s="75"/>
      <c r="L689" s="74"/>
      <c r="M689" s="76"/>
      <c r="N689" s="75"/>
      <c r="O689" s="75"/>
      <c r="P689" s="75"/>
    </row>
    <row r="690" spans="1:16" ht="15.75" customHeight="1">
      <c r="A690" s="71"/>
      <c r="B690" s="72"/>
      <c r="C690" s="73"/>
      <c r="D690" s="72"/>
      <c r="E690" s="73"/>
      <c r="F690" s="74"/>
      <c r="G690" s="72"/>
      <c r="H690" s="73"/>
      <c r="I690" s="75"/>
      <c r="J690" s="75"/>
      <c r="K690" s="75"/>
      <c r="L690" s="74"/>
      <c r="M690" s="76"/>
      <c r="N690" s="75"/>
      <c r="O690" s="75"/>
      <c r="P690" s="75"/>
    </row>
    <row r="691" spans="1:16" ht="15.75" customHeight="1">
      <c r="A691" s="71"/>
      <c r="B691" s="72"/>
      <c r="C691" s="73"/>
      <c r="D691" s="72"/>
      <c r="E691" s="73"/>
      <c r="F691" s="74"/>
      <c r="G691" s="72"/>
      <c r="H691" s="73"/>
      <c r="I691" s="75"/>
      <c r="J691" s="75"/>
      <c r="K691" s="75"/>
      <c r="L691" s="74"/>
      <c r="M691" s="76"/>
      <c r="N691" s="75"/>
      <c r="O691" s="75"/>
      <c r="P691" s="75"/>
    </row>
    <row r="692" spans="1:16" ht="15.75" customHeight="1">
      <c r="A692" s="71"/>
      <c r="B692" s="72"/>
      <c r="C692" s="73"/>
      <c r="D692" s="72"/>
      <c r="E692" s="73"/>
      <c r="F692" s="74"/>
      <c r="G692" s="72"/>
      <c r="H692" s="73"/>
      <c r="I692" s="75"/>
      <c r="J692" s="75"/>
      <c r="K692" s="75"/>
      <c r="L692" s="74"/>
      <c r="M692" s="76"/>
      <c r="N692" s="75"/>
      <c r="O692" s="75"/>
      <c r="P692" s="75"/>
    </row>
    <row r="693" spans="1:16" ht="15.75" customHeight="1">
      <c r="A693" s="71"/>
      <c r="B693" s="72"/>
      <c r="C693" s="73"/>
      <c r="D693" s="72"/>
      <c r="E693" s="73"/>
      <c r="F693" s="74"/>
      <c r="G693" s="72"/>
      <c r="H693" s="73"/>
      <c r="I693" s="75"/>
      <c r="J693" s="75"/>
      <c r="K693" s="75"/>
      <c r="L693" s="74"/>
      <c r="M693" s="76"/>
      <c r="N693" s="75"/>
      <c r="O693" s="75"/>
      <c r="P693" s="75"/>
    </row>
    <row r="694" spans="1:16" ht="15.75" customHeight="1">
      <c r="A694" s="71"/>
      <c r="B694" s="72"/>
      <c r="C694" s="73"/>
      <c r="D694" s="72"/>
      <c r="E694" s="73"/>
      <c r="F694" s="74"/>
      <c r="G694" s="72"/>
      <c r="H694" s="73"/>
      <c r="I694" s="75"/>
      <c r="J694" s="75"/>
      <c r="K694" s="75"/>
      <c r="L694" s="74"/>
      <c r="M694" s="76"/>
      <c r="N694" s="75"/>
      <c r="O694" s="75"/>
      <c r="P694" s="75"/>
    </row>
    <row r="695" spans="1:16" ht="15.75" customHeight="1">
      <c r="A695" s="71"/>
      <c r="B695" s="72"/>
      <c r="C695" s="73"/>
      <c r="D695" s="72"/>
      <c r="E695" s="73"/>
      <c r="F695" s="74"/>
      <c r="G695" s="72"/>
      <c r="H695" s="73"/>
      <c r="I695" s="75"/>
      <c r="J695" s="75"/>
      <c r="K695" s="75"/>
      <c r="L695" s="74"/>
      <c r="M695" s="76"/>
      <c r="N695" s="75"/>
      <c r="O695" s="75"/>
      <c r="P695" s="75"/>
    </row>
    <row r="696" spans="1:16" ht="15.75" customHeight="1">
      <c r="A696" s="71"/>
      <c r="B696" s="72"/>
      <c r="C696" s="73"/>
      <c r="D696" s="72"/>
      <c r="E696" s="73"/>
      <c r="F696" s="74"/>
      <c r="G696" s="72"/>
      <c r="H696" s="73"/>
      <c r="I696" s="75"/>
      <c r="J696" s="75"/>
      <c r="K696" s="75"/>
      <c r="L696" s="74"/>
      <c r="M696" s="76"/>
      <c r="N696" s="75"/>
      <c r="O696" s="75"/>
      <c r="P696" s="75"/>
    </row>
    <row r="697" spans="1:16" ht="15.75" customHeight="1">
      <c r="A697" s="71"/>
      <c r="B697" s="72"/>
      <c r="C697" s="73"/>
      <c r="D697" s="72"/>
      <c r="E697" s="73"/>
      <c r="F697" s="74"/>
      <c r="G697" s="72"/>
      <c r="H697" s="73"/>
      <c r="I697" s="75"/>
      <c r="J697" s="75"/>
      <c r="K697" s="75"/>
      <c r="L697" s="74"/>
      <c r="M697" s="76"/>
      <c r="N697" s="75"/>
      <c r="O697" s="75"/>
      <c r="P697" s="75"/>
    </row>
    <row r="698" spans="1:16" ht="15.75" customHeight="1">
      <c r="A698" s="71"/>
      <c r="B698" s="72"/>
      <c r="C698" s="73"/>
      <c r="D698" s="72"/>
      <c r="E698" s="73"/>
      <c r="F698" s="74"/>
      <c r="G698" s="72"/>
      <c r="H698" s="73"/>
      <c r="I698" s="75"/>
      <c r="J698" s="75"/>
      <c r="K698" s="75"/>
      <c r="L698" s="74"/>
      <c r="M698" s="76"/>
      <c r="N698" s="75"/>
      <c r="O698" s="75"/>
      <c r="P698" s="75"/>
    </row>
    <row r="699" spans="1:16" ht="15.75" customHeight="1">
      <c r="A699" s="71"/>
      <c r="B699" s="72"/>
      <c r="C699" s="73"/>
      <c r="D699" s="72"/>
      <c r="E699" s="73"/>
      <c r="F699" s="74"/>
      <c r="G699" s="72"/>
      <c r="H699" s="73"/>
      <c r="I699" s="75"/>
      <c r="J699" s="75"/>
      <c r="K699" s="75"/>
      <c r="L699" s="74"/>
      <c r="M699" s="76"/>
      <c r="N699" s="75"/>
      <c r="O699" s="75"/>
      <c r="P699" s="75"/>
    </row>
    <row r="700" spans="1:16" ht="15.75" customHeight="1">
      <c r="A700" s="71"/>
      <c r="B700" s="72"/>
      <c r="C700" s="73"/>
      <c r="D700" s="72"/>
      <c r="E700" s="73"/>
      <c r="F700" s="74"/>
      <c r="G700" s="72"/>
      <c r="H700" s="73"/>
      <c r="I700" s="75"/>
      <c r="J700" s="75"/>
      <c r="K700" s="75"/>
      <c r="L700" s="74"/>
      <c r="M700" s="76"/>
      <c r="N700" s="75"/>
      <c r="O700" s="75"/>
      <c r="P700" s="75"/>
    </row>
    <row r="701" spans="1:16" ht="15.75" customHeight="1">
      <c r="A701" s="71"/>
      <c r="B701" s="72"/>
      <c r="C701" s="73"/>
      <c r="D701" s="72"/>
      <c r="E701" s="73"/>
      <c r="F701" s="74"/>
      <c r="G701" s="72"/>
      <c r="H701" s="73"/>
      <c r="I701" s="75"/>
      <c r="J701" s="75"/>
      <c r="K701" s="75"/>
      <c r="L701" s="74"/>
      <c r="M701" s="76"/>
      <c r="N701" s="75"/>
      <c r="O701" s="75"/>
      <c r="P701" s="75"/>
    </row>
    <row r="702" spans="1:16" ht="15.75" customHeight="1">
      <c r="A702" s="71"/>
      <c r="B702" s="72"/>
      <c r="C702" s="73"/>
      <c r="D702" s="72"/>
      <c r="E702" s="73"/>
      <c r="F702" s="74"/>
      <c r="G702" s="72"/>
      <c r="H702" s="73"/>
      <c r="I702" s="75"/>
      <c r="J702" s="75"/>
      <c r="K702" s="75"/>
      <c r="L702" s="74"/>
      <c r="M702" s="76"/>
      <c r="N702" s="75"/>
      <c r="O702" s="75"/>
      <c r="P702" s="75"/>
    </row>
    <row r="703" spans="1:16" ht="15.75" customHeight="1">
      <c r="A703" s="71"/>
      <c r="B703" s="72"/>
      <c r="C703" s="73"/>
      <c r="D703" s="72"/>
      <c r="E703" s="73"/>
      <c r="F703" s="74"/>
      <c r="G703" s="72"/>
      <c r="H703" s="73"/>
      <c r="I703" s="75"/>
      <c r="J703" s="75"/>
      <c r="K703" s="75"/>
      <c r="L703" s="74"/>
      <c r="M703" s="76"/>
      <c r="N703" s="75"/>
      <c r="O703" s="75"/>
      <c r="P703" s="75"/>
    </row>
    <row r="704" spans="1:16" ht="15.75" customHeight="1">
      <c r="A704" s="71"/>
      <c r="B704" s="72"/>
      <c r="C704" s="73"/>
      <c r="D704" s="72"/>
      <c r="E704" s="73"/>
      <c r="F704" s="74"/>
      <c r="G704" s="72"/>
      <c r="H704" s="73"/>
      <c r="I704" s="75"/>
      <c r="J704" s="75"/>
      <c r="K704" s="75"/>
      <c r="L704" s="74"/>
      <c r="M704" s="76"/>
      <c r="N704" s="75"/>
      <c r="O704" s="75"/>
      <c r="P704" s="75"/>
    </row>
    <row r="705" spans="1:16" ht="15.75" customHeight="1">
      <c r="A705" s="71"/>
      <c r="B705" s="72"/>
      <c r="C705" s="73"/>
      <c r="D705" s="72"/>
      <c r="E705" s="73"/>
      <c r="F705" s="74"/>
      <c r="G705" s="72"/>
      <c r="H705" s="73"/>
      <c r="I705" s="75"/>
      <c r="J705" s="75"/>
      <c r="K705" s="75"/>
      <c r="L705" s="74"/>
      <c r="M705" s="76"/>
      <c r="N705" s="75"/>
      <c r="O705" s="75"/>
      <c r="P705" s="75"/>
    </row>
    <row r="706" spans="1:16" ht="15.75" customHeight="1">
      <c r="A706" s="71"/>
      <c r="B706" s="72"/>
      <c r="C706" s="73"/>
      <c r="D706" s="72"/>
      <c r="E706" s="73"/>
      <c r="F706" s="74"/>
      <c r="G706" s="72"/>
      <c r="H706" s="73"/>
      <c r="I706" s="75"/>
      <c r="J706" s="75"/>
      <c r="K706" s="75"/>
      <c r="L706" s="74"/>
      <c r="M706" s="76"/>
      <c r="N706" s="75"/>
      <c r="O706" s="75"/>
      <c r="P706" s="75"/>
    </row>
    <row r="707" spans="1:16" ht="15.75" customHeight="1">
      <c r="A707" s="71"/>
      <c r="B707" s="72"/>
      <c r="C707" s="73"/>
      <c r="D707" s="72"/>
      <c r="E707" s="73"/>
      <c r="F707" s="74"/>
      <c r="G707" s="72"/>
      <c r="H707" s="73"/>
      <c r="I707" s="75"/>
      <c r="J707" s="75"/>
      <c r="K707" s="75"/>
      <c r="L707" s="74"/>
      <c r="M707" s="76"/>
      <c r="N707" s="75"/>
      <c r="O707" s="75"/>
      <c r="P707" s="75"/>
    </row>
    <row r="708" spans="1:16" ht="15.75" customHeight="1">
      <c r="A708" s="71"/>
      <c r="B708" s="72"/>
      <c r="C708" s="73"/>
      <c r="D708" s="72"/>
      <c r="E708" s="73"/>
      <c r="F708" s="74"/>
      <c r="G708" s="72"/>
      <c r="H708" s="73"/>
      <c r="I708" s="75"/>
      <c r="J708" s="75"/>
      <c r="K708" s="75"/>
      <c r="L708" s="74"/>
      <c r="M708" s="76"/>
      <c r="N708" s="75"/>
      <c r="O708" s="75"/>
      <c r="P708" s="75"/>
    </row>
    <row r="709" spans="1:16" ht="15.75" customHeight="1">
      <c r="A709" s="71"/>
      <c r="B709" s="72"/>
      <c r="C709" s="73"/>
      <c r="D709" s="72"/>
      <c r="E709" s="73"/>
      <c r="F709" s="74"/>
      <c r="G709" s="72"/>
      <c r="H709" s="73"/>
      <c r="I709" s="75"/>
      <c r="J709" s="75"/>
      <c r="K709" s="75"/>
      <c r="L709" s="74"/>
      <c r="M709" s="76"/>
      <c r="N709" s="75"/>
      <c r="O709" s="75"/>
      <c r="P709" s="75"/>
    </row>
    <row r="710" spans="1:16" ht="15.75" customHeight="1">
      <c r="A710" s="71"/>
      <c r="B710" s="72"/>
      <c r="C710" s="73"/>
      <c r="D710" s="72"/>
      <c r="E710" s="73"/>
      <c r="F710" s="74"/>
      <c r="G710" s="72"/>
      <c r="H710" s="73"/>
      <c r="I710" s="75"/>
      <c r="J710" s="75"/>
      <c r="K710" s="75"/>
      <c r="L710" s="74"/>
      <c r="M710" s="76"/>
      <c r="N710" s="75"/>
      <c r="O710" s="75"/>
      <c r="P710" s="75"/>
    </row>
    <row r="711" spans="1:16" ht="15.75" customHeight="1">
      <c r="A711" s="71"/>
      <c r="B711" s="72"/>
      <c r="C711" s="73"/>
      <c r="D711" s="72"/>
      <c r="E711" s="73"/>
      <c r="F711" s="74"/>
      <c r="G711" s="72"/>
      <c r="H711" s="73"/>
      <c r="I711" s="75"/>
      <c r="J711" s="75"/>
      <c r="K711" s="75"/>
      <c r="L711" s="74"/>
      <c r="M711" s="76"/>
      <c r="N711" s="75"/>
      <c r="O711" s="75"/>
      <c r="P711" s="75"/>
    </row>
    <row r="712" spans="1:16" ht="15.75" customHeight="1">
      <c r="A712" s="71"/>
      <c r="B712" s="72"/>
      <c r="C712" s="73"/>
      <c r="D712" s="72"/>
      <c r="E712" s="73"/>
      <c r="F712" s="74"/>
      <c r="G712" s="72"/>
      <c r="H712" s="73"/>
      <c r="I712" s="75"/>
      <c r="J712" s="75"/>
      <c r="K712" s="75"/>
      <c r="L712" s="74"/>
      <c r="M712" s="76"/>
      <c r="N712" s="75"/>
      <c r="O712" s="75"/>
      <c r="P712" s="75"/>
    </row>
    <row r="713" spans="1:16" ht="15.75" customHeight="1">
      <c r="A713" s="71"/>
      <c r="B713" s="72"/>
      <c r="C713" s="73"/>
      <c r="D713" s="72"/>
      <c r="E713" s="73"/>
      <c r="F713" s="74"/>
      <c r="G713" s="72"/>
      <c r="H713" s="73"/>
      <c r="I713" s="75"/>
      <c r="J713" s="75"/>
      <c r="K713" s="75"/>
      <c r="L713" s="74"/>
      <c r="M713" s="76"/>
      <c r="N713" s="75"/>
      <c r="O713" s="75"/>
      <c r="P713" s="75"/>
    </row>
    <row r="714" spans="1:16" ht="15.75" customHeight="1">
      <c r="A714" s="71"/>
      <c r="B714" s="72"/>
      <c r="C714" s="73"/>
      <c r="D714" s="72"/>
      <c r="E714" s="73"/>
      <c r="F714" s="74"/>
      <c r="G714" s="72"/>
      <c r="H714" s="73"/>
      <c r="I714" s="75"/>
      <c r="J714" s="75"/>
      <c r="K714" s="75"/>
      <c r="L714" s="74"/>
      <c r="M714" s="76"/>
      <c r="N714" s="75"/>
      <c r="O714" s="75"/>
      <c r="P714" s="75"/>
    </row>
    <row r="715" spans="1:16" ht="15.75" customHeight="1">
      <c r="A715" s="71"/>
      <c r="B715" s="72"/>
      <c r="C715" s="73"/>
      <c r="D715" s="72"/>
      <c r="E715" s="73"/>
      <c r="F715" s="74"/>
      <c r="G715" s="72"/>
      <c r="H715" s="73"/>
      <c r="I715" s="75"/>
      <c r="J715" s="75"/>
      <c r="K715" s="75"/>
      <c r="L715" s="74"/>
      <c r="M715" s="76"/>
      <c r="N715" s="75"/>
      <c r="O715" s="75"/>
      <c r="P715" s="75"/>
    </row>
    <row r="716" spans="1:16" ht="15.75" customHeight="1">
      <c r="A716" s="71"/>
      <c r="B716" s="72"/>
      <c r="C716" s="73"/>
      <c r="D716" s="72"/>
      <c r="E716" s="73"/>
      <c r="F716" s="74"/>
      <c r="G716" s="72"/>
      <c r="H716" s="73"/>
      <c r="I716" s="75"/>
      <c r="J716" s="75"/>
      <c r="K716" s="75"/>
      <c r="L716" s="74"/>
      <c r="M716" s="76"/>
      <c r="N716" s="75"/>
      <c r="O716" s="75"/>
      <c r="P716" s="75"/>
    </row>
    <row r="717" spans="1:16" ht="15.75" customHeight="1">
      <c r="A717" s="71"/>
      <c r="B717" s="72"/>
      <c r="C717" s="73"/>
      <c r="D717" s="72"/>
      <c r="E717" s="73"/>
      <c r="F717" s="74"/>
      <c r="G717" s="72"/>
      <c r="H717" s="73"/>
      <c r="I717" s="75"/>
      <c r="J717" s="75"/>
      <c r="K717" s="75"/>
      <c r="L717" s="74"/>
      <c r="M717" s="76"/>
      <c r="N717" s="75"/>
      <c r="O717" s="75"/>
      <c r="P717" s="75"/>
    </row>
    <row r="718" spans="1:16" ht="15.75" customHeight="1">
      <c r="A718" s="71"/>
      <c r="B718" s="72"/>
      <c r="C718" s="73"/>
      <c r="D718" s="72"/>
      <c r="E718" s="73"/>
      <c r="F718" s="74"/>
      <c r="G718" s="72"/>
      <c r="H718" s="73"/>
      <c r="I718" s="75"/>
      <c r="J718" s="75"/>
      <c r="K718" s="75"/>
      <c r="L718" s="74"/>
      <c r="M718" s="76"/>
      <c r="N718" s="75"/>
      <c r="O718" s="75"/>
      <c r="P718" s="75"/>
    </row>
    <row r="719" spans="1:16" ht="15.75" customHeight="1">
      <c r="A719" s="71"/>
      <c r="B719" s="72"/>
      <c r="C719" s="73"/>
      <c r="D719" s="72"/>
      <c r="E719" s="73"/>
      <c r="F719" s="74"/>
      <c r="G719" s="72"/>
      <c r="H719" s="73"/>
      <c r="I719" s="75"/>
      <c r="J719" s="75"/>
      <c r="K719" s="75"/>
      <c r="L719" s="74"/>
      <c r="M719" s="76"/>
      <c r="N719" s="75"/>
      <c r="O719" s="75"/>
      <c r="P719" s="75"/>
    </row>
    <row r="720" spans="1:16" ht="15.75" customHeight="1">
      <c r="A720" s="71"/>
      <c r="B720" s="72"/>
      <c r="C720" s="73"/>
      <c r="D720" s="72"/>
      <c r="E720" s="73"/>
      <c r="F720" s="74"/>
      <c r="G720" s="72"/>
      <c r="H720" s="73"/>
      <c r="I720" s="75"/>
      <c r="J720" s="75"/>
      <c r="K720" s="75"/>
      <c r="L720" s="74"/>
      <c r="M720" s="76"/>
      <c r="N720" s="75"/>
      <c r="O720" s="75"/>
      <c r="P720" s="75"/>
    </row>
    <row r="721" spans="1:16" ht="15.75" customHeight="1">
      <c r="A721" s="71"/>
      <c r="B721" s="72"/>
      <c r="C721" s="73"/>
      <c r="D721" s="72"/>
      <c r="E721" s="73"/>
      <c r="F721" s="74"/>
      <c r="G721" s="72"/>
      <c r="H721" s="73"/>
      <c r="I721" s="75"/>
      <c r="J721" s="75"/>
      <c r="K721" s="75"/>
      <c r="L721" s="74"/>
      <c r="M721" s="76"/>
      <c r="N721" s="75"/>
      <c r="O721" s="75"/>
      <c r="P721" s="75"/>
    </row>
    <row r="722" spans="1:16" ht="15.75" customHeight="1">
      <c r="A722" s="71"/>
      <c r="B722" s="72"/>
      <c r="C722" s="73"/>
      <c r="D722" s="72"/>
      <c r="E722" s="73"/>
      <c r="F722" s="74"/>
      <c r="G722" s="72"/>
      <c r="H722" s="73"/>
      <c r="I722" s="75"/>
      <c r="J722" s="75"/>
      <c r="K722" s="75"/>
      <c r="L722" s="74"/>
      <c r="M722" s="76"/>
      <c r="N722" s="75"/>
      <c r="O722" s="75"/>
      <c r="P722" s="75"/>
    </row>
    <row r="723" spans="1:16" ht="15.75" customHeight="1">
      <c r="A723" s="71"/>
      <c r="B723" s="72"/>
      <c r="C723" s="73"/>
      <c r="D723" s="72"/>
      <c r="E723" s="73"/>
      <c r="F723" s="74"/>
      <c r="G723" s="72"/>
      <c r="H723" s="73"/>
      <c r="I723" s="75"/>
      <c r="J723" s="75"/>
      <c r="K723" s="75"/>
      <c r="L723" s="74"/>
      <c r="M723" s="76"/>
      <c r="N723" s="75"/>
      <c r="O723" s="75"/>
      <c r="P723" s="75"/>
    </row>
    <row r="724" spans="1:16" ht="15.75" customHeight="1">
      <c r="A724" s="71"/>
      <c r="B724" s="72"/>
      <c r="C724" s="73"/>
      <c r="D724" s="72"/>
      <c r="E724" s="73"/>
      <c r="F724" s="74"/>
      <c r="G724" s="72"/>
      <c r="H724" s="73"/>
      <c r="I724" s="75"/>
      <c r="J724" s="75"/>
      <c r="K724" s="75"/>
      <c r="L724" s="74"/>
      <c r="M724" s="76"/>
      <c r="N724" s="75"/>
      <c r="O724" s="75"/>
      <c r="P724" s="75"/>
    </row>
    <row r="725" spans="1:16" ht="15.75" customHeight="1">
      <c r="A725" s="71"/>
      <c r="B725" s="72"/>
      <c r="C725" s="73"/>
      <c r="D725" s="72"/>
      <c r="E725" s="73"/>
      <c r="F725" s="74"/>
      <c r="G725" s="72"/>
      <c r="H725" s="73"/>
      <c r="I725" s="75"/>
      <c r="J725" s="75"/>
      <c r="K725" s="75"/>
      <c r="L725" s="74"/>
      <c r="M725" s="76"/>
      <c r="N725" s="75"/>
      <c r="O725" s="75"/>
      <c r="P725" s="75"/>
    </row>
    <row r="726" spans="1:16" ht="15.75" customHeight="1">
      <c r="A726" s="71"/>
      <c r="B726" s="72"/>
      <c r="C726" s="73"/>
      <c r="D726" s="72"/>
      <c r="E726" s="73"/>
      <c r="F726" s="74"/>
      <c r="G726" s="72"/>
      <c r="H726" s="73"/>
      <c r="I726" s="75"/>
      <c r="J726" s="75"/>
      <c r="K726" s="75"/>
      <c r="L726" s="74"/>
      <c r="M726" s="76"/>
      <c r="N726" s="75"/>
      <c r="O726" s="75"/>
      <c r="P726" s="75"/>
    </row>
    <row r="727" spans="1:16" ht="15.75" customHeight="1">
      <c r="A727" s="71"/>
      <c r="B727" s="72"/>
      <c r="C727" s="73"/>
      <c r="D727" s="72"/>
      <c r="E727" s="73"/>
      <c r="F727" s="74"/>
      <c r="G727" s="72"/>
      <c r="H727" s="73"/>
      <c r="I727" s="75"/>
      <c r="J727" s="75"/>
      <c r="K727" s="75"/>
      <c r="L727" s="74"/>
      <c r="M727" s="76"/>
      <c r="N727" s="75"/>
      <c r="O727" s="75"/>
      <c r="P727" s="75"/>
    </row>
    <row r="728" spans="1:16" ht="15.75" customHeight="1">
      <c r="A728" s="71"/>
      <c r="B728" s="72"/>
      <c r="C728" s="73"/>
      <c r="D728" s="72"/>
      <c r="E728" s="73"/>
      <c r="F728" s="74"/>
      <c r="G728" s="72"/>
      <c r="H728" s="73"/>
      <c r="I728" s="75"/>
      <c r="J728" s="75"/>
      <c r="K728" s="75"/>
      <c r="L728" s="74"/>
      <c r="M728" s="76"/>
      <c r="N728" s="75"/>
      <c r="O728" s="75"/>
      <c r="P728" s="75"/>
    </row>
    <row r="729" spans="1:16" ht="15.75" customHeight="1">
      <c r="A729" s="71"/>
      <c r="B729" s="72"/>
      <c r="C729" s="73"/>
      <c r="D729" s="72"/>
      <c r="E729" s="73"/>
      <c r="F729" s="74"/>
      <c r="G729" s="72"/>
      <c r="H729" s="73"/>
      <c r="I729" s="75"/>
      <c r="J729" s="75"/>
      <c r="K729" s="75"/>
      <c r="L729" s="74"/>
      <c r="M729" s="76"/>
      <c r="N729" s="75"/>
      <c r="O729" s="75"/>
      <c r="P729" s="75"/>
    </row>
    <row r="730" spans="1:16" ht="15.75" customHeight="1">
      <c r="A730" s="71"/>
      <c r="B730" s="72"/>
      <c r="C730" s="73"/>
      <c r="D730" s="72"/>
      <c r="E730" s="73"/>
      <c r="F730" s="74"/>
      <c r="G730" s="72"/>
      <c r="H730" s="73"/>
      <c r="I730" s="75"/>
      <c r="J730" s="75"/>
      <c r="K730" s="75"/>
      <c r="L730" s="74"/>
      <c r="M730" s="76"/>
      <c r="N730" s="75"/>
      <c r="O730" s="75"/>
      <c r="P730" s="75"/>
    </row>
    <row r="731" spans="1:16" ht="15.75" customHeight="1">
      <c r="A731" s="71"/>
      <c r="B731" s="72"/>
      <c r="C731" s="73"/>
      <c r="D731" s="72"/>
      <c r="E731" s="73"/>
      <c r="F731" s="74"/>
      <c r="G731" s="72"/>
      <c r="H731" s="73"/>
      <c r="I731" s="75"/>
      <c r="J731" s="75"/>
      <c r="K731" s="75"/>
      <c r="L731" s="74"/>
      <c r="M731" s="76"/>
      <c r="N731" s="75"/>
      <c r="O731" s="75"/>
      <c r="P731" s="75"/>
    </row>
    <row r="732" spans="1:16" ht="15.75" customHeight="1">
      <c r="A732" s="71"/>
      <c r="B732" s="72"/>
      <c r="C732" s="73"/>
      <c r="D732" s="72"/>
      <c r="E732" s="73"/>
      <c r="F732" s="74"/>
      <c r="G732" s="72"/>
      <c r="H732" s="73"/>
      <c r="I732" s="75"/>
      <c r="J732" s="75"/>
      <c r="K732" s="75"/>
      <c r="L732" s="74"/>
      <c r="M732" s="76"/>
      <c r="N732" s="75"/>
      <c r="O732" s="75"/>
      <c r="P732" s="75"/>
    </row>
    <row r="733" spans="1:16" ht="15.75" customHeight="1">
      <c r="A733" s="71"/>
      <c r="B733" s="72"/>
      <c r="C733" s="73"/>
      <c r="D733" s="72"/>
      <c r="E733" s="73"/>
      <c r="F733" s="74"/>
      <c r="G733" s="72"/>
      <c r="H733" s="73"/>
      <c r="I733" s="75"/>
      <c r="J733" s="75"/>
      <c r="K733" s="75"/>
      <c r="L733" s="74"/>
      <c r="M733" s="76"/>
      <c r="N733" s="75"/>
      <c r="O733" s="75"/>
      <c r="P733" s="75"/>
    </row>
    <row r="734" spans="1:16" ht="15.75" customHeight="1">
      <c r="A734" s="71"/>
      <c r="B734" s="72"/>
      <c r="C734" s="73"/>
      <c r="D734" s="72"/>
      <c r="E734" s="73"/>
      <c r="F734" s="74"/>
      <c r="G734" s="72"/>
      <c r="H734" s="73"/>
      <c r="I734" s="75"/>
      <c r="J734" s="75"/>
      <c r="K734" s="75"/>
      <c r="L734" s="74"/>
      <c r="M734" s="76"/>
      <c r="N734" s="75"/>
      <c r="O734" s="75"/>
      <c r="P734" s="75"/>
    </row>
    <row r="735" spans="1:16" ht="15.75" customHeight="1">
      <c r="A735" s="71"/>
      <c r="B735" s="72"/>
      <c r="C735" s="73"/>
      <c r="D735" s="72"/>
      <c r="E735" s="73"/>
      <c r="F735" s="74"/>
      <c r="G735" s="72"/>
      <c r="H735" s="73"/>
      <c r="I735" s="75"/>
      <c r="J735" s="75"/>
      <c r="K735" s="75"/>
      <c r="L735" s="74"/>
      <c r="M735" s="76"/>
      <c r="N735" s="75"/>
      <c r="O735" s="75"/>
      <c r="P735" s="75"/>
    </row>
    <row r="736" spans="1:16" ht="15.75" customHeight="1">
      <c r="A736" s="71"/>
      <c r="B736" s="72"/>
      <c r="C736" s="73"/>
      <c r="D736" s="72"/>
      <c r="E736" s="73"/>
      <c r="F736" s="74"/>
      <c r="G736" s="72"/>
      <c r="H736" s="73"/>
      <c r="I736" s="75"/>
      <c r="J736" s="75"/>
      <c r="K736" s="75"/>
      <c r="L736" s="74"/>
      <c r="M736" s="76"/>
      <c r="N736" s="75"/>
      <c r="O736" s="75"/>
      <c r="P736" s="75"/>
    </row>
    <row r="737" spans="1:16" ht="15.75" customHeight="1">
      <c r="A737" s="71"/>
      <c r="B737" s="72"/>
      <c r="C737" s="73"/>
      <c r="D737" s="72"/>
      <c r="E737" s="73"/>
      <c r="F737" s="74"/>
      <c r="G737" s="72"/>
      <c r="H737" s="73"/>
      <c r="I737" s="75"/>
      <c r="J737" s="75"/>
      <c r="K737" s="75"/>
      <c r="L737" s="74"/>
      <c r="M737" s="76"/>
      <c r="N737" s="75"/>
      <c r="O737" s="75"/>
      <c r="P737" s="75"/>
    </row>
    <row r="738" spans="1:16" ht="15.75" customHeight="1">
      <c r="A738" s="71"/>
      <c r="B738" s="72"/>
      <c r="C738" s="73"/>
      <c r="D738" s="72"/>
      <c r="E738" s="73"/>
      <c r="F738" s="74"/>
      <c r="G738" s="72"/>
      <c r="H738" s="73"/>
      <c r="I738" s="75"/>
      <c r="J738" s="75"/>
      <c r="K738" s="75"/>
      <c r="L738" s="74"/>
      <c r="M738" s="76"/>
      <c r="N738" s="75"/>
      <c r="O738" s="75"/>
      <c r="P738" s="75"/>
    </row>
    <row r="739" spans="1:16" ht="15.75" customHeight="1">
      <c r="A739" s="71"/>
      <c r="B739" s="72"/>
      <c r="C739" s="73"/>
      <c r="D739" s="72"/>
      <c r="E739" s="73"/>
      <c r="F739" s="74"/>
      <c r="G739" s="72"/>
      <c r="H739" s="73"/>
      <c r="I739" s="75"/>
      <c r="J739" s="75"/>
      <c r="K739" s="75"/>
      <c r="L739" s="74"/>
      <c r="M739" s="76"/>
      <c r="N739" s="75"/>
      <c r="O739" s="75"/>
      <c r="P739" s="75"/>
    </row>
    <row r="740" spans="1:16" ht="15.75" customHeight="1">
      <c r="A740" s="71"/>
      <c r="B740" s="72"/>
      <c r="C740" s="73"/>
      <c r="D740" s="72"/>
      <c r="E740" s="73"/>
      <c r="F740" s="74"/>
      <c r="G740" s="72"/>
      <c r="H740" s="73"/>
      <c r="I740" s="75"/>
      <c r="J740" s="75"/>
      <c r="K740" s="75"/>
      <c r="L740" s="74"/>
      <c r="M740" s="76"/>
      <c r="N740" s="75"/>
      <c r="O740" s="75"/>
      <c r="P740" s="75"/>
    </row>
    <row r="741" spans="1:16" ht="15.75" customHeight="1">
      <c r="A741" s="71"/>
      <c r="B741" s="72"/>
      <c r="C741" s="73"/>
      <c r="D741" s="72"/>
      <c r="E741" s="73"/>
      <c r="F741" s="74"/>
      <c r="G741" s="72"/>
      <c r="H741" s="73"/>
      <c r="I741" s="75"/>
      <c r="J741" s="75"/>
      <c r="K741" s="75"/>
      <c r="L741" s="74"/>
      <c r="M741" s="76"/>
      <c r="N741" s="75"/>
      <c r="O741" s="75"/>
      <c r="P741" s="75"/>
    </row>
    <row r="742" spans="1:16" ht="15.75" customHeight="1">
      <c r="A742" s="71"/>
      <c r="B742" s="72"/>
      <c r="C742" s="73"/>
      <c r="D742" s="72"/>
      <c r="E742" s="73"/>
      <c r="F742" s="74"/>
      <c r="G742" s="72"/>
      <c r="H742" s="73"/>
      <c r="I742" s="75"/>
      <c r="J742" s="75"/>
      <c r="K742" s="75"/>
      <c r="L742" s="74"/>
      <c r="M742" s="76"/>
      <c r="N742" s="75"/>
      <c r="O742" s="75"/>
      <c r="P742" s="75"/>
    </row>
    <row r="743" spans="1:16" ht="15.75" customHeight="1">
      <c r="A743" s="71"/>
      <c r="B743" s="72"/>
      <c r="C743" s="73"/>
      <c r="D743" s="72"/>
      <c r="E743" s="73"/>
      <c r="F743" s="74"/>
      <c r="G743" s="72"/>
      <c r="H743" s="73"/>
      <c r="I743" s="75"/>
      <c r="J743" s="75"/>
      <c r="K743" s="75"/>
      <c r="L743" s="74"/>
      <c r="M743" s="76"/>
      <c r="N743" s="75"/>
      <c r="O743" s="75"/>
      <c r="P743" s="75"/>
    </row>
    <row r="744" spans="1:16" ht="15.75" customHeight="1">
      <c r="A744" s="71"/>
      <c r="B744" s="72"/>
      <c r="C744" s="73"/>
      <c r="D744" s="72"/>
      <c r="E744" s="73"/>
      <c r="F744" s="74"/>
      <c r="G744" s="72"/>
      <c r="H744" s="73"/>
      <c r="I744" s="75"/>
      <c r="J744" s="75"/>
      <c r="K744" s="75"/>
      <c r="L744" s="74"/>
      <c r="M744" s="76"/>
      <c r="N744" s="75"/>
      <c r="O744" s="75"/>
      <c r="P744" s="75"/>
    </row>
    <row r="745" spans="1:16" ht="15.75" customHeight="1">
      <c r="A745" s="71"/>
      <c r="B745" s="72"/>
      <c r="C745" s="73"/>
      <c r="D745" s="72"/>
      <c r="E745" s="73"/>
      <c r="F745" s="74"/>
      <c r="G745" s="72"/>
      <c r="H745" s="73"/>
      <c r="I745" s="75"/>
      <c r="J745" s="75"/>
      <c r="K745" s="75"/>
      <c r="L745" s="74"/>
      <c r="M745" s="76"/>
      <c r="N745" s="75"/>
      <c r="O745" s="75"/>
      <c r="P745" s="75"/>
    </row>
    <row r="746" spans="1:16" ht="15.75" customHeight="1">
      <c r="A746" s="71"/>
      <c r="B746" s="72"/>
      <c r="C746" s="73"/>
      <c r="D746" s="72"/>
      <c r="E746" s="73"/>
      <c r="F746" s="74"/>
      <c r="G746" s="72"/>
      <c r="H746" s="73"/>
      <c r="I746" s="75"/>
      <c r="J746" s="75"/>
      <c r="K746" s="75"/>
      <c r="L746" s="74"/>
      <c r="M746" s="76"/>
      <c r="N746" s="75"/>
      <c r="O746" s="75"/>
      <c r="P746" s="75"/>
    </row>
    <row r="747" spans="1:16" ht="15.75" customHeight="1">
      <c r="A747" s="71"/>
      <c r="B747" s="72"/>
      <c r="C747" s="73"/>
      <c r="D747" s="72"/>
      <c r="E747" s="73"/>
      <c r="F747" s="74"/>
      <c r="G747" s="72"/>
      <c r="H747" s="73"/>
      <c r="I747" s="75"/>
      <c r="J747" s="75"/>
      <c r="K747" s="75"/>
      <c r="L747" s="74"/>
      <c r="M747" s="76"/>
      <c r="N747" s="75"/>
      <c r="O747" s="75"/>
      <c r="P747" s="75"/>
    </row>
    <row r="748" spans="1:16" ht="15.75" customHeight="1">
      <c r="A748" s="71"/>
      <c r="B748" s="72"/>
      <c r="C748" s="73"/>
      <c r="D748" s="72"/>
      <c r="E748" s="73"/>
      <c r="F748" s="74"/>
      <c r="G748" s="72"/>
      <c r="H748" s="73"/>
      <c r="I748" s="75"/>
      <c r="J748" s="75"/>
      <c r="K748" s="75"/>
      <c r="L748" s="74"/>
      <c r="M748" s="76"/>
      <c r="N748" s="75"/>
      <c r="O748" s="75"/>
      <c r="P748" s="75"/>
    </row>
    <row r="749" spans="1:16" ht="15.75" customHeight="1">
      <c r="A749" s="71"/>
      <c r="B749" s="72"/>
      <c r="C749" s="73"/>
      <c r="D749" s="72"/>
      <c r="E749" s="73"/>
      <c r="F749" s="74"/>
      <c r="G749" s="72"/>
      <c r="H749" s="73"/>
      <c r="I749" s="75"/>
      <c r="J749" s="75"/>
      <c r="K749" s="75"/>
      <c r="L749" s="74"/>
      <c r="M749" s="76"/>
      <c r="N749" s="75"/>
      <c r="O749" s="75"/>
      <c r="P749" s="75"/>
    </row>
    <row r="750" spans="1:16" ht="15.75" customHeight="1">
      <c r="A750" s="71"/>
      <c r="B750" s="72"/>
      <c r="C750" s="73"/>
      <c r="D750" s="72"/>
      <c r="E750" s="73"/>
      <c r="F750" s="74"/>
      <c r="G750" s="72"/>
      <c r="H750" s="73"/>
      <c r="I750" s="75"/>
      <c r="J750" s="75"/>
      <c r="K750" s="75"/>
      <c r="L750" s="74"/>
      <c r="M750" s="76"/>
      <c r="N750" s="75"/>
      <c r="O750" s="75"/>
      <c r="P750" s="75"/>
    </row>
    <row r="751" spans="1:16" ht="15.75" customHeight="1">
      <c r="A751" s="71"/>
      <c r="B751" s="72"/>
      <c r="C751" s="73"/>
      <c r="D751" s="72"/>
      <c r="E751" s="73"/>
      <c r="F751" s="74"/>
      <c r="G751" s="72"/>
      <c r="H751" s="73"/>
      <c r="I751" s="75"/>
      <c r="J751" s="75"/>
      <c r="K751" s="75"/>
      <c r="L751" s="74"/>
      <c r="M751" s="76"/>
      <c r="N751" s="75"/>
      <c r="O751" s="75"/>
      <c r="P751" s="75"/>
    </row>
    <row r="752" spans="1:16" ht="15.75" customHeight="1">
      <c r="A752" s="71"/>
      <c r="B752" s="72"/>
      <c r="C752" s="73"/>
      <c r="D752" s="72"/>
      <c r="E752" s="73"/>
      <c r="F752" s="74"/>
      <c r="G752" s="72"/>
      <c r="H752" s="73"/>
      <c r="I752" s="75"/>
      <c r="J752" s="75"/>
      <c r="K752" s="75"/>
      <c r="L752" s="74"/>
      <c r="M752" s="76"/>
      <c r="N752" s="75"/>
      <c r="O752" s="75"/>
      <c r="P752" s="75"/>
    </row>
    <row r="753" spans="1:16" ht="15.75" customHeight="1">
      <c r="A753" s="71"/>
      <c r="B753" s="72"/>
      <c r="C753" s="73"/>
      <c r="D753" s="72"/>
      <c r="E753" s="73"/>
      <c r="F753" s="74"/>
      <c r="G753" s="72"/>
      <c r="H753" s="73"/>
      <c r="I753" s="75"/>
      <c r="J753" s="75"/>
      <c r="K753" s="75"/>
      <c r="L753" s="74"/>
      <c r="M753" s="76"/>
      <c r="N753" s="75"/>
      <c r="O753" s="75"/>
      <c r="P753" s="75"/>
    </row>
    <row r="754" spans="1:16" ht="15.75" customHeight="1">
      <c r="A754" s="71"/>
      <c r="B754" s="72"/>
      <c r="C754" s="73"/>
      <c r="D754" s="72"/>
      <c r="E754" s="73"/>
      <c r="F754" s="74"/>
      <c r="G754" s="72"/>
      <c r="H754" s="73"/>
      <c r="I754" s="75"/>
      <c r="J754" s="75"/>
      <c r="K754" s="75"/>
      <c r="L754" s="74"/>
      <c r="M754" s="76"/>
      <c r="N754" s="75"/>
      <c r="O754" s="75"/>
      <c r="P754" s="75"/>
    </row>
    <row r="755" spans="1:16" ht="15.75" customHeight="1">
      <c r="A755" s="71"/>
      <c r="B755" s="72"/>
      <c r="C755" s="73"/>
      <c r="D755" s="72"/>
      <c r="E755" s="73"/>
      <c r="F755" s="74"/>
      <c r="G755" s="72"/>
      <c r="H755" s="73"/>
      <c r="I755" s="75"/>
      <c r="J755" s="75"/>
      <c r="K755" s="75"/>
      <c r="L755" s="74"/>
      <c r="M755" s="76"/>
      <c r="N755" s="75"/>
      <c r="O755" s="75"/>
      <c r="P755" s="75"/>
    </row>
    <row r="756" spans="1:16" ht="15.75" customHeight="1">
      <c r="A756" s="71"/>
      <c r="B756" s="72"/>
      <c r="C756" s="73"/>
      <c r="D756" s="72"/>
      <c r="E756" s="73"/>
      <c r="F756" s="74"/>
      <c r="G756" s="72"/>
      <c r="H756" s="73"/>
      <c r="I756" s="75"/>
      <c r="J756" s="75"/>
      <c r="K756" s="75"/>
      <c r="L756" s="74"/>
      <c r="M756" s="76"/>
      <c r="N756" s="75"/>
      <c r="O756" s="75"/>
      <c r="P756" s="75"/>
    </row>
    <row r="757" spans="1:16" ht="15.75" customHeight="1">
      <c r="A757" s="71"/>
      <c r="B757" s="72"/>
      <c r="C757" s="73"/>
      <c r="D757" s="72"/>
      <c r="E757" s="73"/>
      <c r="F757" s="74"/>
      <c r="G757" s="72"/>
      <c r="H757" s="73"/>
      <c r="I757" s="75"/>
      <c r="J757" s="75"/>
      <c r="K757" s="75"/>
      <c r="L757" s="74"/>
      <c r="M757" s="76"/>
      <c r="N757" s="75"/>
      <c r="O757" s="75"/>
      <c r="P757" s="75"/>
    </row>
    <row r="758" spans="1:16" ht="15.75" customHeight="1">
      <c r="A758" s="71"/>
      <c r="B758" s="72"/>
      <c r="C758" s="73"/>
      <c r="D758" s="72"/>
      <c r="E758" s="73"/>
      <c r="F758" s="74"/>
      <c r="G758" s="72"/>
      <c r="H758" s="73"/>
      <c r="I758" s="75"/>
      <c r="J758" s="75"/>
      <c r="K758" s="75"/>
      <c r="L758" s="74"/>
      <c r="M758" s="76"/>
      <c r="N758" s="75"/>
      <c r="O758" s="75"/>
      <c r="P758" s="75"/>
    </row>
    <row r="759" spans="1:16" ht="15.75" customHeight="1">
      <c r="A759" s="71"/>
      <c r="B759" s="72"/>
      <c r="C759" s="73"/>
      <c r="D759" s="72"/>
      <c r="E759" s="73"/>
      <c r="F759" s="74"/>
      <c r="G759" s="72"/>
      <c r="H759" s="73"/>
      <c r="I759" s="75"/>
      <c r="J759" s="75"/>
      <c r="K759" s="75"/>
      <c r="L759" s="74"/>
      <c r="M759" s="76"/>
      <c r="N759" s="75"/>
      <c r="O759" s="75"/>
      <c r="P759" s="75"/>
    </row>
    <row r="760" spans="1:16" ht="15.75" customHeight="1">
      <c r="A760" s="71"/>
      <c r="B760" s="72"/>
      <c r="C760" s="73"/>
      <c r="D760" s="72"/>
      <c r="E760" s="73"/>
      <c r="F760" s="74"/>
      <c r="G760" s="72"/>
      <c r="H760" s="73"/>
      <c r="I760" s="75"/>
      <c r="J760" s="75"/>
      <c r="K760" s="75"/>
      <c r="L760" s="74"/>
      <c r="M760" s="76"/>
      <c r="N760" s="75"/>
      <c r="O760" s="75"/>
      <c r="P760" s="75"/>
    </row>
    <row r="761" spans="1:16" ht="15.75" customHeight="1">
      <c r="A761" s="71"/>
      <c r="B761" s="72"/>
      <c r="C761" s="73"/>
      <c r="D761" s="72"/>
      <c r="E761" s="73"/>
      <c r="F761" s="74"/>
      <c r="G761" s="72"/>
      <c r="H761" s="73"/>
      <c r="I761" s="75"/>
      <c r="J761" s="75"/>
      <c r="K761" s="75"/>
      <c r="L761" s="74"/>
      <c r="M761" s="76"/>
      <c r="N761" s="75"/>
      <c r="O761" s="75"/>
      <c r="P761" s="75"/>
    </row>
    <row r="762" spans="1:16" ht="15.75" customHeight="1">
      <c r="A762" s="71"/>
      <c r="B762" s="72"/>
      <c r="C762" s="73"/>
      <c r="D762" s="72"/>
      <c r="E762" s="73"/>
      <c r="F762" s="74"/>
      <c r="G762" s="72"/>
      <c r="H762" s="73"/>
      <c r="I762" s="75"/>
      <c r="J762" s="75"/>
      <c r="K762" s="75"/>
      <c r="L762" s="74"/>
      <c r="M762" s="76"/>
      <c r="N762" s="75"/>
      <c r="O762" s="75"/>
      <c r="P762" s="75"/>
    </row>
    <row r="763" spans="1:16" ht="15.75" customHeight="1">
      <c r="A763" s="71"/>
      <c r="B763" s="72"/>
      <c r="C763" s="73"/>
      <c r="D763" s="72"/>
      <c r="E763" s="73"/>
      <c r="F763" s="74"/>
      <c r="G763" s="72"/>
      <c r="H763" s="73"/>
      <c r="I763" s="75"/>
      <c r="J763" s="75"/>
      <c r="K763" s="75"/>
      <c r="L763" s="74"/>
      <c r="M763" s="76"/>
      <c r="N763" s="75"/>
      <c r="O763" s="75"/>
      <c r="P763" s="75"/>
    </row>
    <row r="764" spans="1:16" ht="15.75" customHeight="1">
      <c r="A764" s="71"/>
      <c r="B764" s="72"/>
      <c r="C764" s="73"/>
      <c r="D764" s="72"/>
      <c r="E764" s="73"/>
      <c r="F764" s="74"/>
      <c r="G764" s="72"/>
      <c r="H764" s="73"/>
      <c r="I764" s="75"/>
      <c r="J764" s="75"/>
      <c r="K764" s="75"/>
      <c r="L764" s="74"/>
      <c r="M764" s="76"/>
      <c r="N764" s="75"/>
      <c r="O764" s="75"/>
      <c r="P764" s="75"/>
    </row>
    <row r="765" spans="1:16" ht="15.75" customHeight="1">
      <c r="A765" s="71"/>
      <c r="B765" s="72"/>
      <c r="C765" s="73"/>
      <c r="D765" s="72"/>
      <c r="E765" s="73"/>
      <c r="F765" s="74"/>
      <c r="G765" s="72"/>
      <c r="H765" s="73"/>
      <c r="I765" s="75"/>
      <c r="J765" s="75"/>
      <c r="K765" s="75"/>
      <c r="L765" s="74"/>
      <c r="M765" s="76"/>
      <c r="N765" s="75"/>
      <c r="O765" s="75"/>
      <c r="P765" s="75"/>
    </row>
    <row r="766" spans="1:16" ht="15.75" customHeight="1">
      <c r="A766" s="71"/>
      <c r="B766" s="72"/>
      <c r="C766" s="73"/>
      <c r="D766" s="72"/>
      <c r="E766" s="73"/>
      <c r="F766" s="74"/>
      <c r="G766" s="72"/>
      <c r="H766" s="73"/>
      <c r="I766" s="75"/>
      <c r="J766" s="75"/>
      <c r="K766" s="75"/>
      <c r="L766" s="74"/>
      <c r="M766" s="76"/>
      <c r="N766" s="75"/>
      <c r="O766" s="75"/>
      <c r="P766" s="75"/>
    </row>
    <row r="767" spans="1:16" ht="15.75" customHeight="1">
      <c r="A767" s="71"/>
      <c r="B767" s="72"/>
      <c r="C767" s="73"/>
      <c r="D767" s="72"/>
      <c r="E767" s="73"/>
      <c r="F767" s="74"/>
      <c r="G767" s="72"/>
      <c r="H767" s="73"/>
      <c r="I767" s="75"/>
      <c r="J767" s="75"/>
      <c r="K767" s="75"/>
      <c r="L767" s="74"/>
      <c r="M767" s="76"/>
      <c r="N767" s="75"/>
      <c r="O767" s="75"/>
      <c r="P767" s="75"/>
    </row>
    <row r="768" spans="1:16" ht="15.75" customHeight="1">
      <c r="A768" s="71"/>
      <c r="B768" s="72"/>
      <c r="C768" s="73"/>
      <c r="D768" s="72"/>
      <c r="E768" s="73"/>
      <c r="F768" s="74"/>
      <c r="G768" s="72"/>
      <c r="H768" s="73"/>
      <c r="I768" s="75"/>
      <c r="J768" s="75"/>
      <c r="K768" s="75"/>
      <c r="L768" s="74"/>
      <c r="M768" s="76"/>
      <c r="N768" s="75"/>
      <c r="O768" s="75"/>
      <c r="P768" s="75"/>
    </row>
    <row r="769" spans="1:16" ht="15.75" customHeight="1">
      <c r="A769" s="71"/>
      <c r="B769" s="72"/>
      <c r="C769" s="73"/>
      <c r="D769" s="72"/>
      <c r="E769" s="73"/>
      <c r="F769" s="74"/>
      <c r="G769" s="72"/>
      <c r="H769" s="73"/>
      <c r="I769" s="75"/>
      <c r="J769" s="75"/>
      <c r="K769" s="75"/>
      <c r="L769" s="74"/>
      <c r="M769" s="76"/>
      <c r="N769" s="75"/>
      <c r="O769" s="75"/>
      <c r="P769" s="75"/>
    </row>
    <row r="770" spans="1:16" ht="15.75" customHeight="1">
      <c r="A770" s="71"/>
      <c r="B770" s="72"/>
      <c r="C770" s="73"/>
      <c r="D770" s="72"/>
      <c r="E770" s="73"/>
      <c r="F770" s="74"/>
      <c r="G770" s="72"/>
      <c r="H770" s="73"/>
      <c r="I770" s="75"/>
      <c r="J770" s="75"/>
      <c r="K770" s="75"/>
      <c r="L770" s="74"/>
      <c r="M770" s="76"/>
      <c r="N770" s="75"/>
      <c r="O770" s="75"/>
      <c r="P770" s="75"/>
    </row>
    <row r="771" spans="1:16" ht="15.75" customHeight="1">
      <c r="A771" s="71"/>
      <c r="B771" s="72"/>
      <c r="C771" s="73"/>
      <c r="D771" s="72"/>
      <c r="E771" s="73"/>
      <c r="F771" s="74"/>
      <c r="G771" s="72"/>
      <c r="H771" s="73"/>
      <c r="I771" s="75"/>
      <c r="J771" s="75"/>
      <c r="K771" s="75"/>
      <c r="L771" s="74"/>
      <c r="M771" s="76"/>
      <c r="N771" s="75"/>
      <c r="O771" s="75"/>
      <c r="P771" s="75"/>
    </row>
    <row r="772" spans="1:16" ht="15.75" customHeight="1">
      <c r="A772" s="71"/>
      <c r="B772" s="72"/>
      <c r="C772" s="73"/>
      <c r="D772" s="72"/>
      <c r="E772" s="73"/>
      <c r="F772" s="74"/>
      <c r="G772" s="72"/>
      <c r="H772" s="73"/>
      <c r="I772" s="75"/>
      <c r="J772" s="75"/>
      <c r="K772" s="75"/>
      <c r="L772" s="74"/>
      <c r="M772" s="76"/>
      <c r="N772" s="75"/>
      <c r="O772" s="75"/>
      <c r="P772" s="75"/>
    </row>
    <row r="773" spans="1:16" ht="15.75" customHeight="1">
      <c r="A773" s="71"/>
      <c r="B773" s="72"/>
      <c r="C773" s="73"/>
      <c r="D773" s="72"/>
      <c r="E773" s="73"/>
      <c r="F773" s="74"/>
      <c r="G773" s="72"/>
      <c r="H773" s="73"/>
      <c r="I773" s="75"/>
      <c r="J773" s="75"/>
      <c r="K773" s="75"/>
      <c r="L773" s="74"/>
      <c r="M773" s="76"/>
      <c r="N773" s="75"/>
      <c r="O773" s="75"/>
      <c r="P773" s="75"/>
    </row>
    <row r="774" spans="1:16" ht="15.75" customHeight="1">
      <c r="A774" s="71"/>
      <c r="B774" s="72"/>
      <c r="C774" s="73"/>
      <c r="D774" s="72"/>
      <c r="E774" s="73"/>
      <c r="F774" s="74"/>
      <c r="G774" s="72"/>
      <c r="H774" s="73"/>
      <c r="I774" s="75"/>
      <c r="J774" s="75"/>
      <c r="K774" s="75"/>
      <c r="L774" s="74"/>
      <c r="M774" s="76"/>
      <c r="N774" s="75"/>
      <c r="O774" s="75"/>
      <c r="P774" s="75"/>
    </row>
    <row r="775" spans="1:16" ht="15.75" customHeight="1">
      <c r="A775" s="71"/>
      <c r="B775" s="72"/>
      <c r="C775" s="73"/>
      <c r="D775" s="72"/>
      <c r="E775" s="73"/>
      <c r="F775" s="74"/>
      <c r="G775" s="72"/>
      <c r="H775" s="73"/>
      <c r="I775" s="75"/>
      <c r="J775" s="75"/>
      <c r="K775" s="75"/>
      <c r="L775" s="74"/>
      <c r="M775" s="76"/>
      <c r="N775" s="75"/>
      <c r="O775" s="75"/>
      <c r="P775" s="75"/>
    </row>
    <row r="776" spans="1:16" ht="15.75" customHeight="1">
      <c r="A776" s="71"/>
      <c r="B776" s="72"/>
      <c r="C776" s="73"/>
      <c r="D776" s="72"/>
      <c r="E776" s="73"/>
      <c r="F776" s="74"/>
      <c r="G776" s="72"/>
      <c r="H776" s="73"/>
      <c r="I776" s="75"/>
      <c r="J776" s="75"/>
      <c r="K776" s="75"/>
      <c r="L776" s="74"/>
      <c r="M776" s="76"/>
      <c r="N776" s="75"/>
      <c r="O776" s="75"/>
      <c r="P776" s="75"/>
    </row>
    <row r="777" spans="1:16" ht="15.75" customHeight="1">
      <c r="A777" s="71"/>
      <c r="B777" s="72"/>
      <c r="C777" s="73"/>
      <c r="D777" s="72"/>
      <c r="E777" s="73"/>
      <c r="F777" s="74"/>
      <c r="G777" s="72"/>
      <c r="H777" s="73"/>
      <c r="I777" s="75"/>
      <c r="J777" s="75"/>
      <c r="K777" s="75"/>
      <c r="L777" s="74"/>
      <c r="M777" s="76"/>
      <c r="N777" s="75"/>
      <c r="O777" s="75"/>
      <c r="P777" s="75"/>
    </row>
    <row r="778" spans="1:16" ht="15.75" customHeight="1">
      <c r="A778" s="71"/>
      <c r="B778" s="72"/>
      <c r="C778" s="73"/>
      <c r="D778" s="72"/>
      <c r="E778" s="73"/>
      <c r="F778" s="74"/>
      <c r="G778" s="72"/>
      <c r="H778" s="73"/>
      <c r="I778" s="75"/>
      <c r="J778" s="75"/>
      <c r="K778" s="75"/>
      <c r="L778" s="74"/>
      <c r="M778" s="76"/>
      <c r="N778" s="75"/>
      <c r="O778" s="75"/>
      <c r="P778" s="75"/>
    </row>
    <row r="779" spans="1:16" ht="15.75" customHeight="1">
      <c r="A779" s="71"/>
      <c r="B779" s="72"/>
      <c r="C779" s="73"/>
      <c r="D779" s="72"/>
      <c r="E779" s="73"/>
      <c r="F779" s="74"/>
      <c r="G779" s="72"/>
      <c r="H779" s="73"/>
      <c r="I779" s="75"/>
      <c r="J779" s="75"/>
      <c r="K779" s="75"/>
      <c r="L779" s="74"/>
      <c r="M779" s="76"/>
      <c r="N779" s="75"/>
      <c r="O779" s="75"/>
      <c r="P779" s="75"/>
    </row>
    <row r="780" spans="1:16" ht="15.75" customHeight="1">
      <c r="A780" s="71"/>
      <c r="B780" s="72"/>
      <c r="C780" s="73"/>
      <c r="D780" s="72"/>
      <c r="E780" s="73"/>
      <c r="F780" s="74"/>
      <c r="G780" s="72"/>
      <c r="H780" s="73"/>
      <c r="I780" s="75"/>
      <c r="J780" s="75"/>
      <c r="K780" s="75"/>
      <c r="L780" s="74"/>
      <c r="M780" s="76"/>
      <c r="N780" s="75"/>
      <c r="O780" s="75"/>
      <c r="P780" s="75"/>
    </row>
    <row r="781" spans="1:16" ht="15.75" customHeight="1">
      <c r="A781" s="71"/>
      <c r="B781" s="72"/>
      <c r="C781" s="73"/>
      <c r="D781" s="72"/>
      <c r="E781" s="73"/>
      <c r="F781" s="74"/>
      <c r="G781" s="72"/>
      <c r="H781" s="73"/>
      <c r="I781" s="75"/>
      <c r="J781" s="75"/>
      <c r="K781" s="75"/>
      <c r="L781" s="74"/>
      <c r="M781" s="76"/>
      <c r="N781" s="75"/>
      <c r="O781" s="75"/>
      <c r="P781" s="75"/>
    </row>
    <row r="782" spans="1:16" ht="15.75" customHeight="1">
      <c r="A782" s="71"/>
      <c r="B782" s="72"/>
      <c r="C782" s="73"/>
      <c r="D782" s="72"/>
      <c r="E782" s="73"/>
      <c r="F782" s="74"/>
      <c r="G782" s="72"/>
      <c r="H782" s="73"/>
      <c r="I782" s="75"/>
      <c r="J782" s="75"/>
      <c r="K782" s="75"/>
      <c r="L782" s="74"/>
      <c r="M782" s="76"/>
      <c r="N782" s="75"/>
      <c r="O782" s="75"/>
      <c r="P782" s="75"/>
    </row>
    <row r="783" spans="1:16" ht="15.75" customHeight="1">
      <c r="A783" s="71"/>
      <c r="B783" s="72"/>
      <c r="C783" s="73"/>
      <c r="D783" s="72"/>
      <c r="E783" s="73"/>
      <c r="F783" s="74"/>
      <c r="G783" s="72"/>
      <c r="H783" s="73"/>
      <c r="I783" s="75"/>
      <c r="J783" s="75"/>
      <c r="K783" s="75"/>
      <c r="L783" s="74"/>
      <c r="M783" s="76"/>
      <c r="N783" s="75"/>
      <c r="O783" s="75"/>
      <c r="P783" s="75"/>
    </row>
    <row r="784" spans="1:16" ht="15.75" customHeight="1">
      <c r="A784" s="71"/>
      <c r="B784" s="72"/>
      <c r="C784" s="73"/>
      <c r="D784" s="72"/>
      <c r="E784" s="73"/>
      <c r="F784" s="74"/>
      <c r="G784" s="72"/>
      <c r="H784" s="73"/>
      <c r="I784" s="75"/>
      <c r="J784" s="75"/>
      <c r="K784" s="75"/>
      <c r="L784" s="74"/>
      <c r="M784" s="76"/>
      <c r="N784" s="75"/>
      <c r="O784" s="75"/>
      <c r="P784" s="75"/>
    </row>
    <row r="785" spans="1:16" ht="15.75" customHeight="1">
      <c r="A785" s="71"/>
      <c r="B785" s="72"/>
      <c r="C785" s="73"/>
      <c r="D785" s="72"/>
      <c r="E785" s="73"/>
      <c r="F785" s="74"/>
      <c r="G785" s="72"/>
      <c r="H785" s="73"/>
      <c r="I785" s="75"/>
      <c r="J785" s="75"/>
      <c r="K785" s="75"/>
      <c r="L785" s="74"/>
      <c r="M785" s="76"/>
      <c r="N785" s="75"/>
      <c r="O785" s="75"/>
      <c r="P785" s="75"/>
    </row>
    <row r="786" spans="1:16" ht="15.75" customHeight="1">
      <c r="A786" s="71"/>
      <c r="B786" s="72"/>
      <c r="C786" s="73"/>
      <c r="D786" s="72"/>
      <c r="E786" s="73"/>
      <c r="F786" s="74"/>
      <c r="G786" s="72"/>
      <c r="H786" s="73"/>
      <c r="I786" s="75"/>
      <c r="J786" s="75"/>
      <c r="K786" s="75"/>
      <c r="L786" s="74"/>
      <c r="M786" s="76"/>
      <c r="N786" s="75"/>
      <c r="O786" s="75"/>
      <c r="P786" s="75"/>
    </row>
    <row r="787" spans="1:16" ht="15.75" customHeight="1">
      <c r="A787" s="71"/>
      <c r="B787" s="72"/>
      <c r="C787" s="73"/>
      <c r="D787" s="72"/>
      <c r="E787" s="73"/>
      <c r="F787" s="74"/>
      <c r="G787" s="72"/>
      <c r="H787" s="73"/>
      <c r="I787" s="75"/>
      <c r="J787" s="75"/>
      <c r="K787" s="75"/>
      <c r="L787" s="74"/>
      <c r="M787" s="76"/>
      <c r="N787" s="75"/>
      <c r="O787" s="75"/>
      <c r="P787" s="75"/>
    </row>
    <row r="788" spans="1:16" ht="15.75" customHeight="1">
      <c r="A788" s="71"/>
      <c r="B788" s="72"/>
      <c r="C788" s="73"/>
      <c r="D788" s="72"/>
      <c r="E788" s="73"/>
      <c r="F788" s="74"/>
      <c r="G788" s="72"/>
      <c r="H788" s="73"/>
      <c r="I788" s="75"/>
      <c r="J788" s="75"/>
      <c r="K788" s="75"/>
      <c r="L788" s="74"/>
      <c r="M788" s="76"/>
      <c r="N788" s="75"/>
      <c r="O788" s="75"/>
      <c r="P788" s="75"/>
    </row>
    <row r="789" spans="1:16" ht="15.75" customHeight="1">
      <c r="A789" s="71"/>
      <c r="B789" s="72"/>
      <c r="C789" s="73"/>
      <c r="D789" s="72"/>
      <c r="E789" s="73"/>
      <c r="F789" s="74"/>
      <c r="G789" s="72"/>
      <c r="H789" s="73"/>
      <c r="I789" s="75"/>
      <c r="J789" s="75"/>
      <c r="K789" s="75"/>
      <c r="L789" s="74"/>
      <c r="M789" s="76"/>
      <c r="N789" s="75"/>
      <c r="O789" s="75"/>
      <c r="P789" s="75"/>
    </row>
    <row r="790" spans="1:16" ht="15.75" customHeight="1">
      <c r="A790" s="71"/>
      <c r="B790" s="72"/>
      <c r="C790" s="73"/>
      <c r="D790" s="72"/>
      <c r="E790" s="73"/>
      <c r="F790" s="74"/>
      <c r="G790" s="72"/>
      <c r="H790" s="73"/>
      <c r="I790" s="75"/>
      <c r="J790" s="75"/>
      <c r="K790" s="75"/>
      <c r="L790" s="74"/>
      <c r="M790" s="76"/>
      <c r="N790" s="75"/>
      <c r="O790" s="75"/>
      <c r="P790" s="75"/>
    </row>
    <row r="791" spans="1:16" ht="15.75" customHeight="1">
      <c r="A791" s="71"/>
      <c r="B791" s="72"/>
      <c r="C791" s="73"/>
      <c r="D791" s="72"/>
      <c r="E791" s="73"/>
      <c r="F791" s="74"/>
      <c r="G791" s="72"/>
      <c r="H791" s="73"/>
      <c r="I791" s="75"/>
      <c r="J791" s="75"/>
      <c r="K791" s="75"/>
      <c r="L791" s="74"/>
      <c r="M791" s="76"/>
      <c r="N791" s="75"/>
      <c r="O791" s="75"/>
      <c r="P791" s="75"/>
    </row>
    <row r="792" spans="1:16" ht="15.75" customHeight="1">
      <c r="A792" s="71"/>
      <c r="B792" s="72"/>
      <c r="C792" s="73"/>
      <c r="D792" s="72"/>
      <c r="E792" s="73"/>
      <c r="F792" s="74"/>
      <c r="G792" s="72"/>
      <c r="H792" s="73"/>
      <c r="I792" s="75"/>
      <c r="J792" s="75"/>
      <c r="K792" s="75"/>
      <c r="L792" s="74"/>
      <c r="M792" s="76"/>
      <c r="N792" s="75"/>
      <c r="O792" s="75"/>
      <c r="P792" s="75"/>
    </row>
    <row r="793" spans="1:16" ht="15.75" customHeight="1">
      <c r="A793" s="71"/>
      <c r="B793" s="72"/>
      <c r="C793" s="73"/>
      <c r="D793" s="72"/>
      <c r="E793" s="73"/>
      <c r="F793" s="74"/>
      <c r="G793" s="72"/>
      <c r="H793" s="73"/>
      <c r="I793" s="75"/>
      <c r="J793" s="75"/>
      <c r="K793" s="75"/>
      <c r="L793" s="74"/>
      <c r="M793" s="76"/>
      <c r="N793" s="75"/>
      <c r="O793" s="75"/>
      <c r="P793" s="75"/>
    </row>
    <row r="794" spans="1:16" ht="15.75" customHeight="1">
      <c r="A794" s="71"/>
      <c r="B794" s="72"/>
      <c r="C794" s="73"/>
      <c r="D794" s="72"/>
      <c r="E794" s="73"/>
      <c r="F794" s="74"/>
      <c r="G794" s="72"/>
      <c r="H794" s="73"/>
      <c r="I794" s="75"/>
      <c r="J794" s="75"/>
      <c r="K794" s="75"/>
      <c r="L794" s="74"/>
      <c r="M794" s="76"/>
      <c r="N794" s="75"/>
      <c r="O794" s="75"/>
      <c r="P794" s="75"/>
    </row>
    <row r="795" spans="1:16" ht="15.75" customHeight="1">
      <c r="A795" s="71"/>
      <c r="B795" s="72"/>
      <c r="C795" s="73"/>
      <c r="D795" s="72"/>
      <c r="E795" s="73"/>
      <c r="F795" s="74"/>
      <c r="G795" s="72"/>
      <c r="H795" s="73"/>
      <c r="I795" s="75"/>
      <c r="J795" s="75"/>
      <c r="K795" s="75"/>
      <c r="L795" s="74"/>
      <c r="M795" s="76"/>
      <c r="N795" s="75"/>
      <c r="O795" s="75"/>
      <c r="P795" s="75"/>
    </row>
    <row r="796" spans="1:16" ht="15.75" customHeight="1">
      <c r="A796" s="71"/>
      <c r="B796" s="72"/>
      <c r="C796" s="73"/>
      <c r="D796" s="72"/>
      <c r="E796" s="73"/>
      <c r="F796" s="74"/>
      <c r="G796" s="72"/>
      <c r="H796" s="73"/>
      <c r="I796" s="75"/>
      <c r="J796" s="75"/>
      <c r="K796" s="75"/>
      <c r="L796" s="74"/>
      <c r="M796" s="76"/>
      <c r="N796" s="75"/>
      <c r="O796" s="75"/>
      <c r="P796" s="75"/>
    </row>
    <row r="797" spans="1:16" ht="15.75" customHeight="1">
      <c r="A797" s="71"/>
      <c r="B797" s="72"/>
      <c r="C797" s="73"/>
      <c r="D797" s="72"/>
      <c r="E797" s="73"/>
      <c r="F797" s="74"/>
      <c r="G797" s="72"/>
      <c r="H797" s="73"/>
      <c r="I797" s="75"/>
      <c r="J797" s="75"/>
      <c r="K797" s="75"/>
      <c r="L797" s="74"/>
      <c r="M797" s="76"/>
      <c r="N797" s="75"/>
      <c r="O797" s="75"/>
      <c r="P797" s="75"/>
    </row>
    <row r="798" spans="1:16" ht="15.75" customHeight="1">
      <c r="A798" s="71"/>
      <c r="B798" s="72"/>
      <c r="C798" s="73"/>
      <c r="D798" s="72"/>
      <c r="E798" s="73"/>
      <c r="F798" s="74"/>
      <c r="G798" s="72"/>
      <c r="H798" s="73"/>
      <c r="I798" s="75"/>
      <c r="J798" s="75"/>
      <c r="K798" s="75"/>
      <c r="L798" s="74"/>
      <c r="M798" s="76"/>
      <c r="N798" s="75"/>
      <c r="O798" s="75"/>
      <c r="P798" s="75"/>
    </row>
    <row r="799" spans="1:16" ht="15.75" customHeight="1">
      <c r="A799" s="71"/>
      <c r="B799" s="72"/>
      <c r="C799" s="73"/>
      <c r="D799" s="72"/>
      <c r="E799" s="73"/>
      <c r="F799" s="74"/>
      <c r="G799" s="72"/>
      <c r="H799" s="73"/>
      <c r="I799" s="75"/>
      <c r="J799" s="75"/>
      <c r="K799" s="75"/>
      <c r="L799" s="74"/>
      <c r="M799" s="76"/>
      <c r="N799" s="75"/>
      <c r="O799" s="75"/>
      <c r="P799" s="75"/>
    </row>
    <row r="800" spans="1:16" ht="15.75" customHeight="1">
      <c r="A800" s="71"/>
      <c r="B800" s="72"/>
      <c r="C800" s="73"/>
      <c r="D800" s="72"/>
      <c r="E800" s="73"/>
      <c r="F800" s="74"/>
      <c r="G800" s="72"/>
      <c r="H800" s="73"/>
      <c r="I800" s="75"/>
      <c r="J800" s="75"/>
      <c r="K800" s="75"/>
      <c r="L800" s="74"/>
      <c r="M800" s="76"/>
      <c r="N800" s="75"/>
      <c r="O800" s="75"/>
      <c r="P800" s="75"/>
    </row>
    <row r="801" spans="1:16" ht="15.75" customHeight="1">
      <c r="A801" s="71"/>
      <c r="B801" s="72"/>
      <c r="C801" s="73"/>
      <c r="D801" s="72"/>
      <c r="E801" s="73"/>
      <c r="F801" s="74"/>
      <c r="G801" s="72"/>
      <c r="H801" s="73"/>
      <c r="I801" s="75"/>
      <c r="J801" s="75"/>
      <c r="K801" s="75"/>
      <c r="L801" s="74"/>
      <c r="M801" s="76"/>
      <c r="N801" s="75"/>
      <c r="O801" s="75"/>
      <c r="P801" s="75"/>
    </row>
    <row r="802" spans="1:16" ht="15.75" customHeight="1">
      <c r="A802" s="71"/>
      <c r="B802" s="72"/>
      <c r="C802" s="73"/>
      <c r="D802" s="72"/>
      <c r="E802" s="73"/>
      <c r="F802" s="74"/>
      <c r="G802" s="72"/>
      <c r="H802" s="73"/>
      <c r="I802" s="75"/>
      <c r="J802" s="75"/>
      <c r="K802" s="75"/>
      <c r="L802" s="74"/>
      <c r="M802" s="76"/>
      <c r="N802" s="75"/>
      <c r="O802" s="75"/>
      <c r="P802" s="75"/>
    </row>
    <row r="803" spans="1:16" ht="15.75" customHeight="1">
      <c r="A803" s="71"/>
      <c r="B803" s="72"/>
      <c r="C803" s="73"/>
      <c r="D803" s="72"/>
      <c r="E803" s="73"/>
      <c r="F803" s="74"/>
      <c r="G803" s="72"/>
      <c r="H803" s="73"/>
      <c r="I803" s="75"/>
      <c r="J803" s="75"/>
      <c r="K803" s="75"/>
      <c r="L803" s="74"/>
      <c r="M803" s="76"/>
      <c r="N803" s="75"/>
      <c r="O803" s="75"/>
      <c r="P803" s="75"/>
    </row>
    <row r="804" spans="1:16" ht="15.75" customHeight="1">
      <c r="A804" s="71"/>
      <c r="B804" s="72"/>
      <c r="C804" s="73"/>
      <c r="D804" s="72"/>
      <c r="E804" s="73"/>
      <c r="F804" s="74"/>
      <c r="G804" s="72"/>
      <c r="H804" s="73"/>
      <c r="I804" s="75"/>
      <c r="J804" s="75"/>
      <c r="K804" s="75"/>
      <c r="L804" s="74"/>
      <c r="M804" s="76"/>
      <c r="N804" s="75"/>
      <c r="O804" s="75"/>
      <c r="P804" s="75"/>
    </row>
    <row r="805" spans="1:16" ht="15.75" customHeight="1">
      <c r="A805" s="71"/>
      <c r="B805" s="72"/>
      <c r="C805" s="73"/>
      <c r="D805" s="72"/>
      <c r="E805" s="73"/>
      <c r="F805" s="74"/>
      <c r="G805" s="72"/>
      <c r="H805" s="73"/>
      <c r="I805" s="75"/>
      <c r="J805" s="75"/>
      <c r="K805" s="75"/>
      <c r="L805" s="74"/>
      <c r="M805" s="76"/>
      <c r="N805" s="75"/>
      <c r="O805" s="75"/>
      <c r="P805" s="75"/>
    </row>
    <row r="806" spans="1:16" ht="15.75" customHeight="1">
      <c r="A806" s="71"/>
      <c r="B806" s="72"/>
      <c r="C806" s="73"/>
      <c r="D806" s="72"/>
      <c r="E806" s="73"/>
      <c r="F806" s="74"/>
      <c r="G806" s="72"/>
      <c r="H806" s="73"/>
      <c r="I806" s="75"/>
      <c r="J806" s="75"/>
      <c r="K806" s="75"/>
      <c r="L806" s="74"/>
      <c r="M806" s="76"/>
      <c r="N806" s="75"/>
      <c r="O806" s="75"/>
      <c r="P806" s="75"/>
    </row>
    <row r="807" spans="1:16" ht="15.75" customHeight="1">
      <c r="A807" s="71"/>
      <c r="B807" s="72"/>
      <c r="C807" s="73"/>
      <c r="D807" s="72"/>
      <c r="E807" s="73"/>
      <c r="F807" s="74"/>
      <c r="G807" s="72"/>
      <c r="H807" s="73"/>
      <c r="I807" s="75"/>
      <c r="J807" s="75"/>
      <c r="K807" s="75"/>
      <c r="L807" s="74"/>
      <c r="M807" s="76"/>
      <c r="N807" s="75"/>
      <c r="O807" s="75"/>
      <c r="P807" s="75"/>
    </row>
    <row r="808" spans="1:16" ht="15.75" customHeight="1">
      <c r="A808" s="71"/>
      <c r="B808" s="72"/>
      <c r="C808" s="73"/>
      <c r="D808" s="72"/>
      <c r="E808" s="73"/>
      <c r="F808" s="74"/>
      <c r="G808" s="72"/>
      <c r="H808" s="73"/>
      <c r="I808" s="75"/>
      <c r="J808" s="75"/>
      <c r="K808" s="75"/>
      <c r="L808" s="74"/>
      <c r="M808" s="76"/>
      <c r="N808" s="75"/>
      <c r="O808" s="75"/>
      <c r="P808" s="75"/>
    </row>
    <row r="809" spans="1:16" ht="15.75" customHeight="1">
      <c r="A809" s="71"/>
      <c r="B809" s="72"/>
      <c r="C809" s="73"/>
      <c r="D809" s="72"/>
      <c r="E809" s="73"/>
      <c r="F809" s="74"/>
      <c r="G809" s="72"/>
      <c r="H809" s="73"/>
      <c r="I809" s="75"/>
      <c r="J809" s="75"/>
      <c r="K809" s="75"/>
      <c r="L809" s="74"/>
      <c r="M809" s="76"/>
      <c r="N809" s="75"/>
      <c r="O809" s="75"/>
      <c r="P809" s="75"/>
    </row>
    <row r="810" spans="1:16" ht="15.75" customHeight="1">
      <c r="A810" s="71"/>
      <c r="B810" s="72"/>
      <c r="C810" s="73"/>
      <c r="D810" s="72"/>
      <c r="E810" s="73"/>
      <c r="F810" s="74"/>
      <c r="G810" s="72"/>
      <c r="H810" s="73"/>
      <c r="I810" s="75"/>
      <c r="J810" s="75"/>
      <c r="K810" s="75"/>
      <c r="L810" s="74"/>
      <c r="M810" s="76"/>
      <c r="N810" s="75"/>
      <c r="O810" s="75"/>
      <c r="P810" s="75"/>
    </row>
    <row r="811" spans="1:16" ht="15.75" customHeight="1">
      <c r="A811" s="71"/>
      <c r="B811" s="72"/>
      <c r="C811" s="73"/>
      <c r="D811" s="72"/>
      <c r="E811" s="73"/>
      <c r="F811" s="74"/>
      <c r="G811" s="72"/>
      <c r="H811" s="73"/>
      <c r="I811" s="75"/>
      <c r="J811" s="75"/>
      <c r="K811" s="75"/>
      <c r="L811" s="74"/>
      <c r="M811" s="76"/>
      <c r="N811" s="75"/>
      <c r="O811" s="75"/>
      <c r="P811" s="75"/>
    </row>
    <row r="812" spans="1:16" ht="15.75" customHeight="1">
      <c r="A812" s="71"/>
      <c r="B812" s="72"/>
      <c r="C812" s="73"/>
      <c r="D812" s="72"/>
      <c r="E812" s="73"/>
      <c r="F812" s="74"/>
      <c r="G812" s="72"/>
      <c r="H812" s="73"/>
      <c r="I812" s="75"/>
      <c r="J812" s="75"/>
      <c r="K812" s="75"/>
      <c r="L812" s="74"/>
      <c r="M812" s="76"/>
      <c r="N812" s="75"/>
      <c r="O812" s="75"/>
      <c r="P812" s="75"/>
    </row>
    <row r="813" spans="1:16" ht="15.75" customHeight="1">
      <c r="A813" s="71"/>
      <c r="B813" s="72"/>
      <c r="C813" s="73"/>
      <c r="D813" s="72"/>
      <c r="E813" s="73"/>
      <c r="F813" s="74"/>
      <c r="G813" s="72"/>
      <c r="H813" s="73"/>
      <c r="I813" s="75"/>
      <c r="J813" s="75"/>
      <c r="K813" s="75"/>
      <c r="L813" s="74"/>
      <c r="M813" s="76"/>
      <c r="N813" s="75"/>
      <c r="O813" s="75"/>
      <c r="P813" s="75"/>
    </row>
    <row r="814" spans="1:16" ht="15.75" customHeight="1">
      <c r="A814" s="71"/>
      <c r="B814" s="72"/>
      <c r="C814" s="73"/>
      <c r="D814" s="72"/>
      <c r="E814" s="73"/>
      <c r="F814" s="74"/>
      <c r="G814" s="72"/>
      <c r="H814" s="73"/>
      <c r="I814" s="75"/>
      <c r="J814" s="75"/>
      <c r="K814" s="75"/>
      <c r="L814" s="74"/>
      <c r="M814" s="76"/>
      <c r="N814" s="75"/>
      <c r="O814" s="75"/>
      <c r="P814" s="75"/>
    </row>
    <row r="815" spans="1:16" ht="15.75" customHeight="1">
      <c r="A815" s="71"/>
      <c r="B815" s="72"/>
      <c r="C815" s="73"/>
      <c r="D815" s="72"/>
      <c r="E815" s="73"/>
      <c r="F815" s="74"/>
      <c r="G815" s="72"/>
      <c r="H815" s="73"/>
      <c r="I815" s="75"/>
      <c r="J815" s="75"/>
      <c r="K815" s="75"/>
      <c r="L815" s="74"/>
      <c r="M815" s="76"/>
      <c r="N815" s="75"/>
      <c r="O815" s="75"/>
      <c r="P815" s="75"/>
    </row>
    <row r="816" spans="1:16" ht="15.75" customHeight="1">
      <c r="A816" s="71"/>
      <c r="B816" s="72"/>
      <c r="C816" s="73"/>
      <c r="D816" s="72"/>
      <c r="E816" s="73"/>
      <c r="F816" s="74"/>
      <c r="G816" s="72"/>
      <c r="H816" s="73"/>
      <c r="I816" s="75"/>
      <c r="J816" s="75"/>
      <c r="K816" s="75"/>
      <c r="L816" s="74"/>
      <c r="M816" s="76"/>
      <c r="N816" s="75"/>
      <c r="O816" s="75"/>
      <c r="P816" s="75"/>
    </row>
    <row r="817" spans="1:16" ht="15.75" customHeight="1">
      <c r="A817" s="71"/>
      <c r="B817" s="72"/>
      <c r="C817" s="73"/>
      <c r="D817" s="72"/>
      <c r="E817" s="73"/>
      <c r="F817" s="74"/>
      <c r="G817" s="72"/>
      <c r="H817" s="73"/>
      <c r="I817" s="75"/>
      <c r="J817" s="75"/>
      <c r="K817" s="75"/>
      <c r="L817" s="74"/>
      <c r="M817" s="76"/>
      <c r="N817" s="75"/>
      <c r="O817" s="75"/>
      <c r="P817" s="75"/>
    </row>
    <row r="818" spans="1:16" ht="15.75" customHeight="1">
      <c r="A818" s="71"/>
      <c r="B818" s="72"/>
      <c r="C818" s="73"/>
      <c r="D818" s="72"/>
      <c r="E818" s="73"/>
      <c r="F818" s="74"/>
      <c r="G818" s="72"/>
      <c r="H818" s="73"/>
      <c r="I818" s="75"/>
      <c r="J818" s="75"/>
      <c r="K818" s="75"/>
      <c r="L818" s="74"/>
      <c r="M818" s="76"/>
      <c r="N818" s="75"/>
      <c r="O818" s="75"/>
      <c r="P818" s="75"/>
    </row>
    <row r="819" spans="1:16" ht="15.75" customHeight="1">
      <c r="A819" s="71"/>
      <c r="B819" s="72"/>
      <c r="C819" s="73"/>
      <c r="D819" s="72"/>
      <c r="E819" s="73"/>
      <c r="F819" s="74"/>
      <c r="G819" s="72"/>
      <c r="H819" s="73"/>
      <c r="I819" s="75"/>
      <c r="J819" s="75"/>
      <c r="K819" s="75"/>
      <c r="L819" s="74"/>
      <c r="M819" s="76"/>
      <c r="N819" s="75"/>
      <c r="O819" s="75"/>
      <c r="P819" s="75"/>
    </row>
    <row r="820" spans="1:16" ht="15.75" customHeight="1">
      <c r="A820" s="71"/>
      <c r="B820" s="72"/>
      <c r="C820" s="73"/>
      <c r="D820" s="72"/>
      <c r="E820" s="73"/>
      <c r="F820" s="74"/>
      <c r="G820" s="72"/>
      <c r="H820" s="73"/>
      <c r="I820" s="75"/>
      <c r="J820" s="75"/>
      <c r="K820" s="75"/>
      <c r="L820" s="74"/>
      <c r="M820" s="76"/>
      <c r="N820" s="75"/>
      <c r="O820" s="75"/>
      <c r="P820" s="75"/>
    </row>
    <row r="821" spans="1:16" ht="15.75" customHeight="1">
      <c r="A821" s="71"/>
      <c r="B821" s="72"/>
      <c r="C821" s="73"/>
      <c r="D821" s="72"/>
      <c r="E821" s="73"/>
      <c r="F821" s="74"/>
      <c r="G821" s="72"/>
      <c r="H821" s="73"/>
      <c r="I821" s="75"/>
      <c r="J821" s="75"/>
      <c r="K821" s="75"/>
      <c r="L821" s="74"/>
      <c r="M821" s="76"/>
      <c r="N821" s="75"/>
      <c r="O821" s="75"/>
      <c r="P821" s="75"/>
    </row>
    <row r="822" spans="1:16" ht="15.75" customHeight="1">
      <c r="A822" s="71"/>
      <c r="B822" s="72"/>
      <c r="C822" s="73"/>
      <c r="D822" s="72"/>
      <c r="E822" s="73"/>
      <c r="F822" s="74"/>
      <c r="G822" s="72"/>
      <c r="H822" s="73"/>
      <c r="I822" s="75"/>
      <c r="J822" s="75"/>
      <c r="K822" s="75"/>
      <c r="L822" s="74"/>
      <c r="M822" s="76"/>
      <c r="N822" s="75"/>
      <c r="O822" s="75"/>
      <c r="P822" s="75"/>
    </row>
    <row r="823" spans="1:16" ht="15.75" customHeight="1">
      <c r="A823" s="71"/>
      <c r="B823" s="72"/>
      <c r="C823" s="73"/>
      <c r="D823" s="72"/>
      <c r="E823" s="73"/>
      <c r="F823" s="74"/>
      <c r="G823" s="72"/>
      <c r="H823" s="73"/>
      <c r="I823" s="75"/>
      <c r="J823" s="75"/>
      <c r="K823" s="75"/>
      <c r="L823" s="74"/>
      <c r="M823" s="76"/>
      <c r="N823" s="75"/>
      <c r="O823" s="75"/>
      <c r="P823" s="75"/>
    </row>
    <row r="824" spans="1:16" ht="15.75" customHeight="1">
      <c r="A824" s="71"/>
      <c r="B824" s="72"/>
      <c r="C824" s="73"/>
      <c r="D824" s="72"/>
      <c r="E824" s="73"/>
      <c r="F824" s="74"/>
      <c r="G824" s="72"/>
      <c r="H824" s="73"/>
      <c r="I824" s="75"/>
      <c r="J824" s="75"/>
      <c r="K824" s="75"/>
      <c r="L824" s="74"/>
      <c r="M824" s="76"/>
      <c r="N824" s="75"/>
      <c r="O824" s="75"/>
      <c r="P824" s="75"/>
    </row>
    <row r="825" spans="1:16" ht="15.75" customHeight="1">
      <c r="A825" s="71"/>
      <c r="B825" s="72"/>
      <c r="C825" s="73"/>
      <c r="D825" s="72"/>
      <c r="E825" s="73"/>
      <c r="F825" s="74"/>
      <c r="G825" s="72"/>
      <c r="H825" s="73"/>
      <c r="I825" s="75"/>
      <c r="J825" s="75"/>
      <c r="K825" s="75"/>
      <c r="L825" s="74"/>
      <c r="M825" s="76"/>
      <c r="N825" s="75"/>
      <c r="O825" s="75"/>
      <c r="P825" s="75"/>
    </row>
    <row r="826" spans="1:16" ht="15.75" customHeight="1">
      <c r="A826" s="71"/>
      <c r="B826" s="72"/>
      <c r="C826" s="73"/>
      <c r="D826" s="72"/>
      <c r="E826" s="73"/>
      <c r="F826" s="74"/>
      <c r="G826" s="72"/>
      <c r="H826" s="73"/>
      <c r="I826" s="75"/>
      <c r="J826" s="75"/>
      <c r="K826" s="75"/>
      <c r="L826" s="74"/>
      <c r="M826" s="76"/>
      <c r="N826" s="75"/>
      <c r="O826" s="75"/>
      <c r="P826" s="75"/>
    </row>
    <row r="827" spans="1:16" ht="15.75" customHeight="1">
      <c r="A827" s="71"/>
      <c r="B827" s="72"/>
      <c r="C827" s="73"/>
      <c r="D827" s="72"/>
      <c r="E827" s="73"/>
      <c r="F827" s="74"/>
      <c r="G827" s="72"/>
      <c r="H827" s="73"/>
      <c r="I827" s="75"/>
      <c r="J827" s="75"/>
      <c r="K827" s="75"/>
      <c r="L827" s="74"/>
      <c r="M827" s="76"/>
      <c r="N827" s="75"/>
      <c r="O827" s="75"/>
      <c r="P827" s="75"/>
    </row>
    <row r="828" spans="1:16" ht="15.75" customHeight="1">
      <c r="A828" s="71"/>
      <c r="B828" s="72"/>
      <c r="C828" s="73"/>
      <c r="D828" s="72"/>
      <c r="E828" s="73"/>
      <c r="F828" s="74"/>
      <c r="G828" s="72"/>
      <c r="H828" s="73"/>
      <c r="I828" s="75"/>
      <c r="J828" s="75"/>
      <c r="K828" s="75"/>
      <c r="L828" s="74"/>
      <c r="M828" s="76"/>
      <c r="N828" s="75"/>
      <c r="O828" s="75"/>
      <c r="P828" s="75"/>
    </row>
    <row r="829" spans="1:16" ht="15.75" customHeight="1">
      <c r="A829" s="71"/>
      <c r="B829" s="72"/>
      <c r="C829" s="73"/>
      <c r="D829" s="72"/>
      <c r="E829" s="73"/>
      <c r="F829" s="74"/>
      <c r="G829" s="72"/>
      <c r="H829" s="73"/>
      <c r="I829" s="75"/>
      <c r="J829" s="75"/>
      <c r="K829" s="75"/>
      <c r="L829" s="74"/>
      <c r="M829" s="76"/>
      <c r="N829" s="75"/>
      <c r="O829" s="75"/>
      <c r="P829" s="75"/>
    </row>
    <row r="830" spans="1:16" ht="15.75" customHeight="1">
      <c r="A830" s="71"/>
      <c r="B830" s="72"/>
      <c r="C830" s="73"/>
      <c r="D830" s="72"/>
      <c r="E830" s="73"/>
      <c r="F830" s="74"/>
      <c r="G830" s="72"/>
      <c r="H830" s="73"/>
      <c r="I830" s="75"/>
      <c r="J830" s="75"/>
      <c r="K830" s="75"/>
      <c r="L830" s="74"/>
      <c r="M830" s="76"/>
      <c r="N830" s="75"/>
      <c r="O830" s="75"/>
      <c r="P830" s="75"/>
    </row>
    <row r="831" spans="1:16" ht="15.75" customHeight="1">
      <c r="A831" s="71"/>
      <c r="B831" s="72"/>
      <c r="C831" s="73"/>
      <c r="D831" s="72"/>
      <c r="E831" s="73"/>
      <c r="F831" s="74"/>
      <c r="G831" s="72"/>
      <c r="H831" s="73"/>
      <c r="I831" s="75"/>
      <c r="J831" s="75"/>
      <c r="K831" s="75"/>
      <c r="L831" s="74"/>
      <c r="M831" s="76"/>
      <c r="N831" s="75"/>
      <c r="O831" s="75"/>
      <c r="P831" s="75"/>
    </row>
    <row r="832" spans="1:16" ht="15.75" customHeight="1">
      <c r="A832" s="71"/>
      <c r="B832" s="72"/>
      <c r="C832" s="73"/>
      <c r="D832" s="72"/>
      <c r="E832" s="73"/>
      <c r="F832" s="74"/>
      <c r="G832" s="72"/>
      <c r="H832" s="73"/>
      <c r="I832" s="75"/>
      <c r="J832" s="75"/>
      <c r="K832" s="75"/>
      <c r="L832" s="74"/>
      <c r="M832" s="76"/>
      <c r="N832" s="75"/>
      <c r="O832" s="75"/>
      <c r="P832" s="75"/>
    </row>
    <row r="833" spans="1:16" ht="15.75" customHeight="1">
      <c r="A833" s="71"/>
      <c r="B833" s="72"/>
      <c r="C833" s="73"/>
      <c r="D833" s="72"/>
      <c r="E833" s="73"/>
      <c r="F833" s="74"/>
      <c r="G833" s="72"/>
      <c r="H833" s="73"/>
      <c r="I833" s="75"/>
      <c r="J833" s="75"/>
      <c r="K833" s="75"/>
      <c r="L833" s="74"/>
      <c r="M833" s="76"/>
      <c r="N833" s="75"/>
      <c r="O833" s="75"/>
      <c r="P833" s="75"/>
    </row>
    <row r="834" spans="1:16" ht="15.75" customHeight="1">
      <c r="A834" s="71"/>
      <c r="B834" s="72"/>
      <c r="C834" s="73"/>
      <c r="D834" s="72"/>
      <c r="E834" s="73"/>
      <c r="F834" s="74"/>
      <c r="G834" s="72"/>
      <c r="H834" s="73"/>
      <c r="I834" s="75"/>
      <c r="J834" s="75"/>
      <c r="K834" s="75"/>
      <c r="L834" s="74"/>
      <c r="M834" s="76"/>
      <c r="N834" s="75"/>
      <c r="O834" s="75"/>
      <c r="P834" s="75"/>
    </row>
    <row r="835" spans="1:16" ht="15.75" customHeight="1">
      <c r="A835" s="71"/>
      <c r="B835" s="72"/>
      <c r="C835" s="73"/>
      <c r="D835" s="72"/>
      <c r="E835" s="73"/>
      <c r="F835" s="74"/>
      <c r="G835" s="72"/>
      <c r="H835" s="73"/>
      <c r="I835" s="75"/>
      <c r="J835" s="75"/>
      <c r="K835" s="75"/>
      <c r="L835" s="74"/>
      <c r="M835" s="76"/>
      <c r="N835" s="75"/>
      <c r="O835" s="75"/>
      <c r="P835" s="75"/>
    </row>
    <row r="836" spans="1:16" ht="15.75" customHeight="1">
      <c r="A836" s="71"/>
      <c r="B836" s="72"/>
      <c r="C836" s="73"/>
      <c r="D836" s="72"/>
      <c r="E836" s="73"/>
      <c r="F836" s="74"/>
      <c r="G836" s="72"/>
      <c r="H836" s="73"/>
      <c r="I836" s="75"/>
      <c r="J836" s="75"/>
      <c r="K836" s="75"/>
      <c r="L836" s="74"/>
      <c r="M836" s="76"/>
      <c r="N836" s="75"/>
      <c r="O836" s="75"/>
      <c r="P836" s="75"/>
    </row>
    <row r="837" spans="1:16" ht="15.75" customHeight="1">
      <c r="A837" s="71"/>
      <c r="B837" s="72"/>
      <c r="C837" s="73"/>
      <c r="D837" s="72"/>
      <c r="E837" s="73"/>
      <c r="F837" s="74"/>
      <c r="G837" s="72"/>
      <c r="H837" s="73"/>
      <c r="I837" s="75"/>
      <c r="J837" s="75"/>
      <c r="K837" s="75"/>
      <c r="L837" s="74"/>
      <c r="M837" s="76"/>
      <c r="N837" s="75"/>
      <c r="O837" s="75"/>
      <c r="P837" s="75"/>
    </row>
    <row r="838" spans="1:16" ht="15.75" customHeight="1">
      <c r="A838" s="71"/>
      <c r="B838" s="72"/>
      <c r="C838" s="73"/>
      <c r="D838" s="72"/>
      <c r="E838" s="73"/>
      <c r="F838" s="74"/>
      <c r="G838" s="72"/>
      <c r="H838" s="73"/>
      <c r="I838" s="75"/>
      <c r="J838" s="75"/>
      <c r="K838" s="75"/>
      <c r="L838" s="74"/>
      <c r="M838" s="76"/>
      <c r="N838" s="75"/>
      <c r="O838" s="75"/>
      <c r="P838" s="75"/>
    </row>
    <row r="839" spans="1:16" ht="15.75" customHeight="1">
      <c r="A839" s="71"/>
      <c r="B839" s="72"/>
      <c r="C839" s="73"/>
      <c r="D839" s="72"/>
      <c r="E839" s="73"/>
      <c r="F839" s="74"/>
      <c r="G839" s="72"/>
      <c r="H839" s="73"/>
      <c r="I839" s="75"/>
      <c r="J839" s="75"/>
      <c r="K839" s="75"/>
      <c r="L839" s="74"/>
      <c r="M839" s="76"/>
      <c r="N839" s="75"/>
      <c r="O839" s="75"/>
      <c r="P839" s="75"/>
    </row>
    <row r="840" spans="1:16" ht="15.75" customHeight="1">
      <c r="A840" s="71"/>
      <c r="B840" s="72"/>
      <c r="C840" s="73"/>
      <c r="D840" s="72"/>
      <c r="E840" s="73"/>
      <c r="F840" s="74"/>
      <c r="G840" s="72"/>
      <c r="H840" s="73"/>
      <c r="I840" s="75"/>
      <c r="J840" s="75"/>
      <c r="K840" s="75"/>
      <c r="L840" s="74"/>
      <c r="M840" s="76"/>
      <c r="N840" s="75"/>
      <c r="O840" s="75"/>
      <c r="P840" s="75"/>
    </row>
    <row r="841" spans="1:16" ht="15.75" customHeight="1">
      <c r="A841" s="71"/>
      <c r="B841" s="72"/>
      <c r="C841" s="73"/>
      <c r="D841" s="72"/>
      <c r="E841" s="73"/>
      <c r="F841" s="74"/>
      <c r="G841" s="72"/>
      <c r="H841" s="73"/>
      <c r="I841" s="75"/>
      <c r="J841" s="75"/>
      <c r="K841" s="75"/>
      <c r="L841" s="74"/>
      <c r="M841" s="76"/>
      <c r="N841" s="75"/>
      <c r="O841" s="75"/>
      <c r="P841" s="75"/>
    </row>
    <row r="842" spans="1:16" ht="15.75" customHeight="1">
      <c r="A842" s="71"/>
      <c r="B842" s="72"/>
      <c r="C842" s="73"/>
      <c r="D842" s="72"/>
      <c r="E842" s="73"/>
      <c r="F842" s="74"/>
      <c r="G842" s="72"/>
      <c r="H842" s="73"/>
      <c r="I842" s="75"/>
      <c r="J842" s="75"/>
      <c r="K842" s="75"/>
      <c r="L842" s="74"/>
      <c r="M842" s="76"/>
      <c r="N842" s="75"/>
      <c r="O842" s="75"/>
      <c r="P842" s="75"/>
    </row>
    <row r="843" spans="1:16" ht="15.75" customHeight="1">
      <c r="A843" s="71"/>
      <c r="B843" s="72"/>
      <c r="C843" s="73"/>
      <c r="D843" s="72"/>
      <c r="E843" s="73"/>
      <c r="F843" s="74"/>
      <c r="G843" s="72"/>
      <c r="H843" s="73"/>
      <c r="I843" s="75"/>
      <c r="J843" s="75"/>
      <c r="K843" s="75"/>
      <c r="L843" s="74"/>
      <c r="M843" s="76"/>
      <c r="N843" s="75"/>
      <c r="O843" s="75"/>
      <c r="P843" s="75"/>
    </row>
    <row r="844" spans="1:16" ht="15.75" customHeight="1">
      <c r="A844" s="71"/>
      <c r="B844" s="72"/>
      <c r="C844" s="73"/>
      <c r="D844" s="72"/>
      <c r="E844" s="73"/>
      <c r="F844" s="74"/>
      <c r="G844" s="72"/>
      <c r="H844" s="73"/>
      <c r="I844" s="75"/>
      <c r="J844" s="75"/>
      <c r="K844" s="75"/>
      <c r="L844" s="74"/>
      <c r="M844" s="76"/>
      <c r="N844" s="75"/>
      <c r="O844" s="75"/>
      <c r="P844" s="75"/>
    </row>
    <row r="845" spans="1:16" ht="15.75" customHeight="1">
      <c r="A845" s="71"/>
      <c r="B845" s="72"/>
      <c r="C845" s="73"/>
      <c r="D845" s="72"/>
      <c r="E845" s="73"/>
      <c r="F845" s="74"/>
      <c r="G845" s="72"/>
      <c r="H845" s="73"/>
      <c r="I845" s="75"/>
      <c r="J845" s="75"/>
      <c r="K845" s="75"/>
      <c r="L845" s="74"/>
      <c r="M845" s="76"/>
      <c r="N845" s="75"/>
      <c r="O845" s="75"/>
      <c r="P845" s="75"/>
    </row>
    <row r="846" spans="1:16" ht="15.75" customHeight="1">
      <c r="A846" s="71"/>
      <c r="B846" s="72"/>
      <c r="C846" s="73"/>
      <c r="D846" s="72"/>
      <c r="E846" s="73"/>
      <c r="F846" s="74"/>
      <c r="G846" s="72"/>
      <c r="H846" s="73"/>
      <c r="I846" s="75"/>
      <c r="J846" s="75"/>
      <c r="K846" s="75"/>
      <c r="L846" s="74"/>
      <c r="M846" s="76"/>
      <c r="N846" s="75"/>
      <c r="O846" s="75"/>
      <c r="P846" s="75"/>
    </row>
    <row r="847" spans="1:16" ht="15.75" customHeight="1">
      <c r="A847" s="71"/>
      <c r="B847" s="72"/>
      <c r="C847" s="73"/>
      <c r="D847" s="72"/>
      <c r="E847" s="73"/>
      <c r="F847" s="74"/>
      <c r="G847" s="72"/>
      <c r="H847" s="73"/>
      <c r="I847" s="75"/>
      <c r="J847" s="75"/>
      <c r="K847" s="75"/>
      <c r="L847" s="74"/>
      <c r="M847" s="76"/>
      <c r="N847" s="75"/>
      <c r="O847" s="75"/>
      <c r="P847" s="75"/>
    </row>
    <row r="848" spans="1:16" ht="15.75" customHeight="1">
      <c r="A848" s="71"/>
      <c r="B848" s="72"/>
      <c r="C848" s="73"/>
      <c r="D848" s="72"/>
      <c r="E848" s="73"/>
      <c r="F848" s="74"/>
      <c r="G848" s="72"/>
      <c r="H848" s="73"/>
      <c r="I848" s="75"/>
      <c r="J848" s="75"/>
      <c r="K848" s="75"/>
      <c r="L848" s="74"/>
      <c r="M848" s="76"/>
      <c r="N848" s="75"/>
      <c r="O848" s="75"/>
      <c r="P848" s="75"/>
    </row>
    <row r="849" spans="1:16" ht="15.75" customHeight="1">
      <c r="A849" s="71"/>
      <c r="B849" s="72"/>
      <c r="C849" s="73"/>
      <c r="D849" s="72"/>
      <c r="E849" s="73"/>
      <c r="F849" s="74"/>
      <c r="G849" s="72"/>
      <c r="H849" s="73"/>
      <c r="I849" s="75"/>
      <c r="J849" s="75"/>
      <c r="K849" s="75"/>
      <c r="L849" s="74"/>
      <c r="M849" s="76"/>
      <c r="N849" s="75"/>
      <c r="O849" s="75"/>
      <c r="P849" s="75"/>
    </row>
    <row r="850" spans="1:16" ht="15.75" customHeight="1">
      <c r="A850" s="71"/>
      <c r="B850" s="72"/>
      <c r="C850" s="73"/>
      <c r="D850" s="72"/>
      <c r="E850" s="73"/>
      <c r="F850" s="74"/>
      <c r="G850" s="72"/>
      <c r="H850" s="73"/>
      <c r="I850" s="75"/>
      <c r="J850" s="75"/>
      <c r="K850" s="75"/>
      <c r="L850" s="74"/>
      <c r="M850" s="76"/>
      <c r="N850" s="75"/>
      <c r="O850" s="75"/>
      <c r="P850" s="75"/>
    </row>
    <row r="851" spans="1:16" ht="15.75" customHeight="1">
      <c r="A851" s="71"/>
      <c r="B851" s="72"/>
      <c r="C851" s="73"/>
      <c r="D851" s="72"/>
      <c r="E851" s="73"/>
      <c r="F851" s="74"/>
      <c r="G851" s="72"/>
      <c r="H851" s="73"/>
      <c r="I851" s="75"/>
      <c r="J851" s="75"/>
      <c r="K851" s="75"/>
      <c r="L851" s="74"/>
      <c r="M851" s="76"/>
      <c r="N851" s="75"/>
      <c r="O851" s="75"/>
      <c r="P851" s="75"/>
    </row>
    <row r="852" spans="1:16" ht="15.75" customHeight="1">
      <c r="A852" s="71"/>
      <c r="B852" s="72"/>
      <c r="C852" s="73"/>
      <c r="D852" s="72"/>
      <c r="E852" s="73"/>
      <c r="F852" s="74"/>
      <c r="G852" s="72"/>
      <c r="H852" s="73"/>
      <c r="I852" s="75"/>
      <c r="J852" s="75"/>
      <c r="K852" s="75"/>
      <c r="L852" s="74"/>
      <c r="M852" s="76"/>
      <c r="N852" s="75"/>
      <c r="O852" s="75"/>
      <c r="P852" s="75"/>
    </row>
    <row r="853" spans="1:16" ht="15.75" customHeight="1">
      <c r="A853" s="71"/>
      <c r="B853" s="72"/>
      <c r="C853" s="73"/>
      <c r="D853" s="72"/>
      <c r="E853" s="73"/>
      <c r="F853" s="74"/>
      <c r="G853" s="72"/>
      <c r="H853" s="73"/>
      <c r="I853" s="75"/>
      <c r="J853" s="75"/>
      <c r="K853" s="75"/>
      <c r="L853" s="74"/>
      <c r="M853" s="76"/>
      <c r="N853" s="75"/>
      <c r="O853" s="75"/>
      <c r="P853" s="75"/>
    </row>
    <row r="854" spans="1:16" ht="15.75" customHeight="1">
      <c r="A854" s="71"/>
      <c r="B854" s="72"/>
      <c r="C854" s="73"/>
      <c r="D854" s="72"/>
      <c r="E854" s="73"/>
      <c r="F854" s="74"/>
      <c r="G854" s="72"/>
      <c r="H854" s="73"/>
      <c r="I854" s="75"/>
      <c r="J854" s="75"/>
      <c r="K854" s="75"/>
      <c r="L854" s="74"/>
      <c r="M854" s="76"/>
      <c r="N854" s="75"/>
      <c r="O854" s="75"/>
      <c r="P854" s="75"/>
    </row>
    <row r="855" spans="1:16" ht="15.75" customHeight="1">
      <c r="A855" s="71"/>
      <c r="B855" s="72"/>
      <c r="C855" s="73"/>
      <c r="D855" s="72"/>
      <c r="E855" s="73"/>
      <c r="F855" s="74"/>
      <c r="G855" s="72"/>
      <c r="H855" s="73"/>
      <c r="I855" s="75"/>
      <c r="J855" s="75"/>
      <c r="K855" s="75"/>
      <c r="L855" s="74"/>
      <c r="M855" s="76"/>
      <c r="N855" s="75"/>
      <c r="O855" s="75"/>
      <c r="P855" s="75"/>
    </row>
    <row r="856" spans="1:16" ht="15.75" customHeight="1">
      <c r="A856" s="71"/>
      <c r="B856" s="72"/>
      <c r="C856" s="73"/>
      <c r="D856" s="72"/>
      <c r="E856" s="73"/>
      <c r="F856" s="74"/>
      <c r="G856" s="72"/>
      <c r="H856" s="73"/>
      <c r="I856" s="75"/>
      <c r="J856" s="75"/>
      <c r="K856" s="75"/>
      <c r="L856" s="74"/>
      <c r="M856" s="76"/>
      <c r="N856" s="75"/>
      <c r="O856" s="75"/>
      <c r="P856" s="75"/>
    </row>
    <row r="857" spans="1:16" ht="15.75" customHeight="1">
      <c r="A857" s="71"/>
      <c r="B857" s="72"/>
      <c r="C857" s="73"/>
      <c r="D857" s="72"/>
      <c r="E857" s="73"/>
      <c r="F857" s="74"/>
      <c r="G857" s="72"/>
      <c r="H857" s="73"/>
      <c r="I857" s="75"/>
      <c r="J857" s="75"/>
      <c r="K857" s="75"/>
      <c r="L857" s="74"/>
      <c r="M857" s="76"/>
      <c r="N857" s="75"/>
      <c r="O857" s="75"/>
      <c r="P857" s="75"/>
    </row>
    <row r="858" spans="1:16" ht="15.75" customHeight="1">
      <c r="A858" s="71"/>
      <c r="B858" s="72"/>
      <c r="C858" s="73"/>
      <c r="D858" s="72"/>
      <c r="E858" s="73"/>
      <c r="F858" s="74"/>
      <c r="G858" s="72"/>
      <c r="H858" s="73"/>
      <c r="I858" s="75"/>
      <c r="J858" s="75"/>
      <c r="K858" s="75"/>
      <c r="L858" s="74"/>
      <c r="M858" s="76"/>
      <c r="N858" s="75"/>
      <c r="O858" s="75"/>
      <c r="P858" s="75"/>
    </row>
    <row r="859" spans="1:16" ht="15.75" customHeight="1">
      <c r="A859" s="71"/>
      <c r="B859" s="72"/>
      <c r="C859" s="73"/>
      <c r="D859" s="72"/>
      <c r="E859" s="73"/>
      <c r="F859" s="74"/>
      <c r="G859" s="72"/>
      <c r="H859" s="73"/>
      <c r="I859" s="75"/>
      <c r="J859" s="75"/>
      <c r="K859" s="75"/>
      <c r="L859" s="74"/>
      <c r="M859" s="76"/>
      <c r="N859" s="75"/>
      <c r="O859" s="75"/>
      <c r="P859" s="75"/>
    </row>
    <row r="860" spans="1:16" ht="15.75" customHeight="1">
      <c r="A860" s="71"/>
      <c r="B860" s="72"/>
      <c r="C860" s="73"/>
      <c r="D860" s="72"/>
      <c r="E860" s="73"/>
      <c r="F860" s="74"/>
      <c r="G860" s="72"/>
      <c r="H860" s="73"/>
      <c r="I860" s="75"/>
      <c r="J860" s="75"/>
      <c r="K860" s="75"/>
      <c r="L860" s="74"/>
      <c r="M860" s="76"/>
      <c r="N860" s="75"/>
      <c r="O860" s="75"/>
      <c r="P860" s="75"/>
    </row>
    <row r="861" spans="1:16" ht="15.75" customHeight="1">
      <c r="A861" s="71"/>
      <c r="B861" s="72"/>
      <c r="C861" s="73"/>
      <c r="D861" s="72"/>
      <c r="E861" s="73"/>
      <c r="F861" s="74"/>
      <c r="G861" s="72"/>
      <c r="H861" s="73"/>
      <c r="I861" s="75"/>
      <c r="J861" s="75"/>
      <c r="K861" s="75"/>
      <c r="L861" s="74"/>
      <c r="M861" s="76"/>
      <c r="N861" s="75"/>
      <c r="O861" s="75"/>
      <c r="P861" s="75"/>
    </row>
    <row r="862" spans="1:16" ht="15.75" customHeight="1">
      <c r="A862" s="71"/>
      <c r="B862" s="72"/>
      <c r="C862" s="73"/>
      <c r="D862" s="72"/>
      <c r="E862" s="73"/>
      <c r="F862" s="74"/>
      <c r="G862" s="72"/>
      <c r="H862" s="73"/>
      <c r="I862" s="75"/>
      <c r="J862" s="75"/>
      <c r="K862" s="75"/>
      <c r="L862" s="74"/>
      <c r="M862" s="76"/>
      <c r="N862" s="75"/>
      <c r="O862" s="75"/>
      <c r="P862" s="75"/>
    </row>
    <row r="863" spans="1:16" ht="15.75" customHeight="1">
      <c r="A863" s="71"/>
      <c r="B863" s="72"/>
      <c r="C863" s="73"/>
      <c r="D863" s="72"/>
      <c r="E863" s="73"/>
      <c r="F863" s="74"/>
      <c r="G863" s="72"/>
      <c r="H863" s="73"/>
      <c r="I863" s="75"/>
      <c r="J863" s="75"/>
      <c r="K863" s="75"/>
      <c r="L863" s="74"/>
      <c r="M863" s="76"/>
      <c r="N863" s="75"/>
      <c r="O863" s="75"/>
      <c r="P863" s="75"/>
    </row>
    <row r="864" spans="1:16" ht="15.75" customHeight="1">
      <c r="A864" s="71"/>
      <c r="B864" s="72"/>
      <c r="C864" s="73"/>
      <c r="D864" s="72"/>
      <c r="E864" s="73"/>
      <c r="F864" s="74"/>
      <c r="G864" s="72"/>
      <c r="H864" s="73"/>
      <c r="I864" s="75"/>
      <c r="J864" s="75"/>
      <c r="K864" s="75"/>
      <c r="L864" s="74"/>
      <c r="M864" s="76"/>
      <c r="N864" s="75"/>
      <c r="O864" s="75"/>
      <c r="P864" s="75"/>
    </row>
    <row r="865" spans="1:16" ht="15.75" customHeight="1">
      <c r="A865" s="71"/>
      <c r="B865" s="72"/>
      <c r="C865" s="73"/>
      <c r="D865" s="72"/>
      <c r="E865" s="73"/>
      <c r="F865" s="74"/>
      <c r="G865" s="72"/>
      <c r="H865" s="73"/>
      <c r="I865" s="75"/>
      <c r="J865" s="75"/>
      <c r="K865" s="75"/>
      <c r="L865" s="74"/>
      <c r="M865" s="76"/>
      <c r="N865" s="75"/>
      <c r="O865" s="75"/>
      <c r="P865" s="75"/>
    </row>
    <row r="866" spans="1:16" ht="15.75" customHeight="1">
      <c r="A866" s="71"/>
      <c r="B866" s="72"/>
      <c r="C866" s="73"/>
      <c r="D866" s="72"/>
      <c r="E866" s="73"/>
      <c r="F866" s="74"/>
      <c r="G866" s="72"/>
      <c r="H866" s="73"/>
      <c r="I866" s="75"/>
      <c r="J866" s="75"/>
      <c r="K866" s="75"/>
      <c r="L866" s="74"/>
      <c r="M866" s="76"/>
      <c r="N866" s="75"/>
      <c r="O866" s="75"/>
      <c r="P866" s="75"/>
    </row>
    <row r="867" spans="1:16" ht="15.75" customHeight="1">
      <c r="A867" s="71"/>
      <c r="B867" s="72"/>
      <c r="C867" s="73"/>
      <c r="D867" s="72"/>
      <c r="E867" s="73"/>
      <c r="F867" s="74"/>
      <c r="G867" s="72"/>
      <c r="H867" s="73"/>
      <c r="I867" s="75"/>
      <c r="J867" s="75"/>
      <c r="K867" s="75"/>
      <c r="L867" s="74"/>
      <c r="M867" s="76"/>
      <c r="N867" s="75"/>
      <c r="O867" s="75"/>
      <c r="P867" s="75"/>
    </row>
    <row r="868" spans="1:16" ht="15.75" customHeight="1">
      <c r="A868" s="71"/>
      <c r="B868" s="72"/>
      <c r="C868" s="73"/>
      <c r="D868" s="72"/>
      <c r="E868" s="73"/>
      <c r="F868" s="74"/>
      <c r="G868" s="72"/>
      <c r="H868" s="73"/>
      <c r="I868" s="75"/>
      <c r="J868" s="75"/>
      <c r="K868" s="75"/>
      <c r="L868" s="74"/>
      <c r="M868" s="76"/>
      <c r="N868" s="75"/>
      <c r="O868" s="75"/>
      <c r="P868" s="75"/>
    </row>
    <row r="869" spans="1:16" ht="15.75" customHeight="1">
      <c r="A869" s="71"/>
      <c r="B869" s="72"/>
      <c r="C869" s="73"/>
      <c r="D869" s="72"/>
      <c r="E869" s="73"/>
      <c r="F869" s="74"/>
      <c r="G869" s="72"/>
      <c r="H869" s="73"/>
      <c r="I869" s="75"/>
      <c r="J869" s="75"/>
      <c r="K869" s="75"/>
      <c r="L869" s="74"/>
      <c r="M869" s="76"/>
      <c r="N869" s="75"/>
      <c r="O869" s="75"/>
      <c r="P869" s="75"/>
    </row>
    <row r="870" spans="1:16" ht="15.75" customHeight="1">
      <c r="A870" s="71"/>
      <c r="B870" s="72"/>
      <c r="C870" s="73"/>
      <c r="D870" s="72"/>
      <c r="E870" s="73"/>
      <c r="F870" s="74"/>
      <c r="G870" s="72"/>
      <c r="H870" s="73"/>
      <c r="I870" s="75"/>
      <c r="J870" s="75"/>
      <c r="K870" s="75"/>
      <c r="L870" s="74"/>
      <c r="M870" s="76"/>
      <c r="N870" s="75"/>
      <c r="O870" s="75"/>
      <c r="P870" s="75"/>
    </row>
    <row r="871" spans="1:16" ht="15.75" customHeight="1">
      <c r="A871" s="71"/>
      <c r="B871" s="72"/>
      <c r="C871" s="73"/>
      <c r="D871" s="72"/>
      <c r="E871" s="73"/>
      <c r="F871" s="74"/>
      <c r="G871" s="72"/>
      <c r="H871" s="73"/>
      <c r="I871" s="75"/>
      <c r="J871" s="75"/>
      <c r="K871" s="75"/>
      <c r="L871" s="74"/>
      <c r="M871" s="76"/>
      <c r="N871" s="75"/>
      <c r="O871" s="75"/>
      <c r="P871" s="75"/>
    </row>
    <row r="872" spans="1:16" ht="15.75" customHeight="1">
      <c r="A872" s="71"/>
      <c r="B872" s="72"/>
      <c r="C872" s="73"/>
      <c r="D872" s="72"/>
      <c r="E872" s="73"/>
      <c r="F872" s="74"/>
      <c r="G872" s="72"/>
      <c r="H872" s="73"/>
      <c r="I872" s="75"/>
      <c r="J872" s="75"/>
      <c r="K872" s="75"/>
      <c r="L872" s="74"/>
      <c r="M872" s="76"/>
      <c r="N872" s="75"/>
      <c r="O872" s="75"/>
      <c r="P872" s="75"/>
    </row>
    <row r="873" spans="1:16" ht="15.75" customHeight="1">
      <c r="A873" s="71"/>
      <c r="B873" s="72"/>
      <c r="C873" s="73"/>
      <c r="D873" s="72"/>
      <c r="E873" s="73"/>
      <c r="F873" s="74"/>
      <c r="G873" s="72"/>
      <c r="H873" s="73"/>
      <c r="I873" s="75"/>
      <c r="J873" s="75"/>
      <c r="K873" s="75"/>
      <c r="L873" s="74"/>
      <c r="M873" s="76"/>
      <c r="N873" s="75"/>
      <c r="O873" s="75"/>
      <c r="P873" s="75"/>
    </row>
    <row r="874" spans="1:16" ht="15.75" customHeight="1">
      <c r="A874" s="71"/>
      <c r="B874" s="72"/>
      <c r="C874" s="73"/>
      <c r="D874" s="72"/>
      <c r="E874" s="73"/>
      <c r="F874" s="74"/>
      <c r="G874" s="72"/>
      <c r="H874" s="73"/>
      <c r="I874" s="75"/>
      <c r="J874" s="75"/>
      <c r="K874" s="75"/>
      <c r="L874" s="74"/>
      <c r="M874" s="76"/>
      <c r="N874" s="75"/>
      <c r="O874" s="75"/>
      <c r="P874" s="75"/>
    </row>
    <row r="875" spans="1:16" ht="15.75" customHeight="1">
      <c r="A875" s="71"/>
      <c r="B875" s="72"/>
      <c r="C875" s="73"/>
      <c r="D875" s="72"/>
      <c r="E875" s="73"/>
      <c r="F875" s="74"/>
      <c r="G875" s="72"/>
      <c r="H875" s="73"/>
      <c r="I875" s="75"/>
      <c r="J875" s="75"/>
      <c r="K875" s="75"/>
      <c r="L875" s="74"/>
      <c r="M875" s="76"/>
      <c r="N875" s="75"/>
      <c r="O875" s="75"/>
      <c r="P875" s="75"/>
    </row>
    <row r="876" spans="1:16" ht="15.75" customHeight="1">
      <c r="A876" s="71"/>
      <c r="B876" s="72"/>
      <c r="C876" s="73"/>
      <c r="D876" s="72"/>
      <c r="E876" s="73"/>
      <c r="F876" s="74"/>
      <c r="G876" s="72"/>
      <c r="H876" s="73"/>
      <c r="I876" s="75"/>
      <c r="J876" s="75"/>
      <c r="K876" s="75"/>
      <c r="L876" s="74"/>
      <c r="M876" s="76"/>
      <c r="N876" s="75"/>
      <c r="O876" s="75"/>
      <c r="P876" s="75"/>
    </row>
    <row r="877" spans="1:16" ht="15.75" customHeight="1">
      <c r="A877" s="71"/>
      <c r="B877" s="72"/>
      <c r="C877" s="73"/>
      <c r="D877" s="72"/>
      <c r="E877" s="73"/>
      <c r="F877" s="74"/>
      <c r="G877" s="72"/>
      <c r="H877" s="73"/>
      <c r="I877" s="75"/>
      <c r="J877" s="75"/>
      <c r="K877" s="75"/>
      <c r="L877" s="74"/>
      <c r="M877" s="76"/>
      <c r="N877" s="75"/>
      <c r="O877" s="75"/>
      <c r="P877" s="75"/>
    </row>
    <row r="878" spans="1:16" ht="15.75" customHeight="1">
      <c r="A878" s="71"/>
      <c r="B878" s="72"/>
      <c r="C878" s="73"/>
      <c r="D878" s="72"/>
      <c r="E878" s="73"/>
      <c r="F878" s="74"/>
      <c r="G878" s="72"/>
      <c r="H878" s="73"/>
      <c r="I878" s="75"/>
      <c r="J878" s="75"/>
      <c r="K878" s="75"/>
      <c r="L878" s="74"/>
      <c r="M878" s="76"/>
      <c r="N878" s="75"/>
      <c r="O878" s="75"/>
      <c r="P878" s="75"/>
    </row>
    <row r="879" spans="1:16" ht="15.75" customHeight="1">
      <c r="A879" s="71"/>
      <c r="B879" s="72"/>
      <c r="C879" s="73"/>
      <c r="D879" s="72"/>
      <c r="E879" s="73"/>
      <c r="F879" s="74"/>
      <c r="G879" s="72"/>
      <c r="H879" s="73"/>
      <c r="I879" s="75"/>
      <c r="J879" s="75"/>
      <c r="K879" s="75"/>
      <c r="L879" s="74"/>
      <c r="M879" s="76"/>
      <c r="N879" s="75"/>
      <c r="O879" s="75"/>
      <c r="P879" s="75"/>
    </row>
    <row r="880" spans="1:16" ht="15.75" customHeight="1">
      <c r="A880" s="71"/>
      <c r="B880" s="72"/>
      <c r="C880" s="73"/>
      <c r="D880" s="72"/>
      <c r="E880" s="73"/>
      <c r="F880" s="74"/>
      <c r="G880" s="72"/>
      <c r="H880" s="73"/>
      <c r="I880" s="75"/>
      <c r="J880" s="75"/>
      <c r="K880" s="75"/>
      <c r="L880" s="74"/>
      <c r="M880" s="76"/>
      <c r="N880" s="75"/>
      <c r="O880" s="75"/>
      <c r="P880" s="75"/>
    </row>
    <row r="881" spans="1:16" ht="15.75" customHeight="1">
      <c r="A881" s="71"/>
      <c r="B881" s="72"/>
      <c r="C881" s="73"/>
      <c r="D881" s="72"/>
      <c r="E881" s="73"/>
      <c r="F881" s="74"/>
      <c r="G881" s="72"/>
      <c r="H881" s="73"/>
      <c r="I881" s="75"/>
      <c r="J881" s="75"/>
      <c r="K881" s="75"/>
      <c r="L881" s="74"/>
      <c r="M881" s="76"/>
      <c r="N881" s="75"/>
      <c r="O881" s="75"/>
      <c r="P881" s="75"/>
    </row>
    <row r="882" spans="1:16" ht="15.75" customHeight="1">
      <c r="A882" s="71"/>
      <c r="B882" s="72"/>
      <c r="C882" s="73"/>
      <c r="D882" s="72"/>
      <c r="E882" s="73"/>
      <c r="F882" s="74"/>
      <c r="G882" s="72"/>
      <c r="H882" s="73"/>
      <c r="I882" s="75"/>
      <c r="J882" s="75"/>
      <c r="K882" s="75"/>
      <c r="L882" s="74"/>
      <c r="M882" s="76"/>
      <c r="N882" s="75"/>
      <c r="O882" s="75"/>
      <c r="P882" s="75"/>
    </row>
    <row r="883" spans="1:16" ht="15.75" customHeight="1">
      <c r="A883" s="71"/>
      <c r="B883" s="72"/>
      <c r="C883" s="73"/>
      <c r="D883" s="72"/>
      <c r="E883" s="73"/>
      <c r="F883" s="74"/>
      <c r="G883" s="72"/>
      <c r="H883" s="73"/>
      <c r="I883" s="75"/>
      <c r="J883" s="75"/>
      <c r="K883" s="75"/>
      <c r="L883" s="74"/>
      <c r="M883" s="76"/>
      <c r="N883" s="75"/>
      <c r="O883" s="75"/>
      <c r="P883" s="75"/>
    </row>
    <row r="884" spans="1:16" ht="15.75" customHeight="1">
      <c r="A884" s="71"/>
      <c r="B884" s="72"/>
      <c r="C884" s="73"/>
      <c r="D884" s="72"/>
      <c r="E884" s="73"/>
      <c r="F884" s="74"/>
      <c r="G884" s="72"/>
      <c r="H884" s="73"/>
      <c r="I884" s="75"/>
      <c r="J884" s="75"/>
      <c r="K884" s="75"/>
      <c r="L884" s="74"/>
      <c r="M884" s="76"/>
      <c r="N884" s="75"/>
      <c r="O884" s="75"/>
      <c r="P884" s="75"/>
    </row>
    <row r="885" spans="1:16" ht="15.75" customHeight="1">
      <c r="A885" s="71"/>
      <c r="B885" s="72"/>
      <c r="C885" s="73"/>
      <c r="D885" s="72"/>
      <c r="E885" s="73"/>
      <c r="F885" s="74"/>
      <c r="G885" s="72"/>
      <c r="H885" s="73"/>
      <c r="I885" s="75"/>
      <c r="J885" s="75"/>
      <c r="K885" s="75"/>
      <c r="L885" s="74"/>
      <c r="M885" s="76"/>
      <c r="N885" s="75"/>
      <c r="O885" s="75"/>
      <c r="P885" s="75"/>
    </row>
    <row r="886" spans="1:16" ht="15.75" customHeight="1">
      <c r="A886" s="71"/>
      <c r="B886" s="72"/>
      <c r="C886" s="73"/>
      <c r="D886" s="72"/>
      <c r="E886" s="73"/>
      <c r="F886" s="74"/>
      <c r="G886" s="72"/>
      <c r="H886" s="73"/>
      <c r="I886" s="75"/>
      <c r="J886" s="75"/>
      <c r="K886" s="75"/>
      <c r="L886" s="74"/>
      <c r="M886" s="76"/>
      <c r="N886" s="75"/>
      <c r="O886" s="75"/>
      <c r="P886" s="75"/>
    </row>
    <row r="887" spans="1:16" ht="15.75" customHeight="1">
      <c r="A887" s="71"/>
      <c r="B887" s="72"/>
      <c r="C887" s="73"/>
      <c r="D887" s="72"/>
      <c r="E887" s="73"/>
      <c r="F887" s="74"/>
      <c r="G887" s="72"/>
      <c r="H887" s="73"/>
      <c r="I887" s="75"/>
      <c r="J887" s="75"/>
      <c r="K887" s="75"/>
      <c r="L887" s="74"/>
      <c r="M887" s="76"/>
      <c r="N887" s="75"/>
      <c r="O887" s="75"/>
      <c r="P887" s="75"/>
    </row>
    <row r="888" spans="1:16" ht="15.75" customHeight="1">
      <c r="A888" s="71"/>
      <c r="B888" s="72"/>
      <c r="C888" s="73"/>
      <c r="D888" s="72"/>
      <c r="E888" s="73"/>
      <c r="F888" s="74"/>
      <c r="G888" s="72"/>
      <c r="H888" s="73"/>
      <c r="I888" s="75"/>
      <c r="J888" s="75"/>
      <c r="K888" s="75"/>
      <c r="L888" s="74"/>
      <c r="M888" s="76"/>
      <c r="N888" s="75"/>
      <c r="O888" s="75"/>
      <c r="P888" s="75"/>
    </row>
    <row r="889" spans="1:16" ht="15.75" customHeight="1">
      <c r="A889" s="71"/>
      <c r="B889" s="72"/>
      <c r="C889" s="73"/>
      <c r="D889" s="72"/>
      <c r="E889" s="73"/>
      <c r="F889" s="74"/>
      <c r="G889" s="72"/>
      <c r="H889" s="73"/>
      <c r="I889" s="75"/>
      <c r="J889" s="75"/>
      <c r="K889" s="75"/>
      <c r="L889" s="74"/>
      <c r="M889" s="76"/>
      <c r="N889" s="75"/>
      <c r="O889" s="75"/>
      <c r="P889" s="75"/>
    </row>
    <row r="890" spans="1:16" ht="15.75" customHeight="1">
      <c r="A890" s="71"/>
      <c r="B890" s="72"/>
      <c r="C890" s="73"/>
      <c r="D890" s="72"/>
      <c r="E890" s="73"/>
      <c r="F890" s="74"/>
      <c r="G890" s="72"/>
      <c r="H890" s="73"/>
      <c r="I890" s="75"/>
      <c r="J890" s="75"/>
      <c r="K890" s="75"/>
      <c r="L890" s="74"/>
      <c r="M890" s="76"/>
      <c r="N890" s="75"/>
      <c r="O890" s="75"/>
      <c r="P890" s="75"/>
    </row>
    <row r="891" spans="1:16" ht="15.75" customHeight="1">
      <c r="A891" s="71"/>
      <c r="B891" s="72"/>
      <c r="C891" s="73"/>
      <c r="D891" s="72"/>
      <c r="E891" s="73"/>
      <c r="F891" s="74"/>
      <c r="G891" s="72"/>
      <c r="H891" s="73"/>
      <c r="I891" s="75"/>
      <c r="J891" s="75"/>
      <c r="K891" s="75"/>
      <c r="L891" s="74"/>
      <c r="M891" s="76"/>
      <c r="N891" s="75"/>
      <c r="O891" s="75"/>
      <c r="P891" s="75"/>
    </row>
    <row r="892" spans="1:16" ht="15.75" customHeight="1">
      <c r="A892" s="71"/>
      <c r="B892" s="72"/>
      <c r="C892" s="73"/>
      <c r="D892" s="72"/>
      <c r="E892" s="73"/>
      <c r="F892" s="74"/>
      <c r="G892" s="72"/>
      <c r="H892" s="73"/>
      <c r="I892" s="75"/>
      <c r="J892" s="75"/>
      <c r="K892" s="75"/>
      <c r="L892" s="74"/>
      <c r="M892" s="76"/>
      <c r="N892" s="75"/>
      <c r="O892" s="75"/>
      <c r="P892" s="75"/>
    </row>
    <row r="893" spans="1:16" ht="15.75" customHeight="1">
      <c r="A893" s="71"/>
      <c r="B893" s="72"/>
      <c r="C893" s="73"/>
      <c r="D893" s="72"/>
      <c r="E893" s="73"/>
      <c r="F893" s="74"/>
      <c r="G893" s="72"/>
      <c r="H893" s="73"/>
      <c r="I893" s="75"/>
      <c r="J893" s="75"/>
      <c r="K893" s="75"/>
      <c r="L893" s="74"/>
      <c r="M893" s="76"/>
      <c r="N893" s="75"/>
      <c r="O893" s="75"/>
      <c r="P893" s="75"/>
    </row>
    <row r="894" spans="1:16" ht="15.75" customHeight="1">
      <c r="A894" s="71"/>
      <c r="B894" s="72"/>
      <c r="C894" s="73"/>
      <c r="D894" s="72"/>
      <c r="E894" s="73"/>
      <c r="F894" s="74"/>
      <c r="G894" s="72"/>
      <c r="H894" s="73"/>
      <c r="I894" s="75"/>
      <c r="J894" s="75"/>
      <c r="K894" s="75"/>
      <c r="L894" s="74"/>
      <c r="M894" s="76"/>
      <c r="N894" s="75"/>
      <c r="O894" s="75"/>
      <c r="P894" s="75"/>
    </row>
    <row r="895" spans="1:16" ht="15.75" customHeight="1">
      <c r="A895" s="71"/>
      <c r="B895" s="72"/>
      <c r="C895" s="73"/>
      <c r="D895" s="72"/>
      <c r="E895" s="73"/>
      <c r="F895" s="74"/>
      <c r="G895" s="72"/>
      <c r="H895" s="73"/>
      <c r="I895" s="75"/>
      <c r="J895" s="75"/>
      <c r="K895" s="75"/>
      <c r="L895" s="74"/>
      <c r="M895" s="76"/>
      <c r="N895" s="75"/>
      <c r="O895" s="75"/>
      <c r="P895" s="75"/>
    </row>
    <row r="896" spans="1:16" ht="15.75" customHeight="1">
      <c r="A896" s="71"/>
      <c r="B896" s="72"/>
      <c r="C896" s="73"/>
      <c r="D896" s="72"/>
      <c r="E896" s="73"/>
      <c r="F896" s="74"/>
      <c r="G896" s="72"/>
      <c r="H896" s="73"/>
      <c r="I896" s="75"/>
      <c r="J896" s="75"/>
      <c r="K896" s="75"/>
      <c r="L896" s="74"/>
      <c r="M896" s="76"/>
      <c r="N896" s="75"/>
      <c r="O896" s="75"/>
      <c r="P896" s="75"/>
    </row>
    <row r="897" spans="1:16" ht="15.75" customHeight="1">
      <c r="A897" s="71"/>
      <c r="B897" s="72"/>
      <c r="C897" s="73"/>
      <c r="D897" s="72"/>
      <c r="E897" s="73"/>
      <c r="F897" s="74"/>
      <c r="G897" s="72"/>
      <c r="H897" s="73"/>
      <c r="I897" s="75"/>
      <c r="J897" s="75"/>
      <c r="K897" s="75"/>
      <c r="L897" s="74"/>
      <c r="M897" s="76"/>
      <c r="N897" s="75"/>
      <c r="O897" s="75"/>
      <c r="P897" s="75"/>
    </row>
    <row r="898" spans="1:16" ht="15.75" customHeight="1">
      <c r="A898" s="71"/>
      <c r="B898" s="72"/>
      <c r="C898" s="73"/>
      <c r="D898" s="72"/>
      <c r="E898" s="73"/>
      <c r="F898" s="74"/>
      <c r="G898" s="72"/>
      <c r="H898" s="73"/>
      <c r="I898" s="75"/>
      <c r="J898" s="75"/>
      <c r="K898" s="75"/>
      <c r="L898" s="74"/>
      <c r="M898" s="76"/>
      <c r="N898" s="75"/>
      <c r="O898" s="75"/>
      <c r="P898" s="75"/>
    </row>
    <row r="899" spans="1:16" ht="15.75" customHeight="1">
      <c r="A899" s="71"/>
      <c r="B899" s="72"/>
      <c r="C899" s="73"/>
      <c r="D899" s="72"/>
      <c r="E899" s="73"/>
      <c r="F899" s="74"/>
      <c r="G899" s="72"/>
      <c r="H899" s="73"/>
      <c r="I899" s="75"/>
      <c r="J899" s="75"/>
      <c r="K899" s="75"/>
      <c r="L899" s="74"/>
      <c r="M899" s="76"/>
      <c r="N899" s="75"/>
      <c r="O899" s="75"/>
      <c r="P899" s="75"/>
    </row>
    <row r="900" spans="1:16" ht="15.75" customHeight="1">
      <c r="A900" s="71"/>
      <c r="B900" s="72"/>
      <c r="C900" s="73"/>
      <c r="D900" s="72"/>
      <c r="E900" s="73"/>
      <c r="F900" s="74"/>
      <c r="G900" s="72"/>
      <c r="H900" s="73"/>
      <c r="I900" s="75"/>
      <c r="J900" s="75"/>
      <c r="K900" s="75"/>
      <c r="L900" s="74"/>
      <c r="M900" s="76"/>
      <c r="N900" s="75"/>
      <c r="O900" s="75"/>
      <c r="P900" s="75"/>
    </row>
    <row r="901" spans="1:16" ht="15.75" customHeight="1">
      <c r="A901" s="71"/>
      <c r="B901" s="72"/>
      <c r="C901" s="73"/>
      <c r="D901" s="72"/>
      <c r="E901" s="73"/>
      <c r="F901" s="74"/>
      <c r="G901" s="72"/>
      <c r="H901" s="73"/>
      <c r="I901" s="75"/>
      <c r="J901" s="75"/>
      <c r="K901" s="75"/>
      <c r="L901" s="74"/>
      <c r="M901" s="76"/>
      <c r="N901" s="75"/>
      <c r="O901" s="75"/>
      <c r="P901" s="75"/>
    </row>
    <row r="902" spans="1:16" ht="15.75" customHeight="1">
      <c r="A902" s="71"/>
      <c r="B902" s="72"/>
      <c r="C902" s="73"/>
      <c r="D902" s="72"/>
      <c r="E902" s="73"/>
      <c r="F902" s="74"/>
      <c r="G902" s="72"/>
      <c r="H902" s="73"/>
      <c r="I902" s="75"/>
      <c r="J902" s="75"/>
      <c r="K902" s="75"/>
      <c r="L902" s="74"/>
      <c r="M902" s="76"/>
      <c r="N902" s="75"/>
      <c r="O902" s="75"/>
      <c r="P902" s="75"/>
    </row>
    <row r="903" spans="1:16" ht="15.75" customHeight="1">
      <c r="A903" s="71"/>
      <c r="B903" s="72"/>
      <c r="C903" s="73"/>
      <c r="D903" s="72"/>
      <c r="E903" s="73"/>
      <c r="F903" s="74"/>
      <c r="G903" s="72"/>
      <c r="H903" s="73"/>
      <c r="I903" s="75"/>
      <c r="J903" s="75"/>
      <c r="K903" s="75"/>
      <c r="L903" s="74"/>
      <c r="M903" s="76"/>
      <c r="N903" s="75"/>
      <c r="O903" s="75"/>
      <c r="P903" s="75"/>
    </row>
    <row r="904" spans="1:16" ht="15.75" customHeight="1">
      <c r="A904" s="71"/>
      <c r="B904" s="72"/>
      <c r="C904" s="73"/>
      <c r="D904" s="72"/>
      <c r="E904" s="73"/>
      <c r="F904" s="74"/>
      <c r="G904" s="72"/>
      <c r="H904" s="73"/>
      <c r="I904" s="75"/>
      <c r="J904" s="75"/>
      <c r="K904" s="75"/>
      <c r="L904" s="74"/>
      <c r="M904" s="76"/>
      <c r="N904" s="75"/>
      <c r="O904" s="75"/>
      <c r="P904" s="75"/>
    </row>
    <row r="905" spans="1:16" ht="15.75" customHeight="1">
      <c r="A905" s="71"/>
      <c r="B905" s="72"/>
      <c r="C905" s="73"/>
      <c r="D905" s="72"/>
      <c r="E905" s="73"/>
      <c r="F905" s="74"/>
      <c r="G905" s="72"/>
      <c r="H905" s="73"/>
      <c r="I905" s="75"/>
      <c r="J905" s="75"/>
      <c r="K905" s="75"/>
      <c r="L905" s="74"/>
      <c r="M905" s="76"/>
      <c r="N905" s="75"/>
      <c r="O905" s="75"/>
      <c r="P905" s="75"/>
    </row>
    <row r="906" spans="1:16" ht="15.75" customHeight="1">
      <c r="A906" s="71"/>
      <c r="B906" s="72"/>
      <c r="C906" s="73"/>
      <c r="D906" s="72"/>
      <c r="E906" s="73"/>
      <c r="F906" s="74"/>
      <c r="G906" s="72"/>
      <c r="H906" s="73"/>
      <c r="I906" s="75"/>
      <c r="J906" s="75"/>
      <c r="K906" s="75"/>
      <c r="L906" s="74"/>
      <c r="M906" s="76"/>
      <c r="N906" s="75"/>
      <c r="O906" s="75"/>
      <c r="P906" s="75"/>
    </row>
    <row r="907" spans="1:16" ht="15.75" customHeight="1">
      <c r="A907" s="71"/>
      <c r="B907" s="72"/>
      <c r="C907" s="73"/>
      <c r="D907" s="72"/>
      <c r="E907" s="73"/>
      <c r="F907" s="74"/>
      <c r="G907" s="72"/>
      <c r="H907" s="73"/>
      <c r="I907" s="75"/>
      <c r="J907" s="75"/>
      <c r="K907" s="75"/>
      <c r="L907" s="74"/>
      <c r="M907" s="76"/>
      <c r="N907" s="75"/>
      <c r="O907" s="75"/>
      <c r="P907" s="75"/>
    </row>
    <row r="908" spans="1:16" ht="15.75" customHeight="1">
      <c r="A908" s="71"/>
      <c r="B908" s="72"/>
      <c r="C908" s="73"/>
      <c r="D908" s="72"/>
      <c r="E908" s="73"/>
      <c r="F908" s="74"/>
      <c r="G908" s="72"/>
      <c r="H908" s="73"/>
      <c r="I908" s="75"/>
      <c r="J908" s="75"/>
      <c r="K908" s="75"/>
      <c r="L908" s="74"/>
      <c r="M908" s="76"/>
      <c r="N908" s="75"/>
      <c r="O908" s="75"/>
      <c r="P908" s="75"/>
    </row>
    <row r="909" spans="1:16" ht="15.75" customHeight="1">
      <c r="A909" s="71"/>
      <c r="B909" s="72"/>
      <c r="C909" s="73"/>
      <c r="D909" s="72"/>
      <c r="E909" s="73"/>
      <c r="F909" s="74"/>
      <c r="G909" s="72"/>
      <c r="H909" s="73"/>
      <c r="I909" s="75"/>
      <c r="J909" s="75"/>
      <c r="K909" s="75"/>
      <c r="L909" s="74"/>
      <c r="M909" s="76"/>
      <c r="N909" s="75"/>
      <c r="O909" s="75"/>
      <c r="P909" s="75"/>
    </row>
    <row r="910" spans="1:16" ht="15.75" customHeight="1">
      <c r="A910" s="71"/>
      <c r="B910" s="72"/>
      <c r="C910" s="73"/>
      <c r="D910" s="72"/>
      <c r="E910" s="73"/>
      <c r="F910" s="74"/>
      <c r="G910" s="72"/>
      <c r="H910" s="73"/>
      <c r="I910" s="75"/>
      <c r="J910" s="75"/>
      <c r="K910" s="75"/>
      <c r="L910" s="74"/>
      <c r="M910" s="76"/>
      <c r="N910" s="75"/>
      <c r="O910" s="75"/>
      <c r="P910" s="75"/>
    </row>
    <row r="911" spans="1:16" ht="15.75" customHeight="1">
      <c r="A911" s="71"/>
      <c r="B911" s="72"/>
      <c r="C911" s="73"/>
      <c r="D911" s="72"/>
      <c r="E911" s="73"/>
      <c r="F911" s="74"/>
      <c r="G911" s="72"/>
      <c r="H911" s="73"/>
      <c r="I911" s="75"/>
      <c r="J911" s="75"/>
      <c r="K911" s="75"/>
      <c r="L911" s="74"/>
      <c r="M911" s="76"/>
      <c r="N911" s="75"/>
      <c r="O911" s="75"/>
      <c r="P911" s="75"/>
    </row>
    <row r="912" spans="1:16" ht="15.75" customHeight="1">
      <c r="A912" s="71"/>
      <c r="B912" s="72"/>
      <c r="C912" s="73"/>
      <c r="D912" s="72"/>
      <c r="E912" s="73"/>
      <c r="F912" s="74"/>
      <c r="G912" s="72"/>
      <c r="H912" s="73"/>
      <c r="I912" s="75"/>
      <c r="J912" s="75"/>
      <c r="K912" s="75"/>
      <c r="L912" s="74"/>
      <c r="M912" s="76"/>
      <c r="N912" s="75"/>
      <c r="O912" s="75"/>
      <c r="P912" s="75"/>
    </row>
    <row r="913" spans="1:16" ht="15.75" customHeight="1">
      <c r="A913" s="71"/>
      <c r="B913" s="72"/>
      <c r="C913" s="73"/>
      <c r="D913" s="72"/>
      <c r="E913" s="73"/>
      <c r="F913" s="74"/>
      <c r="G913" s="72"/>
      <c r="H913" s="73"/>
      <c r="I913" s="75"/>
      <c r="J913" s="75"/>
      <c r="K913" s="75"/>
      <c r="L913" s="74"/>
      <c r="M913" s="76"/>
      <c r="N913" s="75"/>
      <c r="O913" s="75"/>
      <c r="P913" s="75"/>
    </row>
    <row r="914" spans="1:16" ht="15.75" customHeight="1">
      <c r="A914" s="71"/>
      <c r="B914" s="72"/>
      <c r="C914" s="73"/>
      <c r="D914" s="72"/>
      <c r="E914" s="73"/>
      <c r="F914" s="74"/>
      <c r="G914" s="72"/>
      <c r="H914" s="73"/>
      <c r="I914" s="75"/>
      <c r="J914" s="75"/>
      <c r="K914" s="75"/>
      <c r="L914" s="74"/>
      <c r="M914" s="76"/>
      <c r="N914" s="75"/>
      <c r="O914" s="75"/>
      <c r="P914" s="75"/>
    </row>
    <row r="915" spans="1:16" ht="15.75" customHeight="1">
      <c r="A915" s="71"/>
      <c r="B915" s="72"/>
      <c r="C915" s="73"/>
      <c r="D915" s="72"/>
      <c r="E915" s="73"/>
      <c r="F915" s="74"/>
      <c r="G915" s="72"/>
      <c r="H915" s="73"/>
      <c r="I915" s="75"/>
      <c r="J915" s="75"/>
      <c r="K915" s="75"/>
      <c r="L915" s="74"/>
      <c r="M915" s="76"/>
      <c r="N915" s="75"/>
      <c r="O915" s="75"/>
      <c r="P915" s="75"/>
    </row>
    <row r="916" spans="1:16" ht="15.75" customHeight="1">
      <c r="A916" s="71"/>
      <c r="B916" s="72"/>
      <c r="C916" s="73"/>
      <c r="D916" s="72"/>
      <c r="E916" s="73"/>
      <c r="F916" s="74"/>
      <c r="G916" s="72"/>
      <c r="H916" s="73"/>
      <c r="I916" s="75"/>
      <c r="J916" s="75"/>
      <c r="K916" s="75"/>
      <c r="L916" s="74"/>
      <c r="M916" s="76"/>
      <c r="N916" s="75"/>
      <c r="O916" s="75"/>
      <c r="P916" s="75"/>
    </row>
    <row r="917" spans="1:16" ht="15.75" customHeight="1">
      <c r="A917" s="71"/>
      <c r="B917" s="72"/>
      <c r="C917" s="73"/>
      <c r="D917" s="72"/>
      <c r="E917" s="73"/>
      <c r="F917" s="74"/>
      <c r="G917" s="72"/>
      <c r="H917" s="73"/>
      <c r="I917" s="75"/>
      <c r="J917" s="75"/>
      <c r="K917" s="75"/>
      <c r="L917" s="74"/>
      <c r="M917" s="76"/>
      <c r="N917" s="75"/>
      <c r="O917" s="75"/>
      <c r="P917" s="75"/>
    </row>
    <row r="918" spans="1:16" ht="15.75" customHeight="1">
      <c r="A918" s="71"/>
      <c r="B918" s="72"/>
      <c r="C918" s="73"/>
      <c r="D918" s="72"/>
      <c r="E918" s="73"/>
      <c r="F918" s="74"/>
      <c r="G918" s="72"/>
      <c r="H918" s="73"/>
      <c r="I918" s="75"/>
      <c r="J918" s="75"/>
      <c r="K918" s="75"/>
      <c r="L918" s="74"/>
      <c r="M918" s="76"/>
      <c r="N918" s="75"/>
      <c r="O918" s="75"/>
      <c r="P918" s="75"/>
    </row>
    <row r="919" spans="1:16" ht="15.75" customHeight="1">
      <c r="A919" s="71"/>
      <c r="B919" s="72"/>
      <c r="C919" s="73"/>
      <c r="D919" s="72"/>
      <c r="E919" s="73"/>
      <c r="F919" s="74"/>
      <c r="G919" s="72"/>
      <c r="H919" s="73"/>
      <c r="I919" s="75"/>
      <c r="J919" s="75"/>
      <c r="K919" s="75"/>
      <c r="L919" s="74"/>
      <c r="M919" s="76"/>
      <c r="N919" s="75"/>
      <c r="O919" s="75"/>
      <c r="P919" s="75"/>
    </row>
    <row r="920" spans="1:16" ht="15.75" customHeight="1">
      <c r="A920" s="71"/>
      <c r="B920" s="72"/>
      <c r="C920" s="73"/>
      <c r="D920" s="72"/>
      <c r="E920" s="73"/>
      <c r="F920" s="74"/>
      <c r="G920" s="72"/>
      <c r="H920" s="73"/>
      <c r="I920" s="75"/>
      <c r="J920" s="75"/>
      <c r="K920" s="75"/>
      <c r="L920" s="74"/>
      <c r="M920" s="76"/>
      <c r="N920" s="75"/>
      <c r="O920" s="75"/>
      <c r="P920" s="75"/>
    </row>
    <row r="921" spans="1:16" ht="15.75" customHeight="1">
      <c r="A921" s="71"/>
      <c r="B921" s="72"/>
      <c r="C921" s="73"/>
      <c r="D921" s="72"/>
      <c r="E921" s="73"/>
      <c r="F921" s="74"/>
      <c r="G921" s="72"/>
      <c r="H921" s="73"/>
      <c r="I921" s="75"/>
      <c r="J921" s="75"/>
      <c r="K921" s="75"/>
      <c r="L921" s="74"/>
      <c r="M921" s="76"/>
      <c r="N921" s="75"/>
      <c r="O921" s="75"/>
      <c r="P921" s="75"/>
    </row>
    <row r="922" spans="1:16" ht="15.75" customHeight="1">
      <c r="A922" s="71"/>
      <c r="B922" s="72"/>
      <c r="C922" s="73"/>
      <c r="D922" s="72"/>
      <c r="E922" s="73"/>
      <c r="F922" s="74"/>
      <c r="G922" s="72"/>
      <c r="H922" s="73"/>
      <c r="I922" s="75"/>
      <c r="J922" s="75"/>
      <c r="K922" s="75"/>
      <c r="L922" s="74"/>
      <c r="M922" s="76"/>
      <c r="N922" s="75"/>
      <c r="O922" s="75"/>
      <c r="P922" s="75"/>
    </row>
    <row r="923" spans="1:16" ht="15.75" customHeight="1">
      <c r="A923" s="71"/>
      <c r="B923" s="72"/>
      <c r="C923" s="73"/>
      <c r="D923" s="72"/>
      <c r="E923" s="73"/>
      <c r="F923" s="74"/>
      <c r="G923" s="72"/>
      <c r="H923" s="73"/>
      <c r="I923" s="75"/>
      <c r="J923" s="75"/>
      <c r="K923" s="75"/>
      <c r="L923" s="74"/>
      <c r="M923" s="76"/>
      <c r="N923" s="75"/>
      <c r="O923" s="75"/>
      <c r="P923" s="75"/>
    </row>
    <row r="924" spans="1:16" ht="15.75" customHeight="1">
      <c r="A924" s="71"/>
      <c r="B924" s="72"/>
      <c r="C924" s="73"/>
      <c r="D924" s="72"/>
      <c r="E924" s="73"/>
      <c r="F924" s="74"/>
      <c r="G924" s="72"/>
      <c r="H924" s="73"/>
      <c r="I924" s="75"/>
      <c r="J924" s="75"/>
      <c r="K924" s="75"/>
      <c r="L924" s="74"/>
      <c r="M924" s="76"/>
      <c r="N924" s="75"/>
      <c r="O924" s="75"/>
      <c r="P924" s="75"/>
    </row>
    <row r="925" spans="1:16" ht="15.75" customHeight="1">
      <c r="A925" s="71"/>
      <c r="B925" s="72"/>
      <c r="C925" s="73"/>
      <c r="D925" s="72"/>
      <c r="E925" s="73"/>
      <c r="F925" s="74"/>
      <c r="G925" s="72"/>
      <c r="H925" s="73"/>
      <c r="I925" s="75"/>
      <c r="J925" s="75"/>
      <c r="K925" s="75"/>
      <c r="L925" s="74"/>
      <c r="M925" s="76"/>
      <c r="N925" s="75"/>
      <c r="O925" s="75"/>
      <c r="P925" s="75"/>
    </row>
    <row r="926" spans="1:16" ht="15.75" customHeight="1">
      <c r="A926" s="71"/>
      <c r="B926" s="72"/>
      <c r="C926" s="73"/>
      <c r="D926" s="72"/>
      <c r="E926" s="73"/>
      <c r="F926" s="74"/>
      <c r="G926" s="72"/>
      <c r="H926" s="73"/>
      <c r="I926" s="75"/>
      <c r="J926" s="75"/>
      <c r="K926" s="75"/>
      <c r="L926" s="74"/>
      <c r="M926" s="76"/>
      <c r="N926" s="75"/>
      <c r="O926" s="75"/>
      <c r="P926" s="75"/>
    </row>
    <row r="927" spans="1:16" ht="15.75" customHeight="1">
      <c r="A927" s="71"/>
      <c r="B927" s="72"/>
      <c r="C927" s="73"/>
      <c r="D927" s="72"/>
      <c r="E927" s="73"/>
      <c r="F927" s="74"/>
      <c r="G927" s="72"/>
      <c r="H927" s="73"/>
      <c r="I927" s="75"/>
      <c r="J927" s="75"/>
      <c r="K927" s="75"/>
      <c r="L927" s="74"/>
      <c r="M927" s="76"/>
      <c r="N927" s="75"/>
      <c r="O927" s="75"/>
      <c r="P927" s="75"/>
    </row>
    <row r="928" spans="1:16" ht="15.75" customHeight="1">
      <c r="A928" s="71"/>
      <c r="B928" s="72"/>
      <c r="C928" s="73"/>
      <c r="D928" s="72"/>
      <c r="E928" s="73"/>
      <c r="F928" s="74"/>
      <c r="G928" s="72"/>
      <c r="H928" s="73"/>
      <c r="I928" s="75"/>
      <c r="J928" s="75"/>
      <c r="K928" s="75"/>
      <c r="L928" s="74"/>
      <c r="M928" s="76"/>
      <c r="N928" s="75"/>
      <c r="O928" s="75"/>
      <c r="P928" s="75"/>
    </row>
    <row r="929" spans="1:16" ht="15.75" customHeight="1">
      <c r="A929" s="71"/>
      <c r="B929" s="72"/>
      <c r="C929" s="73"/>
      <c r="D929" s="72"/>
      <c r="E929" s="73"/>
      <c r="F929" s="74"/>
      <c r="G929" s="72"/>
      <c r="H929" s="73"/>
      <c r="I929" s="75"/>
      <c r="J929" s="75"/>
      <c r="K929" s="75"/>
      <c r="L929" s="74"/>
      <c r="M929" s="76"/>
      <c r="N929" s="75"/>
      <c r="O929" s="75"/>
      <c r="P929" s="75"/>
    </row>
    <row r="930" spans="1:16" ht="15.75" customHeight="1">
      <c r="A930" s="71"/>
      <c r="B930" s="72"/>
      <c r="C930" s="73"/>
      <c r="D930" s="72"/>
      <c r="E930" s="73"/>
      <c r="F930" s="74"/>
      <c r="G930" s="72"/>
      <c r="H930" s="73"/>
      <c r="I930" s="75"/>
      <c r="J930" s="75"/>
      <c r="K930" s="75"/>
      <c r="L930" s="74"/>
      <c r="M930" s="76"/>
      <c r="N930" s="75"/>
      <c r="O930" s="75"/>
      <c r="P930" s="75"/>
    </row>
    <row r="931" spans="1:16" ht="15.75" customHeight="1">
      <c r="A931" s="71"/>
      <c r="B931" s="72"/>
      <c r="C931" s="73"/>
      <c r="D931" s="72"/>
      <c r="E931" s="73"/>
      <c r="F931" s="74"/>
      <c r="G931" s="72"/>
      <c r="H931" s="73"/>
      <c r="I931" s="75"/>
      <c r="J931" s="75"/>
      <c r="K931" s="75"/>
      <c r="L931" s="74"/>
      <c r="M931" s="76"/>
      <c r="N931" s="75"/>
      <c r="O931" s="75"/>
      <c r="P931" s="75"/>
    </row>
    <row r="932" spans="1:16" ht="15.75" customHeight="1">
      <c r="A932" s="71"/>
      <c r="B932" s="72"/>
      <c r="C932" s="73"/>
      <c r="D932" s="72"/>
      <c r="E932" s="73"/>
      <c r="F932" s="74"/>
      <c r="G932" s="72"/>
      <c r="H932" s="73"/>
      <c r="I932" s="75"/>
      <c r="J932" s="75"/>
      <c r="K932" s="75"/>
      <c r="L932" s="74"/>
      <c r="M932" s="76"/>
      <c r="N932" s="75"/>
      <c r="O932" s="75"/>
      <c r="P932" s="75"/>
    </row>
    <row r="933" spans="1:16" ht="15.75" customHeight="1">
      <c r="A933" s="71"/>
      <c r="B933" s="72"/>
      <c r="C933" s="73"/>
      <c r="D933" s="72"/>
      <c r="E933" s="73"/>
      <c r="F933" s="74"/>
      <c r="G933" s="72"/>
      <c r="H933" s="73"/>
      <c r="I933" s="75"/>
      <c r="J933" s="75"/>
      <c r="K933" s="75"/>
      <c r="L933" s="74"/>
      <c r="M933" s="76"/>
      <c r="N933" s="75"/>
      <c r="O933" s="75"/>
      <c r="P933" s="75"/>
    </row>
    <row r="934" spans="1:16" ht="15.75" customHeight="1">
      <c r="A934" s="71"/>
      <c r="B934" s="72"/>
      <c r="C934" s="73"/>
      <c r="D934" s="72"/>
      <c r="E934" s="73"/>
      <c r="F934" s="74"/>
      <c r="G934" s="72"/>
      <c r="H934" s="73"/>
      <c r="I934" s="75"/>
      <c r="J934" s="75"/>
      <c r="K934" s="75"/>
      <c r="L934" s="74"/>
      <c r="M934" s="76"/>
      <c r="N934" s="75"/>
      <c r="O934" s="75"/>
      <c r="P934" s="75"/>
    </row>
    <row r="935" spans="1:16" ht="15.75" customHeight="1">
      <c r="A935" s="71"/>
      <c r="B935" s="72"/>
      <c r="C935" s="73"/>
      <c r="D935" s="72"/>
      <c r="E935" s="73"/>
      <c r="F935" s="74"/>
      <c r="G935" s="72"/>
      <c r="H935" s="73"/>
      <c r="I935" s="75"/>
      <c r="J935" s="75"/>
      <c r="K935" s="75"/>
      <c r="L935" s="74"/>
      <c r="M935" s="76"/>
      <c r="N935" s="75"/>
      <c r="O935" s="75"/>
      <c r="P935" s="75"/>
    </row>
    <row r="936" spans="1:16" ht="15.75" customHeight="1">
      <c r="A936" s="71"/>
      <c r="B936" s="72"/>
      <c r="C936" s="73"/>
      <c r="D936" s="72"/>
      <c r="E936" s="73"/>
      <c r="F936" s="74"/>
      <c r="G936" s="72"/>
      <c r="H936" s="73"/>
      <c r="I936" s="75"/>
      <c r="J936" s="75"/>
      <c r="K936" s="75"/>
      <c r="L936" s="74"/>
      <c r="M936" s="76"/>
      <c r="N936" s="75"/>
      <c r="O936" s="75"/>
      <c r="P936" s="75"/>
    </row>
    <row r="937" spans="1:16" ht="15.75" customHeight="1">
      <c r="A937" s="71"/>
      <c r="B937" s="72"/>
      <c r="C937" s="73"/>
      <c r="D937" s="72"/>
      <c r="E937" s="73"/>
      <c r="F937" s="74"/>
      <c r="G937" s="72"/>
      <c r="H937" s="73"/>
      <c r="I937" s="75"/>
      <c r="J937" s="75"/>
      <c r="K937" s="75"/>
      <c r="L937" s="74"/>
      <c r="M937" s="76"/>
      <c r="N937" s="75"/>
      <c r="O937" s="75"/>
      <c r="P937" s="75"/>
    </row>
    <row r="938" spans="1:16" ht="15.75" customHeight="1">
      <c r="A938" s="71"/>
      <c r="B938" s="72"/>
      <c r="C938" s="73"/>
      <c r="D938" s="72"/>
      <c r="E938" s="73"/>
      <c r="F938" s="74"/>
      <c r="G938" s="72"/>
      <c r="H938" s="73"/>
      <c r="I938" s="75"/>
      <c r="J938" s="75"/>
      <c r="K938" s="75"/>
      <c r="L938" s="74"/>
      <c r="M938" s="76"/>
      <c r="N938" s="75"/>
      <c r="O938" s="75"/>
      <c r="P938" s="75"/>
    </row>
    <row r="939" spans="1:16" ht="15.75" customHeight="1">
      <c r="A939" s="71"/>
      <c r="B939" s="72"/>
      <c r="C939" s="73"/>
      <c r="D939" s="72"/>
      <c r="E939" s="73"/>
      <c r="F939" s="74"/>
      <c r="G939" s="72"/>
      <c r="H939" s="73"/>
      <c r="I939" s="75"/>
      <c r="J939" s="75"/>
      <c r="K939" s="75"/>
      <c r="L939" s="74"/>
      <c r="M939" s="76"/>
      <c r="N939" s="75"/>
      <c r="O939" s="75"/>
      <c r="P939" s="75"/>
    </row>
    <row r="940" spans="1:16" ht="15.75" customHeight="1">
      <c r="A940" s="71"/>
      <c r="B940" s="72"/>
      <c r="C940" s="73"/>
      <c r="D940" s="72"/>
      <c r="E940" s="73"/>
      <c r="F940" s="74"/>
      <c r="G940" s="72"/>
      <c r="H940" s="73"/>
      <c r="I940" s="75"/>
      <c r="J940" s="75"/>
      <c r="K940" s="75"/>
      <c r="L940" s="74"/>
      <c r="M940" s="76"/>
      <c r="N940" s="75"/>
      <c r="O940" s="75"/>
      <c r="P940" s="75"/>
    </row>
    <row r="941" spans="1:16" ht="15.75" customHeight="1">
      <c r="A941" s="71"/>
      <c r="B941" s="72"/>
      <c r="C941" s="73"/>
      <c r="D941" s="72"/>
      <c r="E941" s="73"/>
      <c r="F941" s="74"/>
      <c r="G941" s="72"/>
      <c r="H941" s="73"/>
      <c r="I941" s="75"/>
      <c r="J941" s="75"/>
      <c r="K941" s="75"/>
      <c r="L941" s="74"/>
      <c r="M941" s="76"/>
      <c r="N941" s="75"/>
      <c r="O941" s="75"/>
      <c r="P941" s="75"/>
    </row>
    <row r="942" spans="1:16" ht="15.75" customHeight="1">
      <c r="A942" s="71"/>
      <c r="B942" s="72"/>
      <c r="C942" s="73"/>
      <c r="D942" s="72"/>
      <c r="E942" s="73"/>
      <c r="F942" s="74"/>
      <c r="G942" s="72"/>
      <c r="H942" s="73"/>
      <c r="I942" s="75"/>
      <c r="J942" s="75"/>
      <c r="K942" s="75"/>
      <c r="L942" s="74"/>
      <c r="M942" s="76"/>
      <c r="N942" s="75"/>
      <c r="O942" s="75"/>
      <c r="P942" s="75"/>
    </row>
    <row r="943" spans="1:16" ht="15.75" customHeight="1">
      <c r="A943" s="71"/>
      <c r="B943" s="72"/>
      <c r="C943" s="73"/>
      <c r="D943" s="72"/>
      <c r="E943" s="73"/>
      <c r="F943" s="74"/>
      <c r="G943" s="72"/>
      <c r="H943" s="73"/>
      <c r="I943" s="75"/>
      <c r="J943" s="75"/>
      <c r="K943" s="75"/>
      <c r="L943" s="74"/>
      <c r="M943" s="76"/>
      <c r="N943" s="75"/>
      <c r="O943" s="75"/>
      <c r="P943" s="75"/>
    </row>
    <row r="944" spans="1:16" ht="15.75" customHeight="1">
      <c r="A944" s="71"/>
      <c r="B944" s="72"/>
      <c r="C944" s="73"/>
      <c r="D944" s="72"/>
      <c r="E944" s="73"/>
      <c r="F944" s="74"/>
      <c r="G944" s="72"/>
      <c r="H944" s="73"/>
      <c r="I944" s="75"/>
      <c r="J944" s="75"/>
      <c r="K944" s="75"/>
      <c r="L944" s="74"/>
      <c r="M944" s="76"/>
      <c r="N944" s="75"/>
      <c r="O944" s="75"/>
      <c r="P944" s="75"/>
    </row>
    <row r="945" spans="1:16" ht="15.75" customHeight="1">
      <c r="A945" s="71"/>
      <c r="B945" s="72"/>
      <c r="C945" s="73"/>
      <c r="D945" s="72"/>
      <c r="E945" s="73"/>
      <c r="F945" s="74"/>
      <c r="G945" s="72"/>
      <c r="H945" s="73"/>
      <c r="I945" s="75"/>
      <c r="J945" s="75"/>
      <c r="K945" s="75"/>
      <c r="L945" s="74"/>
      <c r="M945" s="76"/>
      <c r="N945" s="75"/>
      <c r="O945" s="75"/>
      <c r="P945" s="75"/>
    </row>
    <row r="946" spans="1:16" ht="15.75" customHeight="1">
      <c r="A946" s="71"/>
      <c r="B946" s="72"/>
      <c r="C946" s="73"/>
      <c r="D946" s="72"/>
      <c r="E946" s="73"/>
      <c r="F946" s="74"/>
      <c r="G946" s="72"/>
      <c r="H946" s="73"/>
      <c r="I946" s="75"/>
      <c r="J946" s="75"/>
      <c r="K946" s="75"/>
      <c r="L946" s="74"/>
      <c r="M946" s="76"/>
      <c r="N946" s="75"/>
      <c r="O946" s="75"/>
      <c r="P946" s="75"/>
    </row>
    <row r="947" spans="1:16" ht="15.75" customHeight="1">
      <c r="A947" s="71"/>
      <c r="B947" s="72"/>
      <c r="C947" s="73"/>
      <c r="D947" s="72"/>
      <c r="E947" s="73"/>
      <c r="F947" s="74"/>
      <c r="G947" s="72"/>
      <c r="H947" s="73"/>
      <c r="I947" s="75"/>
      <c r="J947" s="75"/>
      <c r="K947" s="75"/>
      <c r="L947" s="74"/>
      <c r="M947" s="76"/>
      <c r="N947" s="75"/>
      <c r="O947" s="75"/>
      <c r="P947" s="75"/>
    </row>
    <row r="948" spans="1:16" ht="15.75" customHeight="1">
      <c r="A948" s="71"/>
      <c r="B948" s="72"/>
      <c r="C948" s="73"/>
      <c r="D948" s="72"/>
      <c r="E948" s="73"/>
      <c r="F948" s="74"/>
      <c r="G948" s="72"/>
      <c r="H948" s="73"/>
      <c r="I948" s="75"/>
      <c r="J948" s="75"/>
      <c r="K948" s="75"/>
      <c r="L948" s="74"/>
      <c r="M948" s="76"/>
      <c r="N948" s="75"/>
      <c r="O948" s="75"/>
      <c r="P948" s="75"/>
    </row>
    <row r="949" spans="1:16" ht="15.75" customHeight="1">
      <c r="A949" s="71"/>
      <c r="B949" s="72"/>
      <c r="C949" s="73"/>
      <c r="D949" s="72"/>
      <c r="E949" s="73"/>
      <c r="F949" s="74"/>
      <c r="G949" s="72"/>
      <c r="H949" s="73"/>
      <c r="I949" s="75"/>
      <c r="J949" s="75"/>
      <c r="K949" s="75"/>
      <c r="L949" s="74"/>
      <c r="M949" s="76"/>
      <c r="N949" s="75"/>
      <c r="O949" s="75"/>
      <c r="P949" s="75"/>
    </row>
    <row r="950" spans="1:16" ht="15.75" customHeight="1">
      <c r="A950" s="71"/>
      <c r="B950" s="72"/>
      <c r="C950" s="73"/>
      <c r="D950" s="72"/>
      <c r="E950" s="73"/>
      <c r="F950" s="74"/>
      <c r="G950" s="72"/>
      <c r="H950" s="73"/>
      <c r="I950" s="75"/>
      <c r="J950" s="75"/>
      <c r="K950" s="75"/>
      <c r="L950" s="74"/>
      <c r="M950" s="76"/>
      <c r="N950" s="75"/>
      <c r="O950" s="75"/>
      <c r="P950" s="75"/>
    </row>
    <row r="951" spans="1:16" ht="15.75" customHeight="1">
      <c r="A951" s="71"/>
      <c r="B951" s="72"/>
      <c r="C951" s="73"/>
      <c r="D951" s="72"/>
      <c r="E951" s="73"/>
      <c r="F951" s="74"/>
      <c r="G951" s="72"/>
      <c r="H951" s="73"/>
      <c r="I951" s="75"/>
      <c r="J951" s="75"/>
      <c r="K951" s="75"/>
      <c r="L951" s="74"/>
      <c r="M951" s="76"/>
      <c r="N951" s="75"/>
      <c r="O951" s="75"/>
      <c r="P951" s="75"/>
    </row>
    <row r="952" spans="1:16" ht="15.75" customHeight="1">
      <c r="A952" s="71"/>
      <c r="B952" s="72"/>
      <c r="C952" s="73"/>
      <c r="D952" s="72"/>
      <c r="E952" s="73"/>
      <c r="F952" s="74"/>
      <c r="G952" s="72"/>
      <c r="H952" s="73"/>
      <c r="I952" s="75"/>
      <c r="J952" s="75"/>
      <c r="K952" s="75"/>
      <c r="L952" s="74"/>
      <c r="M952" s="76"/>
      <c r="N952" s="75"/>
      <c r="O952" s="75"/>
      <c r="P952" s="75"/>
    </row>
    <row r="953" spans="1:16" ht="15.75" customHeight="1">
      <c r="A953" s="71"/>
      <c r="B953" s="72"/>
      <c r="C953" s="73"/>
      <c r="D953" s="72"/>
      <c r="E953" s="73"/>
      <c r="F953" s="74"/>
      <c r="G953" s="72"/>
      <c r="H953" s="73"/>
      <c r="I953" s="75"/>
      <c r="J953" s="75"/>
      <c r="K953" s="75"/>
      <c r="L953" s="74"/>
      <c r="M953" s="76"/>
      <c r="N953" s="75"/>
      <c r="O953" s="75"/>
      <c r="P953" s="75"/>
    </row>
    <row r="954" spans="1:16" ht="15.75" customHeight="1">
      <c r="A954" s="71"/>
      <c r="B954" s="72"/>
      <c r="C954" s="73"/>
      <c r="D954" s="72"/>
      <c r="E954" s="73"/>
      <c r="F954" s="74"/>
      <c r="G954" s="72"/>
      <c r="H954" s="73"/>
      <c r="I954" s="75"/>
      <c r="J954" s="75"/>
      <c r="K954" s="75"/>
      <c r="L954" s="74"/>
      <c r="M954" s="76"/>
      <c r="N954" s="75"/>
      <c r="O954" s="75"/>
      <c r="P954" s="75"/>
    </row>
    <row r="955" spans="1:16" ht="15.75" customHeight="1">
      <c r="A955" s="71"/>
      <c r="B955" s="72"/>
      <c r="C955" s="73"/>
      <c r="D955" s="72"/>
      <c r="E955" s="73"/>
      <c r="F955" s="74"/>
      <c r="G955" s="72"/>
      <c r="H955" s="73"/>
      <c r="I955" s="75"/>
      <c r="J955" s="75"/>
      <c r="K955" s="75"/>
      <c r="L955" s="74"/>
      <c r="M955" s="76"/>
      <c r="N955" s="75"/>
      <c r="O955" s="75"/>
      <c r="P955" s="75"/>
    </row>
    <row r="956" spans="1:16" ht="15.75" customHeight="1">
      <c r="A956" s="71"/>
      <c r="B956" s="72"/>
      <c r="C956" s="73"/>
      <c r="D956" s="72"/>
      <c r="E956" s="73"/>
      <c r="F956" s="74"/>
      <c r="G956" s="72"/>
      <c r="H956" s="73"/>
      <c r="I956" s="75"/>
      <c r="J956" s="75"/>
      <c r="K956" s="75"/>
      <c r="L956" s="74"/>
      <c r="M956" s="76"/>
      <c r="N956" s="75"/>
      <c r="O956" s="75"/>
      <c r="P956" s="75"/>
    </row>
    <row r="957" spans="1:16" ht="15.75" customHeight="1">
      <c r="A957" s="71"/>
      <c r="B957" s="72"/>
      <c r="C957" s="73"/>
      <c r="D957" s="72"/>
      <c r="E957" s="73"/>
      <c r="F957" s="74"/>
      <c r="G957" s="72"/>
      <c r="H957" s="73"/>
      <c r="I957" s="75"/>
      <c r="J957" s="75"/>
      <c r="K957" s="75"/>
      <c r="L957" s="74"/>
      <c r="M957" s="76"/>
      <c r="N957" s="75"/>
      <c r="O957" s="75"/>
      <c r="P957" s="75"/>
    </row>
    <row r="958" spans="1:16" ht="15.75" customHeight="1">
      <c r="A958" s="71"/>
      <c r="B958" s="72"/>
      <c r="C958" s="73"/>
      <c r="D958" s="72"/>
      <c r="E958" s="73"/>
      <c r="F958" s="74"/>
      <c r="G958" s="72"/>
      <c r="H958" s="73"/>
      <c r="I958" s="75"/>
      <c r="J958" s="75"/>
      <c r="K958" s="75"/>
      <c r="L958" s="74"/>
      <c r="M958" s="76"/>
      <c r="N958" s="75"/>
      <c r="O958" s="75"/>
      <c r="P958" s="75"/>
    </row>
    <row r="959" spans="1:16" ht="15.75" customHeight="1">
      <c r="A959" s="71"/>
      <c r="B959" s="72"/>
      <c r="C959" s="73"/>
      <c r="D959" s="72"/>
      <c r="E959" s="73"/>
      <c r="F959" s="74"/>
      <c r="G959" s="72"/>
      <c r="H959" s="73"/>
      <c r="I959" s="75"/>
      <c r="J959" s="75"/>
      <c r="K959" s="75"/>
      <c r="L959" s="74"/>
      <c r="M959" s="76"/>
      <c r="N959" s="75"/>
      <c r="O959" s="75"/>
      <c r="P959" s="75"/>
    </row>
    <row r="960" spans="1:16" ht="15.75" customHeight="1">
      <c r="A960" s="71"/>
      <c r="B960" s="72"/>
      <c r="C960" s="73"/>
      <c r="D960" s="72"/>
      <c r="E960" s="73"/>
      <c r="F960" s="74"/>
      <c r="G960" s="72"/>
      <c r="H960" s="73"/>
      <c r="I960" s="75"/>
      <c r="J960" s="75"/>
      <c r="K960" s="75"/>
      <c r="L960" s="74"/>
      <c r="M960" s="76"/>
      <c r="N960" s="75"/>
      <c r="O960" s="75"/>
      <c r="P960" s="75"/>
    </row>
    <row r="961" spans="1:16" ht="15.75" customHeight="1">
      <c r="A961" s="71"/>
      <c r="B961" s="72"/>
      <c r="C961" s="73"/>
      <c r="D961" s="72"/>
      <c r="E961" s="73"/>
      <c r="F961" s="74"/>
      <c r="G961" s="72"/>
      <c r="H961" s="73"/>
      <c r="I961" s="75"/>
      <c r="J961" s="75"/>
      <c r="K961" s="75"/>
      <c r="L961" s="74"/>
      <c r="M961" s="76"/>
      <c r="N961" s="75"/>
      <c r="O961" s="75"/>
      <c r="P961" s="75"/>
    </row>
    <row r="962" spans="1:16" ht="15.75" customHeight="1">
      <c r="A962" s="71"/>
      <c r="B962" s="72"/>
      <c r="C962" s="73"/>
      <c r="D962" s="72"/>
      <c r="E962" s="73"/>
      <c r="F962" s="74"/>
      <c r="G962" s="72"/>
      <c r="H962" s="73"/>
      <c r="I962" s="75"/>
      <c r="J962" s="75"/>
      <c r="K962" s="75"/>
      <c r="L962" s="74"/>
      <c r="M962" s="76"/>
      <c r="N962" s="75"/>
      <c r="O962" s="75"/>
      <c r="P962" s="75"/>
    </row>
    <row r="963" spans="1:16" ht="15.75" customHeight="1">
      <c r="A963" s="71"/>
      <c r="B963" s="72"/>
      <c r="C963" s="73"/>
      <c r="D963" s="72"/>
      <c r="E963" s="73"/>
      <c r="F963" s="74"/>
      <c r="G963" s="72"/>
      <c r="H963" s="73"/>
      <c r="I963" s="75"/>
      <c r="J963" s="75"/>
      <c r="K963" s="75"/>
      <c r="L963" s="74"/>
      <c r="M963" s="76"/>
      <c r="N963" s="75"/>
      <c r="O963" s="75"/>
      <c r="P963" s="75"/>
    </row>
    <row r="964" spans="1:16" ht="15.75" customHeight="1">
      <c r="A964" s="71"/>
      <c r="B964" s="72"/>
      <c r="C964" s="73"/>
      <c r="D964" s="72"/>
      <c r="E964" s="73"/>
      <c r="F964" s="74"/>
      <c r="G964" s="72"/>
      <c r="H964" s="73"/>
      <c r="I964" s="75"/>
      <c r="J964" s="75"/>
      <c r="K964" s="75"/>
      <c r="L964" s="74"/>
      <c r="M964" s="76"/>
      <c r="N964" s="75"/>
      <c r="O964" s="75"/>
      <c r="P964" s="75"/>
    </row>
    <row r="965" spans="1:16" ht="15.75" customHeight="1">
      <c r="A965" s="71"/>
      <c r="B965" s="72"/>
      <c r="C965" s="73"/>
      <c r="D965" s="72"/>
      <c r="E965" s="73"/>
      <c r="F965" s="74"/>
      <c r="G965" s="72"/>
      <c r="H965" s="73"/>
      <c r="I965" s="75"/>
      <c r="J965" s="75"/>
      <c r="K965" s="75"/>
      <c r="L965" s="74"/>
      <c r="M965" s="76"/>
      <c r="N965" s="75"/>
      <c r="O965" s="75"/>
      <c r="P965" s="75"/>
    </row>
    <row r="966" spans="1:16" ht="15.75" customHeight="1">
      <c r="A966" s="71"/>
      <c r="B966" s="72"/>
      <c r="C966" s="73"/>
      <c r="D966" s="72"/>
      <c r="E966" s="73"/>
      <c r="F966" s="74"/>
      <c r="G966" s="72"/>
      <c r="H966" s="73"/>
      <c r="I966" s="75"/>
      <c r="J966" s="75"/>
      <c r="K966" s="75"/>
      <c r="L966" s="74"/>
      <c r="M966" s="76"/>
      <c r="N966" s="75"/>
      <c r="O966" s="75"/>
      <c r="P966" s="75"/>
    </row>
    <row r="967" spans="1:16" ht="15.75" customHeight="1">
      <c r="A967" s="71"/>
      <c r="B967" s="72"/>
      <c r="C967" s="73"/>
      <c r="D967" s="72"/>
      <c r="E967" s="73"/>
      <c r="F967" s="74"/>
      <c r="G967" s="72"/>
      <c r="H967" s="73"/>
      <c r="I967" s="75"/>
      <c r="J967" s="75"/>
      <c r="K967" s="75"/>
      <c r="L967" s="74"/>
      <c r="M967" s="76"/>
      <c r="N967" s="75"/>
      <c r="O967" s="75"/>
      <c r="P967" s="75"/>
    </row>
    <row r="968" spans="1:16" ht="15.75" customHeight="1">
      <c r="A968" s="71"/>
      <c r="B968" s="72"/>
      <c r="C968" s="73"/>
      <c r="D968" s="72"/>
      <c r="E968" s="73"/>
      <c r="F968" s="74"/>
      <c r="G968" s="72"/>
      <c r="H968" s="73"/>
      <c r="I968" s="75"/>
      <c r="J968" s="75"/>
      <c r="K968" s="75"/>
      <c r="L968" s="74"/>
      <c r="M968" s="76"/>
      <c r="N968" s="75"/>
      <c r="O968" s="75"/>
      <c r="P968" s="75"/>
    </row>
    <row r="969" spans="1:16" ht="15.75" customHeight="1">
      <c r="A969" s="71"/>
      <c r="B969" s="72"/>
      <c r="C969" s="73"/>
      <c r="D969" s="72"/>
      <c r="E969" s="73"/>
      <c r="F969" s="74"/>
      <c r="G969" s="72"/>
      <c r="H969" s="73"/>
      <c r="I969" s="75"/>
      <c r="J969" s="75"/>
      <c r="K969" s="75"/>
      <c r="L969" s="74"/>
      <c r="M969" s="76"/>
      <c r="N969" s="75"/>
      <c r="O969" s="75"/>
      <c r="P969" s="75"/>
    </row>
    <row r="970" spans="1:16" ht="15.75" customHeight="1">
      <c r="A970" s="71"/>
      <c r="B970" s="72"/>
      <c r="C970" s="73"/>
      <c r="D970" s="72"/>
      <c r="E970" s="73"/>
      <c r="F970" s="74"/>
      <c r="G970" s="72"/>
      <c r="H970" s="73"/>
      <c r="I970" s="75"/>
      <c r="J970" s="75"/>
      <c r="K970" s="75"/>
      <c r="L970" s="74"/>
      <c r="M970" s="76"/>
      <c r="N970" s="75"/>
      <c r="O970" s="75"/>
      <c r="P970" s="75"/>
    </row>
    <row r="971" spans="1:16" ht="15.75" customHeight="1">
      <c r="A971" s="71"/>
      <c r="B971" s="72"/>
      <c r="C971" s="73"/>
      <c r="D971" s="72"/>
      <c r="E971" s="73"/>
      <c r="F971" s="74"/>
      <c r="G971" s="72"/>
      <c r="H971" s="73"/>
      <c r="I971" s="75"/>
      <c r="J971" s="75"/>
      <c r="K971" s="75"/>
      <c r="L971" s="74"/>
      <c r="M971" s="76"/>
      <c r="N971" s="75"/>
      <c r="O971" s="75"/>
      <c r="P971" s="75"/>
    </row>
    <row r="972" spans="1:16" ht="15.75" customHeight="1">
      <c r="A972" s="71"/>
      <c r="B972" s="72"/>
      <c r="C972" s="73"/>
      <c r="D972" s="72"/>
      <c r="E972" s="73"/>
      <c r="F972" s="74"/>
      <c r="G972" s="72"/>
      <c r="H972" s="73"/>
      <c r="I972" s="75"/>
      <c r="J972" s="75"/>
      <c r="K972" s="75"/>
      <c r="L972" s="74"/>
      <c r="M972" s="76"/>
      <c r="N972" s="75"/>
      <c r="O972" s="75"/>
      <c r="P972" s="75"/>
    </row>
    <row r="973" spans="1:16" ht="15.75" customHeight="1">
      <c r="A973" s="71"/>
      <c r="B973" s="72"/>
      <c r="C973" s="73"/>
      <c r="D973" s="72"/>
      <c r="E973" s="73"/>
      <c r="F973" s="74"/>
      <c r="G973" s="72"/>
      <c r="H973" s="73"/>
      <c r="I973" s="75"/>
      <c r="J973" s="75"/>
      <c r="K973" s="75"/>
      <c r="L973" s="74"/>
      <c r="M973" s="76"/>
      <c r="N973" s="75"/>
      <c r="O973" s="75"/>
      <c r="P973" s="75"/>
    </row>
    <row r="974" spans="1:16" ht="15.75" customHeight="1">
      <c r="A974" s="71"/>
      <c r="B974" s="72"/>
      <c r="C974" s="73"/>
      <c r="D974" s="72"/>
      <c r="E974" s="73"/>
      <c r="F974" s="74"/>
      <c r="G974" s="72"/>
      <c r="H974" s="73"/>
      <c r="I974" s="75"/>
      <c r="J974" s="75"/>
      <c r="K974" s="75"/>
      <c r="L974" s="74"/>
      <c r="M974" s="76"/>
      <c r="N974" s="75"/>
      <c r="O974" s="75"/>
      <c r="P974" s="75"/>
    </row>
    <row r="975" spans="1:16" ht="15.75" customHeight="1">
      <c r="A975" s="71"/>
      <c r="B975" s="72"/>
      <c r="C975" s="73"/>
      <c r="D975" s="72"/>
      <c r="E975" s="73"/>
      <c r="F975" s="74"/>
      <c r="G975" s="72"/>
      <c r="H975" s="73"/>
      <c r="I975" s="75"/>
      <c r="J975" s="75"/>
      <c r="K975" s="75"/>
      <c r="L975" s="74"/>
      <c r="M975" s="76"/>
      <c r="N975" s="75"/>
      <c r="O975" s="75"/>
      <c r="P975" s="75"/>
    </row>
    <row r="976" spans="1:16" ht="15.75" customHeight="1">
      <c r="A976" s="71"/>
      <c r="B976" s="72"/>
      <c r="C976" s="73"/>
      <c r="D976" s="72"/>
      <c r="E976" s="73"/>
      <c r="F976" s="74"/>
      <c r="G976" s="72"/>
      <c r="H976" s="73"/>
      <c r="I976" s="75"/>
      <c r="J976" s="75"/>
      <c r="K976" s="75"/>
      <c r="L976" s="74"/>
      <c r="M976" s="76"/>
      <c r="N976" s="75"/>
      <c r="O976" s="75"/>
      <c r="P976" s="75"/>
    </row>
    <row r="977" spans="1:16" ht="15.75" customHeight="1">
      <c r="A977" s="71"/>
      <c r="B977" s="72"/>
      <c r="C977" s="73"/>
      <c r="D977" s="72"/>
      <c r="E977" s="73"/>
      <c r="F977" s="74"/>
      <c r="G977" s="72"/>
      <c r="H977" s="73"/>
      <c r="I977" s="75"/>
      <c r="J977" s="75"/>
      <c r="K977" s="75"/>
      <c r="L977" s="74"/>
      <c r="M977" s="76"/>
      <c r="N977" s="75"/>
      <c r="O977" s="75"/>
      <c r="P977" s="75"/>
    </row>
    <row r="978" spans="1:16" ht="15.75" customHeight="1">
      <c r="A978" s="71"/>
      <c r="B978" s="72"/>
      <c r="C978" s="73"/>
      <c r="D978" s="72"/>
      <c r="E978" s="73"/>
      <c r="F978" s="74"/>
      <c r="G978" s="72"/>
      <c r="H978" s="73"/>
      <c r="I978" s="75"/>
      <c r="J978" s="75"/>
      <c r="K978" s="75"/>
      <c r="L978" s="74"/>
      <c r="M978" s="76"/>
      <c r="N978" s="75"/>
      <c r="O978" s="75"/>
      <c r="P978" s="75"/>
    </row>
    <row r="979" spans="1:16" ht="15.75" customHeight="1">
      <c r="A979" s="71"/>
      <c r="B979" s="72"/>
      <c r="C979" s="73"/>
      <c r="D979" s="72"/>
      <c r="E979" s="73"/>
      <c r="F979" s="74"/>
      <c r="G979" s="72"/>
      <c r="H979" s="73"/>
      <c r="I979" s="75"/>
      <c r="J979" s="75"/>
      <c r="K979" s="75"/>
      <c r="L979" s="74"/>
      <c r="M979" s="76"/>
      <c r="N979" s="75"/>
      <c r="O979" s="75"/>
      <c r="P979" s="75"/>
    </row>
    <row r="980" spans="1:16" ht="15.75" customHeight="1">
      <c r="A980" s="71"/>
      <c r="B980" s="72"/>
      <c r="C980" s="73"/>
      <c r="D980" s="72"/>
      <c r="E980" s="73"/>
      <c r="F980" s="74"/>
      <c r="G980" s="72"/>
      <c r="H980" s="73"/>
      <c r="I980" s="75"/>
      <c r="J980" s="75"/>
      <c r="K980" s="75"/>
      <c r="L980" s="74"/>
      <c r="M980" s="76"/>
      <c r="N980" s="75"/>
      <c r="O980" s="75"/>
      <c r="P980" s="75"/>
    </row>
    <row r="981" spans="1:16" ht="15.75" customHeight="1">
      <c r="A981" s="71"/>
      <c r="B981" s="72"/>
      <c r="C981" s="73"/>
      <c r="D981" s="72"/>
      <c r="E981" s="73"/>
      <c r="F981" s="74"/>
      <c r="G981" s="72"/>
      <c r="H981" s="73"/>
      <c r="I981" s="75"/>
      <c r="J981" s="75"/>
      <c r="K981" s="75"/>
      <c r="L981" s="74"/>
      <c r="M981" s="76"/>
      <c r="N981" s="75"/>
      <c r="O981" s="75"/>
      <c r="P981" s="75"/>
    </row>
    <row r="982" spans="1:16" ht="15.75" customHeight="1">
      <c r="A982" s="71"/>
      <c r="B982" s="72"/>
      <c r="C982" s="73"/>
      <c r="D982" s="72"/>
      <c r="E982" s="73"/>
      <c r="F982" s="74"/>
      <c r="G982" s="72"/>
      <c r="H982" s="73"/>
      <c r="I982" s="75"/>
      <c r="J982" s="75"/>
      <c r="K982" s="75"/>
      <c r="L982" s="74"/>
      <c r="M982" s="76"/>
      <c r="N982" s="75"/>
      <c r="O982" s="75"/>
      <c r="P982" s="75"/>
    </row>
    <row r="983" spans="1:16" ht="15.75" customHeight="1">
      <c r="A983" s="71"/>
      <c r="B983" s="72"/>
      <c r="C983" s="73"/>
      <c r="D983" s="72"/>
      <c r="E983" s="73"/>
      <c r="F983" s="74"/>
      <c r="G983" s="72"/>
      <c r="H983" s="73"/>
      <c r="I983" s="75"/>
      <c r="J983" s="75"/>
      <c r="K983" s="75"/>
      <c r="L983" s="74"/>
      <c r="M983" s="76"/>
      <c r="N983" s="75"/>
      <c r="O983" s="75"/>
      <c r="P983" s="75"/>
    </row>
    <row r="984" spans="1:16" ht="15.75" customHeight="1">
      <c r="A984" s="71"/>
      <c r="B984" s="72"/>
      <c r="C984" s="73"/>
      <c r="D984" s="72"/>
      <c r="E984" s="73"/>
      <c r="F984" s="74"/>
      <c r="G984" s="72"/>
      <c r="H984" s="73"/>
      <c r="I984" s="75"/>
      <c r="J984" s="75"/>
      <c r="K984" s="75"/>
      <c r="L984" s="74"/>
      <c r="M984" s="76"/>
      <c r="N984" s="75"/>
      <c r="O984" s="75"/>
      <c r="P984" s="75"/>
    </row>
    <row r="985" spans="1:16" ht="15.75" customHeight="1">
      <c r="A985" s="71"/>
      <c r="B985" s="72"/>
      <c r="C985" s="73"/>
      <c r="D985" s="72"/>
      <c r="E985" s="73"/>
      <c r="F985" s="74"/>
      <c r="G985" s="72"/>
      <c r="H985" s="73"/>
      <c r="I985" s="75"/>
      <c r="J985" s="75"/>
      <c r="K985" s="75"/>
      <c r="L985" s="74"/>
      <c r="M985" s="76"/>
      <c r="N985" s="75"/>
      <c r="O985" s="75"/>
      <c r="P985" s="75"/>
    </row>
    <row r="986" spans="1:16" ht="15.75" customHeight="1">
      <c r="A986" s="71"/>
      <c r="B986" s="72"/>
      <c r="C986" s="73"/>
      <c r="D986" s="72"/>
      <c r="E986" s="73"/>
      <c r="F986" s="74"/>
      <c r="G986" s="72"/>
      <c r="H986" s="73"/>
      <c r="I986" s="75"/>
      <c r="J986" s="75"/>
      <c r="K986" s="75"/>
      <c r="L986" s="74"/>
      <c r="M986" s="76"/>
      <c r="N986" s="75"/>
      <c r="O986" s="75"/>
      <c r="P986" s="75"/>
    </row>
    <row r="987" spans="1:16" ht="15.75" customHeight="1">
      <c r="A987" s="71"/>
      <c r="B987" s="72"/>
      <c r="C987" s="73"/>
      <c r="D987" s="72"/>
      <c r="E987" s="73"/>
      <c r="F987" s="74"/>
      <c r="G987" s="72"/>
      <c r="H987" s="73"/>
      <c r="I987" s="75"/>
      <c r="J987" s="75"/>
      <c r="K987" s="75"/>
      <c r="L987" s="74"/>
      <c r="M987" s="76"/>
      <c r="N987" s="75"/>
      <c r="O987" s="75"/>
      <c r="P987" s="75"/>
    </row>
    <row r="988" spans="1:16" ht="15.75" customHeight="1">
      <c r="A988" s="71"/>
      <c r="B988" s="72"/>
      <c r="C988" s="73"/>
      <c r="D988" s="72"/>
      <c r="E988" s="73"/>
      <c r="F988" s="74"/>
      <c r="G988" s="72"/>
      <c r="H988" s="73"/>
      <c r="I988" s="75"/>
      <c r="J988" s="75"/>
      <c r="K988" s="75"/>
      <c r="L988" s="74"/>
      <c r="M988" s="76"/>
      <c r="N988" s="75"/>
      <c r="O988" s="75"/>
      <c r="P988" s="75"/>
    </row>
    <row r="989" spans="1:16" ht="15.75" customHeight="1">
      <c r="A989" s="71"/>
      <c r="B989" s="72"/>
      <c r="C989" s="73"/>
      <c r="D989" s="72"/>
      <c r="E989" s="73"/>
      <c r="F989" s="74"/>
      <c r="G989" s="72"/>
      <c r="H989" s="73"/>
      <c r="I989" s="75"/>
      <c r="J989" s="75"/>
      <c r="K989" s="75"/>
      <c r="L989" s="74"/>
      <c r="M989" s="76"/>
      <c r="N989" s="75"/>
      <c r="O989" s="75"/>
      <c r="P989" s="75"/>
    </row>
    <row r="990" spans="1:16" ht="15.75" customHeight="1">
      <c r="A990" s="71"/>
      <c r="B990" s="72"/>
      <c r="C990" s="73"/>
      <c r="D990" s="72"/>
      <c r="E990" s="73"/>
      <c r="F990" s="74"/>
      <c r="G990" s="72"/>
      <c r="H990" s="73"/>
      <c r="I990" s="75"/>
      <c r="J990" s="75"/>
      <c r="K990" s="75"/>
      <c r="L990" s="74"/>
      <c r="M990" s="76"/>
      <c r="N990" s="75"/>
      <c r="O990" s="75"/>
      <c r="P990" s="75"/>
    </row>
    <row r="991" spans="1:16" ht="15.75" customHeight="1">
      <c r="A991" s="71"/>
      <c r="B991" s="72"/>
      <c r="C991" s="73"/>
      <c r="D991" s="72"/>
      <c r="E991" s="73"/>
      <c r="F991" s="74"/>
      <c r="G991" s="72"/>
      <c r="H991" s="73"/>
      <c r="I991" s="75"/>
      <c r="J991" s="75"/>
      <c r="K991" s="75"/>
      <c r="L991" s="74"/>
      <c r="M991" s="76"/>
      <c r="N991" s="75"/>
      <c r="O991" s="75"/>
      <c r="P991" s="75"/>
    </row>
  </sheetData>
  <mergeCells count="1">
    <mergeCell ref="P2:P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1"/>
  <sheetViews>
    <sheetView workbookViewId="0"/>
  </sheetViews>
  <sheetFormatPr defaultColWidth="11.25" defaultRowHeight="15" customHeight="1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77" t="s">
        <v>0</v>
      </c>
      <c r="B1" s="78" t="s">
        <v>1</v>
      </c>
      <c r="C1" s="79" t="s">
        <v>2</v>
      </c>
      <c r="D1" s="78" t="s">
        <v>133</v>
      </c>
      <c r="E1" s="79" t="s">
        <v>134</v>
      </c>
      <c r="F1" s="80" t="s">
        <v>135</v>
      </c>
      <c r="G1" s="80" t="s">
        <v>136</v>
      </c>
      <c r="H1" s="78" t="s">
        <v>67</v>
      </c>
      <c r="I1" s="79" t="s">
        <v>137</v>
      </c>
      <c r="J1" s="81" t="s">
        <v>138</v>
      </c>
      <c r="K1" s="82" t="s">
        <v>139</v>
      </c>
      <c r="L1" s="83" t="s">
        <v>140</v>
      </c>
      <c r="M1" s="84" t="s">
        <v>7</v>
      </c>
      <c r="N1" s="84" t="s">
        <v>8</v>
      </c>
      <c r="O1" s="85" t="s">
        <v>9</v>
      </c>
      <c r="P1" s="86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5" customHeight="1">
      <c r="A2" s="87" t="s">
        <v>141</v>
      </c>
      <c r="B2" s="88" t="s">
        <v>75</v>
      </c>
      <c r="C2" s="89" t="s">
        <v>75</v>
      </c>
      <c r="D2" s="90">
        <v>45392</v>
      </c>
      <c r="E2" s="89">
        <v>0.35694444444444445</v>
      </c>
      <c r="F2" s="91">
        <v>8.41</v>
      </c>
      <c r="G2" s="91">
        <v>25.6</v>
      </c>
      <c r="H2" s="92">
        <v>45397</v>
      </c>
      <c r="I2" s="89">
        <v>0.45277777777777778</v>
      </c>
      <c r="J2" s="93">
        <v>8.41</v>
      </c>
      <c r="K2" s="94">
        <v>20.100000000000001</v>
      </c>
      <c r="L2" s="89" t="s">
        <v>75</v>
      </c>
      <c r="M2" s="95" t="s">
        <v>12</v>
      </c>
      <c r="N2" s="95" t="s">
        <v>13</v>
      </c>
      <c r="O2" s="96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7.25" customHeight="1">
      <c r="A3" s="97" t="s">
        <v>142</v>
      </c>
      <c r="B3" s="98">
        <v>45390</v>
      </c>
      <c r="C3" s="99">
        <v>0.35555555555555557</v>
      </c>
      <c r="D3" s="98">
        <v>45392</v>
      </c>
      <c r="E3" s="99">
        <v>0.35694444444444445</v>
      </c>
      <c r="F3" s="100">
        <v>8.17</v>
      </c>
      <c r="G3" s="100">
        <v>20.2</v>
      </c>
      <c r="H3" s="101">
        <v>45397</v>
      </c>
      <c r="I3" s="99">
        <v>0.45416666666666666</v>
      </c>
      <c r="J3" s="102">
        <v>6.97</v>
      </c>
      <c r="K3" s="103">
        <v>19.399999999999999</v>
      </c>
      <c r="L3" s="104">
        <f t="shared" ref="L3:L45" si="0">F3-J3</f>
        <v>1.2000000000000002</v>
      </c>
      <c r="M3" s="95" t="s">
        <v>12</v>
      </c>
      <c r="N3" s="95" t="s">
        <v>13</v>
      </c>
      <c r="O3" s="96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15.75" customHeight="1">
      <c r="A4" s="97" t="s">
        <v>143</v>
      </c>
      <c r="B4" s="98">
        <v>45390</v>
      </c>
      <c r="C4" s="99">
        <v>0.35555555555555557</v>
      </c>
      <c r="D4" s="98">
        <v>45392</v>
      </c>
      <c r="E4" s="99">
        <v>0.35625000000000001</v>
      </c>
      <c r="F4" s="100">
        <v>8.48</v>
      </c>
      <c r="G4" s="100">
        <v>20</v>
      </c>
      <c r="H4" s="101">
        <v>45397</v>
      </c>
      <c r="I4" s="99">
        <v>0.45694444444444443</v>
      </c>
      <c r="J4" s="105">
        <v>8.33</v>
      </c>
      <c r="K4" s="103">
        <v>19.899999999999999</v>
      </c>
      <c r="L4" s="104">
        <f t="shared" si="0"/>
        <v>0.15000000000000036</v>
      </c>
      <c r="M4" s="95" t="s">
        <v>12</v>
      </c>
      <c r="N4" s="95" t="s">
        <v>13</v>
      </c>
      <c r="O4" s="106"/>
    </row>
    <row r="5" spans="1:29" ht="15.75">
      <c r="A5" s="87" t="s">
        <v>144</v>
      </c>
      <c r="B5" s="90">
        <v>45390</v>
      </c>
      <c r="C5" s="89">
        <v>0.35555555555555557</v>
      </c>
      <c r="D5" s="90">
        <v>45392</v>
      </c>
      <c r="E5" s="89">
        <v>0.35416666666666669</v>
      </c>
      <c r="F5" s="91">
        <v>8.4499999999999993</v>
      </c>
      <c r="G5" s="91">
        <v>19.8</v>
      </c>
      <c r="H5" s="92">
        <v>45397</v>
      </c>
      <c r="I5" s="89">
        <v>0.46041666666666664</v>
      </c>
      <c r="J5" s="107">
        <v>8.3000000000000007</v>
      </c>
      <c r="K5" s="108">
        <v>19.100000000000001</v>
      </c>
      <c r="L5" s="109">
        <f t="shared" si="0"/>
        <v>0.14999999999999858</v>
      </c>
      <c r="M5" s="95" t="s">
        <v>12</v>
      </c>
      <c r="N5" s="95" t="s">
        <v>13</v>
      </c>
      <c r="O5" s="106"/>
    </row>
    <row r="6" spans="1:29" ht="15" customHeight="1">
      <c r="A6" s="87" t="s">
        <v>145</v>
      </c>
      <c r="B6" s="90">
        <v>45390</v>
      </c>
      <c r="C6" s="89">
        <v>0.35555555555555557</v>
      </c>
      <c r="D6" s="90">
        <v>45392</v>
      </c>
      <c r="E6" s="89">
        <v>0.3611111111111111</v>
      </c>
      <c r="F6" s="91">
        <v>8.4600000000000009</v>
      </c>
      <c r="G6" s="91">
        <v>19.2</v>
      </c>
      <c r="H6" s="92">
        <v>45397</v>
      </c>
      <c r="I6" s="89">
        <v>0.46319444444444446</v>
      </c>
      <c r="J6" s="107">
        <v>7.91</v>
      </c>
      <c r="K6" s="108">
        <v>20.5</v>
      </c>
      <c r="L6" s="109">
        <f t="shared" si="0"/>
        <v>0.55000000000000071</v>
      </c>
      <c r="M6" s="95" t="s">
        <v>12</v>
      </c>
      <c r="N6" s="95" t="s">
        <v>13</v>
      </c>
      <c r="O6" s="106"/>
    </row>
    <row r="7" spans="1:29" ht="15.75" customHeight="1">
      <c r="A7" s="87" t="s">
        <v>146</v>
      </c>
      <c r="B7" s="90">
        <v>45390</v>
      </c>
      <c r="C7" s="89">
        <v>0.38750000000000001</v>
      </c>
      <c r="D7" s="90">
        <v>45392</v>
      </c>
      <c r="E7" s="89">
        <v>0.36944444444444446</v>
      </c>
      <c r="F7" s="87">
        <v>8.4</v>
      </c>
      <c r="G7" s="91">
        <v>19.899999999999999</v>
      </c>
      <c r="H7" s="92">
        <v>45397</v>
      </c>
      <c r="I7" s="89">
        <v>0.47152777777777777</v>
      </c>
      <c r="J7" s="107">
        <v>8.35</v>
      </c>
      <c r="K7" s="108">
        <v>18.8</v>
      </c>
      <c r="L7" s="109">
        <f t="shared" si="0"/>
        <v>5.0000000000000711E-2</v>
      </c>
      <c r="M7" s="95" t="s">
        <v>12</v>
      </c>
      <c r="N7" s="95" t="s">
        <v>13</v>
      </c>
      <c r="O7" s="106"/>
    </row>
    <row r="8" spans="1:29" ht="15.75" customHeight="1">
      <c r="A8" s="87" t="s">
        <v>147</v>
      </c>
      <c r="B8" s="90">
        <v>45390</v>
      </c>
      <c r="C8" s="89">
        <v>0.38750000000000001</v>
      </c>
      <c r="D8" s="90">
        <v>45392</v>
      </c>
      <c r="E8" s="89">
        <v>0.37013888888888891</v>
      </c>
      <c r="F8" s="91">
        <v>8.25</v>
      </c>
      <c r="G8" s="91">
        <v>20.399999999999999</v>
      </c>
      <c r="H8" s="92">
        <v>45397</v>
      </c>
      <c r="I8" s="89">
        <v>0.46597222222222223</v>
      </c>
      <c r="J8" s="93">
        <v>8.16</v>
      </c>
      <c r="K8" s="108">
        <v>19.600000000000001</v>
      </c>
      <c r="L8" s="109">
        <f t="shared" si="0"/>
        <v>8.9999999999999858E-2</v>
      </c>
      <c r="M8" s="95" t="s">
        <v>12</v>
      </c>
      <c r="N8" s="95" t="s">
        <v>13</v>
      </c>
      <c r="O8" s="106"/>
    </row>
    <row r="9" spans="1:29" ht="15.75" customHeight="1">
      <c r="A9" s="87" t="s">
        <v>148</v>
      </c>
      <c r="B9" s="90">
        <v>45390</v>
      </c>
      <c r="C9" s="89">
        <v>0.40833333333333333</v>
      </c>
      <c r="D9" s="90">
        <v>45392</v>
      </c>
      <c r="E9" s="89">
        <v>0.38055555555555554</v>
      </c>
      <c r="F9" s="91">
        <v>8.14</v>
      </c>
      <c r="G9" s="91">
        <v>20.3</v>
      </c>
      <c r="H9" s="92">
        <v>45397</v>
      </c>
      <c r="I9" s="89">
        <v>0.46736111111111112</v>
      </c>
      <c r="J9" s="107">
        <v>7.93</v>
      </c>
      <c r="K9" s="108">
        <v>20.5</v>
      </c>
      <c r="L9" s="109">
        <f t="shared" si="0"/>
        <v>0.21000000000000085</v>
      </c>
      <c r="M9" s="95" t="s">
        <v>12</v>
      </c>
      <c r="N9" s="95" t="s">
        <v>13</v>
      </c>
      <c r="O9" s="106"/>
    </row>
    <row r="10" spans="1:29" ht="15.75" customHeight="1">
      <c r="A10" s="87" t="s">
        <v>149</v>
      </c>
      <c r="B10" s="90">
        <v>45390</v>
      </c>
      <c r="C10" s="89">
        <v>0.40833333333333333</v>
      </c>
      <c r="D10" s="90">
        <v>45392</v>
      </c>
      <c r="E10" s="89">
        <v>0.38194444444444442</v>
      </c>
      <c r="F10" s="91">
        <v>7.97</v>
      </c>
      <c r="G10" s="91">
        <v>20.3</v>
      </c>
      <c r="H10" s="92">
        <v>45397</v>
      </c>
      <c r="I10" s="89">
        <v>0.47708333333333336</v>
      </c>
      <c r="J10" s="107">
        <v>7.77</v>
      </c>
      <c r="K10" s="108">
        <v>20.8</v>
      </c>
      <c r="L10" s="109">
        <f t="shared" si="0"/>
        <v>0.20000000000000018</v>
      </c>
      <c r="M10" s="95" t="s">
        <v>12</v>
      </c>
      <c r="N10" s="95" t="s">
        <v>13</v>
      </c>
      <c r="O10" s="106"/>
    </row>
    <row r="11" spans="1:29" ht="15.75" customHeight="1">
      <c r="A11" s="87" t="s">
        <v>150</v>
      </c>
      <c r="B11" s="90">
        <v>45391</v>
      </c>
      <c r="C11" s="110">
        <v>0.32430555555555557</v>
      </c>
      <c r="D11" s="90">
        <v>45392</v>
      </c>
      <c r="E11" s="89">
        <v>0.38333333333333336</v>
      </c>
      <c r="F11" s="91">
        <v>7.9</v>
      </c>
      <c r="G11" s="91">
        <v>20.5</v>
      </c>
      <c r="H11" s="92">
        <v>45397</v>
      </c>
      <c r="I11" s="89">
        <v>0.48333333333333334</v>
      </c>
      <c r="J11" s="107">
        <v>7.57</v>
      </c>
      <c r="K11" s="108">
        <v>20.6</v>
      </c>
      <c r="L11" s="109">
        <f t="shared" si="0"/>
        <v>0.33000000000000007</v>
      </c>
      <c r="M11" s="95" t="s">
        <v>12</v>
      </c>
      <c r="N11" s="95" t="s">
        <v>13</v>
      </c>
      <c r="O11" s="106"/>
    </row>
    <row r="12" spans="1:29" ht="15.75" customHeight="1">
      <c r="A12" s="87" t="s">
        <v>151</v>
      </c>
      <c r="B12" s="90">
        <v>45391</v>
      </c>
      <c r="C12" s="110">
        <v>0.32430555555555557</v>
      </c>
      <c r="D12" s="90">
        <v>45392</v>
      </c>
      <c r="E12" s="89">
        <v>0.38472222222222224</v>
      </c>
      <c r="F12" s="91">
        <v>7.73</v>
      </c>
      <c r="G12" s="91">
        <v>20.2</v>
      </c>
      <c r="H12" s="92">
        <v>45397</v>
      </c>
      <c r="I12" s="89">
        <v>0.48472222222222222</v>
      </c>
      <c r="J12" s="107">
        <v>7.07</v>
      </c>
      <c r="K12" s="108">
        <v>20.6</v>
      </c>
      <c r="L12" s="109">
        <f t="shared" si="0"/>
        <v>0.66000000000000014</v>
      </c>
      <c r="M12" s="95" t="s">
        <v>12</v>
      </c>
      <c r="N12" s="95" t="s">
        <v>13</v>
      </c>
      <c r="O12" s="106"/>
    </row>
    <row r="13" spans="1:29" ht="15.75" customHeight="1">
      <c r="A13" s="87" t="s">
        <v>152</v>
      </c>
      <c r="B13" s="90">
        <v>45391</v>
      </c>
      <c r="C13" s="110">
        <v>0.34722222222222221</v>
      </c>
      <c r="D13" s="90">
        <v>45392</v>
      </c>
      <c r="E13" s="89">
        <v>0.38611111111111113</v>
      </c>
      <c r="F13" s="91">
        <v>8.0500000000000007</v>
      </c>
      <c r="G13" s="91">
        <v>20.399999999999999</v>
      </c>
      <c r="H13" s="92">
        <v>45397</v>
      </c>
      <c r="I13" s="89">
        <v>0.4861111111111111</v>
      </c>
      <c r="J13" s="91">
        <v>7.42</v>
      </c>
      <c r="K13" s="108">
        <v>21.5</v>
      </c>
      <c r="L13" s="109">
        <f t="shared" si="0"/>
        <v>0.63000000000000078</v>
      </c>
      <c r="M13" s="95" t="s">
        <v>12</v>
      </c>
      <c r="N13" s="95" t="s">
        <v>13</v>
      </c>
      <c r="O13" s="106"/>
    </row>
    <row r="14" spans="1:29" ht="15.75" customHeight="1">
      <c r="A14" s="87" t="s">
        <v>153</v>
      </c>
      <c r="B14" s="90">
        <v>45391</v>
      </c>
      <c r="C14" s="110">
        <v>0.34722222222222221</v>
      </c>
      <c r="D14" s="90">
        <v>45392</v>
      </c>
      <c r="E14" s="89">
        <v>0.38750000000000001</v>
      </c>
      <c r="F14" s="91">
        <v>8.0500000000000007</v>
      </c>
      <c r="G14" s="91">
        <v>20.5</v>
      </c>
      <c r="H14" s="92">
        <v>45397</v>
      </c>
      <c r="I14" s="89">
        <v>0.48749999999999999</v>
      </c>
      <c r="J14" s="91">
        <v>7.36</v>
      </c>
      <c r="K14" s="108">
        <v>21.5</v>
      </c>
      <c r="L14" s="109">
        <f t="shared" si="0"/>
        <v>0.69000000000000039</v>
      </c>
      <c r="M14" s="95" t="s">
        <v>12</v>
      </c>
      <c r="N14" s="95" t="s">
        <v>13</v>
      </c>
      <c r="O14" s="106"/>
    </row>
    <row r="15" spans="1:29" ht="15.75" customHeight="1">
      <c r="A15" s="97" t="s">
        <v>154</v>
      </c>
      <c r="B15" s="98">
        <v>45391</v>
      </c>
      <c r="C15" s="99">
        <v>0.38194444444444442</v>
      </c>
      <c r="D15" s="98">
        <v>45392</v>
      </c>
      <c r="E15" s="99">
        <v>0.39097222222222222</v>
      </c>
      <c r="F15" s="100">
        <v>7.63</v>
      </c>
      <c r="G15" s="100">
        <v>20.5</v>
      </c>
      <c r="H15" s="101">
        <v>45397</v>
      </c>
      <c r="I15" s="99">
        <v>0.48958333333333331</v>
      </c>
      <c r="J15" s="105">
        <v>6.84</v>
      </c>
      <c r="K15" s="103">
        <v>19.399999999999999</v>
      </c>
      <c r="L15" s="104">
        <f t="shared" si="0"/>
        <v>0.79</v>
      </c>
      <c r="M15" s="95" t="s">
        <v>12</v>
      </c>
      <c r="N15" s="95" t="s">
        <v>13</v>
      </c>
      <c r="O15" s="10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15.75" customHeight="1">
      <c r="A16" s="97" t="s">
        <v>155</v>
      </c>
      <c r="B16" s="98">
        <v>45391</v>
      </c>
      <c r="C16" s="99">
        <v>0.38194444444444442</v>
      </c>
      <c r="D16" s="98">
        <v>45392</v>
      </c>
      <c r="E16" s="99">
        <v>0.39027777777777778</v>
      </c>
      <c r="F16" s="100">
        <v>8.33</v>
      </c>
      <c r="G16" s="100">
        <v>20.399999999999999</v>
      </c>
      <c r="H16" s="101">
        <v>45397</v>
      </c>
      <c r="I16" s="99">
        <v>0.4909722222222222</v>
      </c>
      <c r="J16" s="105">
        <v>7.96</v>
      </c>
      <c r="K16" s="103">
        <v>19.600000000000001</v>
      </c>
      <c r="L16" s="104">
        <f t="shared" si="0"/>
        <v>0.37000000000000011</v>
      </c>
      <c r="M16" s="95" t="s">
        <v>12</v>
      </c>
      <c r="N16" s="95" t="s">
        <v>13</v>
      </c>
      <c r="O16" s="10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5.75" customHeight="1">
      <c r="A17" s="87" t="s">
        <v>156</v>
      </c>
      <c r="B17" s="90">
        <v>45391</v>
      </c>
      <c r="C17" s="89">
        <v>0.38194444444444442</v>
      </c>
      <c r="D17" s="90">
        <v>45392</v>
      </c>
      <c r="E17" s="89">
        <v>0.3888888888888889</v>
      </c>
      <c r="F17" s="91">
        <v>8.25</v>
      </c>
      <c r="G17" s="91">
        <v>20.2</v>
      </c>
      <c r="H17" s="92">
        <v>45397</v>
      </c>
      <c r="I17" s="89">
        <v>0.49236111111111114</v>
      </c>
      <c r="J17" s="107">
        <v>7.85</v>
      </c>
      <c r="K17" s="108">
        <v>19.600000000000001</v>
      </c>
      <c r="L17" s="109">
        <f t="shared" si="0"/>
        <v>0.40000000000000036</v>
      </c>
      <c r="M17" s="95" t="s">
        <v>12</v>
      </c>
      <c r="N17" s="95" t="s">
        <v>13</v>
      </c>
      <c r="O17" s="106"/>
    </row>
    <row r="18" spans="1:29" ht="15.75" customHeight="1">
      <c r="A18" s="87" t="s">
        <v>157</v>
      </c>
      <c r="B18" s="90">
        <v>45391</v>
      </c>
      <c r="C18" s="89">
        <v>0.38194444444444442</v>
      </c>
      <c r="D18" s="90">
        <v>45392</v>
      </c>
      <c r="E18" s="89">
        <v>0.3923611111111111</v>
      </c>
      <c r="F18" s="91">
        <v>8.49</v>
      </c>
      <c r="G18" s="91">
        <v>21.1</v>
      </c>
      <c r="H18" s="92">
        <v>45397</v>
      </c>
      <c r="I18" s="89">
        <v>0.49375000000000002</v>
      </c>
      <c r="J18" s="107">
        <v>7.81</v>
      </c>
      <c r="K18" s="108">
        <v>19.600000000000001</v>
      </c>
      <c r="L18" s="109">
        <f t="shared" si="0"/>
        <v>0.6800000000000006</v>
      </c>
      <c r="M18" s="95" t="s">
        <v>12</v>
      </c>
      <c r="N18" s="95" t="s">
        <v>13</v>
      </c>
      <c r="O18" s="10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5" customHeight="1">
      <c r="A19" s="87" t="s">
        <v>158</v>
      </c>
      <c r="B19" s="90">
        <v>45391</v>
      </c>
      <c r="C19" s="110">
        <v>0.43125000000000002</v>
      </c>
      <c r="D19" s="90">
        <v>45392</v>
      </c>
      <c r="E19" s="89">
        <v>0.39374999999999999</v>
      </c>
      <c r="F19" s="91">
        <v>8.4600000000000009</v>
      </c>
      <c r="G19" s="91">
        <v>20.7</v>
      </c>
      <c r="H19" s="92">
        <v>45397</v>
      </c>
      <c r="I19" s="89">
        <v>0.49791666666666667</v>
      </c>
      <c r="J19" s="107">
        <v>8.0500000000000007</v>
      </c>
      <c r="K19" s="108">
        <v>19.600000000000001</v>
      </c>
      <c r="L19" s="109">
        <f t="shared" si="0"/>
        <v>0.41000000000000014</v>
      </c>
      <c r="M19" s="95" t="s">
        <v>12</v>
      </c>
      <c r="N19" s="95" t="s">
        <v>13</v>
      </c>
      <c r="O19" s="111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ht="15" customHeight="1">
      <c r="A20" s="87" t="s">
        <v>159</v>
      </c>
      <c r="B20" s="90">
        <v>45391</v>
      </c>
      <c r="C20" s="110">
        <v>0.43125000000000002</v>
      </c>
      <c r="D20" s="90">
        <v>45392</v>
      </c>
      <c r="E20" s="89">
        <v>0.39513888888888887</v>
      </c>
      <c r="F20" s="91">
        <v>8.1999999999999993</v>
      </c>
      <c r="G20" s="91">
        <v>20.9</v>
      </c>
      <c r="H20" s="92">
        <v>45397</v>
      </c>
      <c r="I20" s="89">
        <v>0.49930555555555556</v>
      </c>
      <c r="J20" s="107">
        <v>7.75</v>
      </c>
      <c r="K20" s="108">
        <v>19.899999999999999</v>
      </c>
      <c r="L20" s="109">
        <f t="shared" si="0"/>
        <v>0.44999999999999929</v>
      </c>
      <c r="M20" s="95" t="s">
        <v>12</v>
      </c>
      <c r="N20" s="95" t="s">
        <v>13</v>
      </c>
      <c r="O20" s="11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15.75" customHeight="1">
      <c r="A21" s="87" t="s">
        <v>160</v>
      </c>
      <c r="B21" s="92">
        <v>45392</v>
      </c>
      <c r="C21" s="89">
        <v>0.34930555555555554</v>
      </c>
      <c r="D21" s="90">
        <v>45392</v>
      </c>
      <c r="E21" s="89">
        <v>0.63611111111111107</v>
      </c>
      <c r="F21" s="91">
        <v>8.0500000000000007</v>
      </c>
      <c r="G21" s="91">
        <v>19.899999999999999</v>
      </c>
      <c r="H21" s="92">
        <v>45397</v>
      </c>
      <c r="I21" s="89">
        <v>0.49513888888888891</v>
      </c>
      <c r="J21" s="107">
        <v>7.71</v>
      </c>
      <c r="K21" s="108">
        <v>19.600000000000001</v>
      </c>
      <c r="L21" s="109">
        <f t="shared" si="0"/>
        <v>0.34000000000000075</v>
      </c>
      <c r="M21" s="95" t="s">
        <v>12</v>
      </c>
      <c r="N21" s="95" t="s">
        <v>13</v>
      </c>
      <c r="O21" s="10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15.75" customHeight="1">
      <c r="A22" s="87" t="s">
        <v>161</v>
      </c>
      <c r="B22" s="92">
        <v>45392</v>
      </c>
      <c r="C22" s="89">
        <v>0.34930555555555554</v>
      </c>
      <c r="D22" s="90">
        <v>45392</v>
      </c>
      <c r="E22" s="89">
        <v>0.63888888888888884</v>
      </c>
      <c r="F22" s="91">
        <v>7.37</v>
      </c>
      <c r="G22" s="91">
        <v>20.9</v>
      </c>
      <c r="H22" s="92">
        <v>45397</v>
      </c>
      <c r="I22" s="89">
        <v>0.49722222222222223</v>
      </c>
      <c r="J22" s="107">
        <v>7.16</v>
      </c>
      <c r="K22" s="108">
        <v>19.7</v>
      </c>
      <c r="L22" s="109">
        <f t="shared" si="0"/>
        <v>0.20999999999999996</v>
      </c>
      <c r="M22" s="95" t="s">
        <v>12</v>
      </c>
      <c r="N22" s="95" t="s">
        <v>13</v>
      </c>
      <c r="O22" s="10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customHeight="1">
      <c r="A23" s="87" t="s">
        <v>162</v>
      </c>
      <c r="B23" s="92">
        <v>45392</v>
      </c>
      <c r="C23" s="110">
        <v>0.36944444444444446</v>
      </c>
      <c r="D23" s="90">
        <v>45392</v>
      </c>
      <c r="E23" s="89">
        <v>0.6430555555555556</v>
      </c>
      <c r="F23" s="91">
        <v>8.02</v>
      </c>
      <c r="G23" s="91">
        <v>21.5</v>
      </c>
      <c r="H23" s="92">
        <v>45397</v>
      </c>
      <c r="I23" s="89">
        <v>0.50138888888888888</v>
      </c>
      <c r="J23" s="107">
        <v>7.13</v>
      </c>
      <c r="K23" s="108">
        <v>19.7</v>
      </c>
      <c r="L23" s="109">
        <f t="shared" si="0"/>
        <v>0.88999999999999968</v>
      </c>
      <c r="M23" s="95" t="s">
        <v>12</v>
      </c>
      <c r="N23" s="95" t="s">
        <v>13</v>
      </c>
      <c r="O23" s="10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ht="15.75" customHeight="1">
      <c r="A24" s="87" t="s">
        <v>163</v>
      </c>
      <c r="B24" s="92">
        <v>45392</v>
      </c>
      <c r="C24" s="110">
        <v>0.36944444444444446</v>
      </c>
      <c r="D24" s="90">
        <v>45392</v>
      </c>
      <c r="E24" s="89">
        <v>0.64513888888888893</v>
      </c>
      <c r="F24" s="91">
        <v>8.01</v>
      </c>
      <c r="G24" s="91">
        <v>21.2</v>
      </c>
      <c r="H24" s="92">
        <v>45397</v>
      </c>
      <c r="I24" s="89">
        <v>0.50277777777777777</v>
      </c>
      <c r="J24" s="107">
        <v>7.53</v>
      </c>
      <c r="K24" s="108">
        <v>19.7</v>
      </c>
      <c r="L24" s="109">
        <f t="shared" si="0"/>
        <v>0.47999999999999954</v>
      </c>
      <c r="M24" s="95" t="s">
        <v>12</v>
      </c>
      <c r="N24" s="95" t="s">
        <v>13</v>
      </c>
      <c r="O24" s="10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5.75" customHeight="1">
      <c r="A25" s="87" t="s">
        <v>164</v>
      </c>
      <c r="B25" s="92">
        <v>45392</v>
      </c>
      <c r="C25" s="89">
        <v>0.42708333333333331</v>
      </c>
      <c r="D25" s="90">
        <v>45392</v>
      </c>
      <c r="E25" s="89">
        <v>0.64930555555555558</v>
      </c>
      <c r="F25" s="91">
        <v>7.94</v>
      </c>
      <c r="G25" s="91">
        <v>21.1</v>
      </c>
      <c r="H25" s="92">
        <v>45397</v>
      </c>
      <c r="I25" s="89">
        <v>0.50416666666666665</v>
      </c>
      <c r="J25" s="107">
        <v>7.36</v>
      </c>
      <c r="K25" s="108">
        <v>19.899999999999999</v>
      </c>
      <c r="L25" s="109">
        <f t="shared" si="0"/>
        <v>0.58000000000000007</v>
      </c>
      <c r="M25" s="95" t="s">
        <v>12</v>
      </c>
      <c r="N25" s="95" t="s">
        <v>13</v>
      </c>
      <c r="O25" s="106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5.75" customHeight="1">
      <c r="A26" s="113" t="s">
        <v>165</v>
      </c>
      <c r="B26" s="114">
        <v>45392</v>
      </c>
      <c r="C26" s="115">
        <v>0.42708333333333331</v>
      </c>
      <c r="D26" s="116">
        <v>45392</v>
      </c>
      <c r="E26" s="115">
        <v>0.65069444444444446</v>
      </c>
      <c r="F26" s="117">
        <v>7.29</v>
      </c>
      <c r="G26" s="117">
        <v>21</v>
      </c>
      <c r="H26" s="114">
        <v>45397</v>
      </c>
      <c r="I26" s="115">
        <v>0.50555555555555554</v>
      </c>
      <c r="J26" s="118">
        <v>7.25</v>
      </c>
      <c r="K26" s="119">
        <v>19.899999999999999</v>
      </c>
      <c r="L26" s="120">
        <f t="shared" si="0"/>
        <v>4.0000000000000036E-2</v>
      </c>
      <c r="M26" s="95" t="s">
        <v>12</v>
      </c>
      <c r="N26" s="95" t="s">
        <v>13</v>
      </c>
      <c r="O26" s="106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5.75" customHeight="1">
      <c r="A27" s="97" t="s">
        <v>166</v>
      </c>
      <c r="B27" s="101">
        <v>45392</v>
      </c>
      <c r="C27" s="99">
        <v>0.47847222222222224</v>
      </c>
      <c r="D27" s="98">
        <v>45393</v>
      </c>
      <c r="E27" s="99">
        <v>0.65486111111111112</v>
      </c>
      <c r="F27" s="100">
        <v>7.11</v>
      </c>
      <c r="G27" s="100">
        <v>21.7</v>
      </c>
      <c r="H27" s="101">
        <v>45397</v>
      </c>
      <c r="I27" s="99">
        <v>0.54722222222222228</v>
      </c>
      <c r="J27" s="105">
        <v>6.09</v>
      </c>
      <c r="K27" s="103">
        <v>21.9</v>
      </c>
      <c r="L27" s="104">
        <f t="shared" si="0"/>
        <v>1.0200000000000005</v>
      </c>
      <c r="M27" s="95" t="s">
        <v>12</v>
      </c>
      <c r="N27" s="95" t="s">
        <v>13</v>
      </c>
      <c r="O27" s="121">
        <f>L27-L28</f>
        <v>0.87000000000000099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5.75" customHeight="1">
      <c r="A28" s="97" t="s">
        <v>167</v>
      </c>
      <c r="B28" s="101">
        <v>45392</v>
      </c>
      <c r="C28" s="99">
        <v>0.47847222222222224</v>
      </c>
      <c r="D28" s="98">
        <v>45394</v>
      </c>
      <c r="E28" s="99">
        <v>0.65555555555555556</v>
      </c>
      <c r="F28" s="100">
        <v>7.84</v>
      </c>
      <c r="G28" s="100">
        <v>21.8</v>
      </c>
      <c r="H28" s="101">
        <v>45397</v>
      </c>
      <c r="I28" s="99">
        <v>0.54513888888888884</v>
      </c>
      <c r="J28" s="105">
        <v>7.69</v>
      </c>
      <c r="K28" s="103">
        <v>21.4</v>
      </c>
      <c r="L28" s="104">
        <f t="shared" si="0"/>
        <v>0.14999999999999947</v>
      </c>
      <c r="M28" s="95" t="s">
        <v>12</v>
      </c>
      <c r="N28" s="95" t="s">
        <v>13</v>
      </c>
      <c r="O28" s="106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5.75" customHeight="1">
      <c r="A29" s="87" t="s">
        <v>168</v>
      </c>
      <c r="B29" s="92">
        <v>45392</v>
      </c>
      <c r="C29" s="89">
        <v>0.47847222222222224</v>
      </c>
      <c r="D29" s="90">
        <v>45395</v>
      </c>
      <c r="E29" s="89">
        <v>0.65347222222222223</v>
      </c>
      <c r="F29" s="91">
        <v>7.45</v>
      </c>
      <c r="G29" s="91">
        <v>21.7</v>
      </c>
      <c r="H29" s="92">
        <v>45397</v>
      </c>
      <c r="I29" s="89">
        <v>0.54236111111111107</v>
      </c>
      <c r="J29" s="107">
        <v>7.17</v>
      </c>
      <c r="K29" s="108">
        <v>21.4</v>
      </c>
      <c r="L29" s="109">
        <f t="shared" si="0"/>
        <v>0.28000000000000025</v>
      </c>
      <c r="M29" s="95" t="s">
        <v>12</v>
      </c>
      <c r="N29" s="95" t="s">
        <v>13</v>
      </c>
      <c r="O29" s="10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5.75" customHeight="1">
      <c r="A30" s="87" t="s">
        <v>169</v>
      </c>
      <c r="B30" s="92">
        <v>45392</v>
      </c>
      <c r="C30" s="89">
        <v>0.47847222222222224</v>
      </c>
      <c r="D30" s="90">
        <v>45396</v>
      </c>
      <c r="E30" s="89">
        <v>0.15694444444444444</v>
      </c>
      <c r="F30" s="91">
        <v>7.2</v>
      </c>
      <c r="G30" s="91">
        <v>22.1</v>
      </c>
      <c r="H30" s="92">
        <v>45397</v>
      </c>
      <c r="I30" s="89">
        <v>0.54374999999999996</v>
      </c>
      <c r="J30" s="107">
        <v>7.14</v>
      </c>
      <c r="K30" s="108">
        <v>21.4</v>
      </c>
      <c r="L30" s="109">
        <f t="shared" si="0"/>
        <v>6.0000000000000497E-2</v>
      </c>
      <c r="M30" s="95" t="s">
        <v>12</v>
      </c>
      <c r="N30" s="95" t="s">
        <v>13</v>
      </c>
      <c r="O30" s="10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5.75" customHeight="1">
      <c r="A31" s="87" t="s">
        <v>170</v>
      </c>
      <c r="B31" s="92">
        <v>45392</v>
      </c>
      <c r="C31" s="89">
        <v>0.49861111111111112</v>
      </c>
      <c r="D31" s="90">
        <v>45392</v>
      </c>
      <c r="E31" s="89">
        <v>0.65833333333333333</v>
      </c>
      <c r="F31" s="91">
        <v>8.0500000000000007</v>
      </c>
      <c r="G31" s="91">
        <v>21.8</v>
      </c>
      <c r="H31" s="92">
        <v>45397</v>
      </c>
      <c r="I31" s="89">
        <v>0.54583333333333328</v>
      </c>
      <c r="J31" s="107">
        <v>7.3</v>
      </c>
      <c r="K31" s="108">
        <v>21.7</v>
      </c>
      <c r="L31" s="109">
        <f t="shared" si="0"/>
        <v>0.75000000000000089</v>
      </c>
      <c r="M31" s="95" t="s">
        <v>12</v>
      </c>
      <c r="N31" s="95" t="s">
        <v>13</v>
      </c>
      <c r="O31" s="10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5.75" customHeight="1">
      <c r="A32" s="87" t="s">
        <v>171</v>
      </c>
      <c r="B32" s="92">
        <v>45392</v>
      </c>
      <c r="C32" s="89">
        <v>0.49861111111111112</v>
      </c>
      <c r="D32" s="90">
        <v>45392</v>
      </c>
      <c r="E32" s="89">
        <v>0.65972222222222221</v>
      </c>
      <c r="F32" s="91">
        <v>8.14</v>
      </c>
      <c r="G32" s="91">
        <v>21.8</v>
      </c>
      <c r="H32" s="92">
        <v>45397</v>
      </c>
      <c r="I32" s="89">
        <v>0.55000000000000004</v>
      </c>
      <c r="J32" s="107">
        <v>7.39</v>
      </c>
      <c r="K32" s="108">
        <v>21.7</v>
      </c>
      <c r="L32" s="109">
        <f t="shared" si="0"/>
        <v>0.75000000000000089</v>
      </c>
      <c r="M32" s="95" t="s">
        <v>12</v>
      </c>
      <c r="N32" s="95" t="s">
        <v>13</v>
      </c>
      <c r="O32" s="106"/>
    </row>
    <row r="33" spans="1:29" ht="15" customHeight="1">
      <c r="A33" s="87" t="s">
        <v>141</v>
      </c>
      <c r="B33" s="88" t="s">
        <v>75</v>
      </c>
      <c r="C33" s="89" t="s">
        <v>75</v>
      </c>
      <c r="D33" s="90">
        <v>45400</v>
      </c>
      <c r="E33" s="89">
        <v>0.66736111111111107</v>
      </c>
      <c r="F33" s="91">
        <v>8.4</v>
      </c>
      <c r="G33" s="91">
        <v>25.5</v>
      </c>
      <c r="H33" s="92">
        <v>45405</v>
      </c>
      <c r="I33" s="89">
        <v>0.45624999999999999</v>
      </c>
      <c r="J33" s="93">
        <v>8.3699999999999992</v>
      </c>
      <c r="K33" s="94">
        <v>25.6</v>
      </c>
      <c r="L33" s="109">
        <f t="shared" si="0"/>
        <v>3.0000000000001137E-2</v>
      </c>
      <c r="M33" s="95" t="s">
        <v>12</v>
      </c>
      <c r="N33" s="95" t="s">
        <v>13</v>
      </c>
      <c r="O33" s="96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5.75" customHeight="1">
      <c r="A34" s="87" t="s">
        <v>172</v>
      </c>
      <c r="B34" s="90">
        <v>45400</v>
      </c>
      <c r="C34" s="89">
        <v>0.36458333333333331</v>
      </c>
      <c r="D34" s="90">
        <v>45400</v>
      </c>
      <c r="E34" s="89">
        <v>0.6743055555555556</v>
      </c>
      <c r="F34" s="91">
        <v>9.0299999999999994</v>
      </c>
      <c r="G34" s="91">
        <v>18.3</v>
      </c>
      <c r="H34" s="92">
        <v>45405</v>
      </c>
      <c r="I34" s="89">
        <v>0.45902777777777776</v>
      </c>
      <c r="J34" s="107">
        <v>8.94</v>
      </c>
      <c r="K34" s="108">
        <v>18.600000000000001</v>
      </c>
      <c r="L34" s="109">
        <f t="shared" si="0"/>
        <v>8.9999999999999858E-2</v>
      </c>
      <c r="M34" s="95" t="s">
        <v>12</v>
      </c>
      <c r="N34" s="95" t="s">
        <v>13</v>
      </c>
      <c r="O34" s="10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" customHeight="1">
      <c r="A35" s="87" t="s">
        <v>173</v>
      </c>
      <c r="B35" s="90">
        <v>45400</v>
      </c>
      <c r="C35" s="89">
        <v>0.36458333333333331</v>
      </c>
      <c r="D35" s="90">
        <v>45400</v>
      </c>
      <c r="E35" s="89">
        <v>0.68611111111111112</v>
      </c>
      <c r="F35" s="91">
        <v>8.76</v>
      </c>
      <c r="G35" s="91">
        <v>19.7</v>
      </c>
      <c r="H35" s="92">
        <v>45405</v>
      </c>
      <c r="I35" s="89">
        <v>0.46250000000000002</v>
      </c>
      <c r="J35" s="107">
        <v>8.4600000000000009</v>
      </c>
      <c r="K35" s="108">
        <v>20.8</v>
      </c>
      <c r="L35" s="109">
        <f t="shared" si="0"/>
        <v>0.29999999999999893</v>
      </c>
      <c r="M35" s="95" t="s">
        <v>12</v>
      </c>
      <c r="N35" s="95" t="s">
        <v>13</v>
      </c>
      <c r="O35" s="11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5" customHeight="1">
      <c r="A36" s="87" t="s">
        <v>174</v>
      </c>
      <c r="B36" s="90">
        <v>45400</v>
      </c>
      <c r="C36" s="89">
        <v>0.39513888888888887</v>
      </c>
      <c r="D36" s="90">
        <v>45400</v>
      </c>
      <c r="E36" s="89">
        <v>0.69374999999999998</v>
      </c>
      <c r="F36" s="91">
        <v>8.83</v>
      </c>
      <c r="G36" s="91">
        <v>20.6</v>
      </c>
      <c r="H36" s="92">
        <v>45405</v>
      </c>
      <c r="I36" s="89">
        <v>0.46458333333333335</v>
      </c>
      <c r="J36" s="107">
        <v>8.4700000000000006</v>
      </c>
      <c r="K36" s="108">
        <v>21.1</v>
      </c>
      <c r="L36" s="109">
        <f t="shared" si="0"/>
        <v>0.35999999999999943</v>
      </c>
      <c r="M36" s="95" t="s">
        <v>12</v>
      </c>
      <c r="N36" s="95" t="s">
        <v>13</v>
      </c>
      <c r="O36" s="112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5.75" customHeight="1">
      <c r="A37" s="87" t="s">
        <v>175</v>
      </c>
      <c r="B37" s="90">
        <v>45400</v>
      </c>
      <c r="C37" s="89">
        <v>0.39513888888888887</v>
      </c>
      <c r="D37" s="90">
        <v>45400</v>
      </c>
      <c r="E37" s="89">
        <v>0.69652777777777775</v>
      </c>
      <c r="F37" s="91">
        <v>8.36</v>
      </c>
      <c r="G37" s="91">
        <v>20.5</v>
      </c>
      <c r="H37" s="92">
        <v>45405</v>
      </c>
      <c r="I37" s="89">
        <v>0.46666666666666667</v>
      </c>
      <c r="J37" s="107">
        <v>8.2899999999999991</v>
      </c>
      <c r="K37" s="108">
        <v>21</v>
      </c>
      <c r="L37" s="109">
        <f t="shared" si="0"/>
        <v>7.0000000000000284E-2</v>
      </c>
      <c r="M37" s="95" t="s">
        <v>12</v>
      </c>
      <c r="N37" s="95" t="s">
        <v>13</v>
      </c>
      <c r="O37" s="106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5.75" customHeight="1">
      <c r="A38" s="87" t="s">
        <v>176</v>
      </c>
      <c r="B38" s="90">
        <v>45400</v>
      </c>
      <c r="C38" s="89">
        <v>0.44444444444444442</v>
      </c>
      <c r="D38" s="90">
        <v>45400</v>
      </c>
      <c r="E38" s="89">
        <v>0.71458333333333335</v>
      </c>
      <c r="F38" s="91">
        <v>8.44</v>
      </c>
      <c r="G38" s="91">
        <v>21.4</v>
      </c>
      <c r="H38" s="92">
        <v>45405</v>
      </c>
      <c r="I38" s="89">
        <v>0.47222222222222221</v>
      </c>
      <c r="J38" s="107">
        <v>8.16</v>
      </c>
      <c r="K38" s="108">
        <v>18.7</v>
      </c>
      <c r="L38" s="109">
        <f t="shared" si="0"/>
        <v>0.27999999999999936</v>
      </c>
      <c r="M38" s="95" t="s">
        <v>12</v>
      </c>
      <c r="N38" s="95" t="s">
        <v>13</v>
      </c>
      <c r="O38" s="106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5.75" customHeight="1">
      <c r="A39" s="87" t="s">
        <v>177</v>
      </c>
      <c r="B39" s="90">
        <v>45400</v>
      </c>
      <c r="C39" s="89">
        <v>0.44444444444444442</v>
      </c>
      <c r="D39" s="90">
        <v>45400</v>
      </c>
      <c r="E39" s="89">
        <v>0.71875</v>
      </c>
      <c r="F39" s="91">
        <v>8.42</v>
      </c>
      <c r="G39" s="91">
        <v>21.8</v>
      </c>
      <c r="H39" s="92">
        <v>45405</v>
      </c>
      <c r="I39" s="89">
        <v>0.47499999999999998</v>
      </c>
      <c r="J39" s="107">
        <v>8.11</v>
      </c>
      <c r="K39" s="108">
        <v>20.100000000000001</v>
      </c>
      <c r="L39" s="109">
        <f t="shared" si="0"/>
        <v>0.3100000000000005</v>
      </c>
      <c r="M39" s="95" t="s">
        <v>12</v>
      </c>
      <c r="N39" s="95" t="s">
        <v>13</v>
      </c>
      <c r="O39" s="106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5.75" customHeight="1">
      <c r="A40" s="97" t="s">
        <v>178</v>
      </c>
      <c r="B40" s="98">
        <v>45400</v>
      </c>
      <c r="C40" s="99">
        <v>0.47222222222222221</v>
      </c>
      <c r="D40" s="98">
        <v>45400</v>
      </c>
      <c r="E40" s="99">
        <v>0.7104166666666667</v>
      </c>
      <c r="F40" s="100">
        <v>8.5500000000000007</v>
      </c>
      <c r="G40" s="100">
        <v>21.5</v>
      </c>
      <c r="H40" s="101">
        <v>45405</v>
      </c>
      <c r="I40" s="99">
        <v>0.48055555555555557</v>
      </c>
      <c r="J40" s="105">
        <v>7.1</v>
      </c>
      <c r="K40" s="103">
        <v>19.7</v>
      </c>
      <c r="L40" s="104">
        <f t="shared" si="0"/>
        <v>1.4500000000000011</v>
      </c>
      <c r="M40" s="95" t="s">
        <v>12</v>
      </c>
      <c r="N40" s="95" t="s">
        <v>13</v>
      </c>
      <c r="O40" s="121">
        <f>L40-L41</f>
        <v>1.0400000000000009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5.75" customHeight="1">
      <c r="A41" s="97" t="s">
        <v>179</v>
      </c>
      <c r="B41" s="98">
        <v>45400</v>
      </c>
      <c r="C41" s="99">
        <v>0.97222222222222221</v>
      </c>
      <c r="D41" s="98">
        <v>45400</v>
      </c>
      <c r="E41" s="99">
        <v>0.70902777777777781</v>
      </c>
      <c r="F41" s="100">
        <v>8.59</v>
      </c>
      <c r="G41" s="100">
        <v>21.5</v>
      </c>
      <c r="H41" s="101">
        <v>45405</v>
      </c>
      <c r="I41" s="99">
        <v>0.47986111111111113</v>
      </c>
      <c r="J41" s="105">
        <v>8.18</v>
      </c>
      <c r="K41" s="103">
        <v>20.6</v>
      </c>
      <c r="L41" s="104">
        <f t="shared" si="0"/>
        <v>0.41000000000000014</v>
      </c>
      <c r="M41" s="95" t="s">
        <v>12</v>
      </c>
      <c r="N41" s="95" t="s">
        <v>13</v>
      </c>
      <c r="O41" s="106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5.75" customHeight="1">
      <c r="A42" s="87" t="s">
        <v>180</v>
      </c>
      <c r="B42" s="90">
        <v>45400</v>
      </c>
      <c r="C42" s="89">
        <v>0.97222222222222221</v>
      </c>
      <c r="D42" s="90">
        <v>45400</v>
      </c>
      <c r="E42" s="89">
        <v>0.70972222222222225</v>
      </c>
      <c r="F42" s="91">
        <v>8.5399999999999991</v>
      </c>
      <c r="G42" s="91">
        <v>21.5</v>
      </c>
      <c r="H42" s="92">
        <v>45405</v>
      </c>
      <c r="I42" s="89">
        <v>0.4777777777777778</v>
      </c>
      <c r="J42" s="107">
        <v>8.2200000000000006</v>
      </c>
      <c r="K42" s="108">
        <v>20.5</v>
      </c>
      <c r="L42" s="109">
        <f t="shared" si="0"/>
        <v>0.31999999999999851</v>
      </c>
      <c r="M42" s="95" t="s">
        <v>12</v>
      </c>
      <c r="N42" s="95" t="s">
        <v>13</v>
      </c>
      <c r="O42" s="106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.75" customHeight="1">
      <c r="A43" s="87" t="s">
        <v>181</v>
      </c>
      <c r="B43" s="90">
        <v>45400</v>
      </c>
      <c r="C43" s="89">
        <v>0.97222222222222221</v>
      </c>
      <c r="D43" s="90">
        <v>45400</v>
      </c>
      <c r="E43" s="89">
        <v>0.70138888888888884</v>
      </c>
      <c r="F43" s="91">
        <v>8.76</v>
      </c>
      <c r="G43" s="91">
        <v>21.5</v>
      </c>
      <c r="H43" s="92">
        <v>45405</v>
      </c>
      <c r="I43" s="89">
        <v>0.48402777777777778</v>
      </c>
      <c r="J43" s="107">
        <v>8.06</v>
      </c>
      <c r="K43" s="108">
        <v>18.8</v>
      </c>
      <c r="L43" s="109">
        <f t="shared" si="0"/>
        <v>0.69999999999999929</v>
      </c>
      <c r="M43" s="95" t="s">
        <v>12</v>
      </c>
      <c r="N43" s="95" t="s">
        <v>13</v>
      </c>
      <c r="O43" s="106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5.75" customHeight="1">
      <c r="A44" s="87" t="s">
        <v>182</v>
      </c>
      <c r="B44" s="90">
        <v>45400</v>
      </c>
      <c r="C44" s="89">
        <v>0.53194444444444444</v>
      </c>
      <c r="D44" s="90">
        <v>45400</v>
      </c>
      <c r="E44" s="89">
        <v>0.72222222222222221</v>
      </c>
      <c r="F44" s="91">
        <v>8.17</v>
      </c>
      <c r="G44" s="91">
        <v>22.4</v>
      </c>
      <c r="H44" s="92">
        <v>45405</v>
      </c>
      <c r="I44" s="89">
        <v>0.4861111111111111</v>
      </c>
      <c r="J44" s="107">
        <v>7.73</v>
      </c>
      <c r="K44" s="108">
        <v>20</v>
      </c>
      <c r="L44" s="109">
        <f t="shared" si="0"/>
        <v>0.4399999999999995</v>
      </c>
      <c r="M44" s="95" t="s">
        <v>12</v>
      </c>
      <c r="N44" s="95" t="s">
        <v>13</v>
      </c>
      <c r="O44" s="106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5.75" customHeight="1">
      <c r="A45" s="87" t="s">
        <v>183</v>
      </c>
      <c r="B45" s="90">
        <v>45400</v>
      </c>
      <c r="C45" s="89">
        <v>0.53194444444444444</v>
      </c>
      <c r="D45" s="90">
        <v>45400</v>
      </c>
      <c r="E45" s="89">
        <v>0.72361111111111109</v>
      </c>
      <c r="F45" s="91">
        <v>8.07</v>
      </c>
      <c r="G45" s="91">
        <v>22</v>
      </c>
      <c r="H45" s="92">
        <v>45405</v>
      </c>
      <c r="I45" s="89">
        <v>0.48819444444444443</v>
      </c>
      <c r="J45" s="107">
        <v>7.69</v>
      </c>
      <c r="K45" s="108">
        <v>20.2</v>
      </c>
      <c r="L45" s="109">
        <f t="shared" si="0"/>
        <v>0.37999999999999989</v>
      </c>
      <c r="M45" s="95" t="s">
        <v>12</v>
      </c>
      <c r="N45" s="95" t="s">
        <v>13</v>
      </c>
      <c r="O45" s="106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" customHeight="1">
      <c r="A46" s="87" t="s">
        <v>141</v>
      </c>
      <c r="B46" s="88" t="s">
        <v>75</v>
      </c>
      <c r="C46" s="88" t="s">
        <v>75</v>
      </c>
      <c r="D46" s="90">
        <v>45040</v>
      </c>
      <c r="E46" s="89">
        <v>0.41041666666666665</v>
      </c>
      <c r="F46" s="91">
        <v>8.4600000000000009</v>
      </c>
      <c r="G46" s="91">
        <v>24.9</v>
      </c>
      <c r="H46" s="92">
        <v>45411</v>
      </c>
      <c r="I46" s="89">
        <v>0.5854166666666667</v>
      </c>
      <c r="J46" s="93">
        <v>8.42</v>
      </c>
      <c r="K46" s="94">
        <v>25.1</v>
      </c>
      <c r="L46" s="89" t="s">
        <v>75</v>
      </c>
      <c r="M46" s="95" t="s">
        <v>12</v>
      </c>
      <c r="N46" s="95" t="s">
        <v>13</v>
      </c>
      <c r="O46" s="96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ht="15.75" customHeight="1">
      <c r="A47" s="87" t="s">
        <v>184</v>
      </c>
      <c r="B47" s="90">
        <v>45405</v>
      </c>
      <c r="C47" s="89">
        <v>0.37013888888888891</v>
      </c>
      <c r="D47" s="90">
        <v>45040</v>
      </c>
      <c r="E47" s="89">
        <v>0.41805555555555557</v>
      </c>
      <c r="F47" s="88">
        <v>8.64</v>
      </c>
      <c r="G47" s="91">
        <v>21.3</v>
      </c>
      <c r="H47" s="92">
        <v>45411</v>
      </c>
      <c r="I47" s="89">
        <v>0.58472222222222225</v>
      </c>
      <c r="J47" s="107">
        <v>8.4499999999999993</v>
      </c>
      <c r="K47" s="108">
        <v>19.100000000000001</v>
      </c>
      <c r="L47" s="109">
        <f t="shared" ref="L47:L60" si="1">F47-J47</f>
        <v>0.19000000000000128</v>
      </c>
      <c r="M47" s="95" t="s">
        <v>12</v>
      </c>
      <c r="N47" s="95" t="s">
        <v>13</v>
      </c>
      <c r="O47" s="106"/>
    </row>
    <row r="48" spans="1:29" ht="15.75" customHeight="1">
      <c r="A48" s="87" t="s">
        <v>185</v>
      </c>
      <c r="B48" s="90">
        <v>45405</v>
      </c>
      <c r="C48" s="89">
        <v>0.37013888888888891</v>
      </c>
      <c r="D48" s="90">
        <v>45040</v>
      </c>
      <c r="E48" s="89">
        <v>0.4236111111111111</v>
      </c>
      <c r="F48" s="91">
        <v>8.82</v>
      </c>
      <c r="G48" s="91">
        <v>21.2</v>
      </c>
      <c r="H48" s="92">
        <v>45411</v>
      </c>
      <c r="I48" s="89">
        <v>0.58750000000000002</v>
      </c>
      <c r="J48" s="107">
        <v>8.4</v>
      </c>
      <c r="K48" s="108">
        <v>19.5</v>
      </c>
      <c r="L48" s="109">
        <f t="shared" si="1"/>
        <v>0.41999999999999993</v>
      </c>
      <c r="M48" s="95" t="s">
        <v>12</v>
      </c>
      <c r="N48" s="95" t="s">
        <v>13</v>
      </c>
      <c r="O48" s="10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 ht="15" customHeight="1">
      <c r="A49" s="87" t="s">
        <v>186</v>
      </c>
      <c r="B49" s="90">
        <v>45405</v>
      </c>
      <c r="C49" s="89">
        <v>0.3972222222222222</v>
      </c>
      <c r="D49" s="90">
        <v>45040</v>
      </c>
      <c r="E49" s="89">
        <v>0.42638888888888887</v>
      </c>
      <c r="F49" s="91">
        <v>8.39</v>
      </c>
      <c r="G49" s="91">
        <v>20.7</v>
      </c>
      <c r="H49" s="92">
        <v>45411</v>
      </c>
      <c r="I49" s="89">
        <v>0.58888888888888891</v>
      </c>
      <c r="J49" s="107">
        <v>8.17</v>
      </c>
      <c r="K49" s="108">
        <v>20.3</v>
      </c>
      <c r="L49" s="109">
        <f t="shared" si="1"/>
        <v>0.22000000000000064</v>
      </c>
      <c r="M49" s="95" t="s">
        <v>12</v>
      </c>
      <c r="N49" s="95" t="s">
        <v>13</v>
      </c>
      <c r="O49" s="111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ht="15" customHeight="1">
      <c r="A50" s="87" t="s">
        <v>187</v>
      </c>
      <c r="B50" s="90">
        <v>45405</v>
      </c>
      <c r="C50" s="89">
        <v>0.3972222222222222</v>
      </c>
      <c r="D50" s="90">
        <v>45040</v>
      </c>
      <c r="E50" s="89">
        <v>0.42986111111111114</v>
      </c>
      <c r="F50" s="91">
        <v>8.39</v>
      </c>
      <c r="G50" s="91">
        <v>21.3</v>
      </c>
      <c r="H50" s="92">
        <v>45411</v>
      </c>
      <c r="I50" s="89">
        <v>0.59027777777777779</v>
      </c>
      <c r="J50" s="107">
        <v>8.16</v>
      </c>
      <c r="K50" s="108">
        <v>20.2</v>
      </c>
      <c r="L50" s="109">
        <f t="shared" si="1"/>
        <v>0.23000000000000043</v>
      </c>
      <c r="M50" s="95" t="s">
        <v>12</v>
      </c>
      <c r="N50" s="95" t="s">
        <v>13</v>
      </c>
      <c r="O50" s="11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5.75" customHeight="1">
      <c r="A51" s="87" t="s">
        <v>188</v>
      </c>
      <c r="B51" s="90">
        <v>45405</v>
      </c>
      <c r="C51" s="89">
        <v>0.41041666666666665</v>
      </c>
      <c r="D51" s="90">
        <v>45040</v>
      </c>
      <c r="E51" s="89">
        <v>0.43333333333333335</v>
      </c>
      <c r="F51" s="91">
        <v>8.52</v>
      </c>
      <c r="G51" s="91">
        <v>21.6</v>
      </c>
      <c r="H51" s="92">
        <v>45411</v>
      </c>
      <c r="I51" s="89">
        <v>0.59097222222222223</v>
      </c>
      <c r="J51" s="107">
        <v>8.15</v>
      </c>
      <c r="K51" s="108">
        <v>19.899999999999999</v>
      </c>
      <c r="L51" s="109">
        <f t="shared" si="1"/>
        <v>0.36999999999999922</v>
      </c>
      <c r="M51" s="95" t="s">
        <v>12</v>
      </c>
      <c r="N51" s="95" t="s">
        <v>13</v>
      </c>
      <c r="O51" s="106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5.75" customHeight="1">
      <c r="A52" s="87" t="s">
        <v>189</v>
      </c>
      <c r="B52" s="90">
        <v>45405</v>
      </c>
      <c r="C52" s="89">
        <v>0.41041666666666665</v>
      </c>
      <c r="D52" s="90">
        <v>45040</v>
      </c>
      <c r="E52" s="89">
        <v>0.43611111111111112</v>
      </c>
      <c r="F52" s="91">
        <v>8.5</v>
      </c>
      <c r="G52" s="91">
        <v>21.5</v>
      </c>
      <c r="H52" s="92">
        <v>45411</v>
      </c>
      <c r="I52" s="89">
        <v>0.59236111111111112</v>
      </c>
      <c r="J52" s="107">
        <v>7.89</v>
      </c>
      <c r="K52" s="108">
        <v>20.2</v>
      </c>
      <c r="L52" s="109">
        <f t="shared" si="1"/>
        <v>0.61000000000000032</v>
      </c>
      <c r="M52" s="95" t="s">
        <v>12</v>
      </c>
      <c r="N52" s="95" t="s">
        <v>13</v>
      </c>
      <c r="O52" s="106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5.75" customHeight="1">
      <c r="A53" s="97" t="s">
        <v>190</v>
      </c>
      <c r="B53" s="98">
        <v>45405</v>
      </c>
      <c r="C53" s="99">
        <v>0.47361111111111109</v>
      </c>
      <c r="D53" s="98">
        <v>45040</v>
      </c>
      <c r="E53" s="99">
        <v>0.44236111111111109</v>
      </c>
      <c r="F53" s="100">
        <v>8.4600000000000009</v>
      </c>
      <c r="G53" s="100">
        <v>21.4</v>
      </c>
      <c r="H53" s="101">
        <v>45411</v>
      </c>
      <c r="I53" s="99">
        <v>0.58680555555555558</v>
      </c>
      <c r="J53" s="105">
        <v>5.86</v>
      </c>
      <c r="K53" s="103">
        <v>20.6</v>
      </c>
      <c r="L53" s="104">
        <f t="shared" si="1"/>
        <v>2.6000000000000005</v>
      </c>
      <c r="M53" s="95" t="s">
        <v>12</v>
      </c>
      <c r="N53" s="95" t="s">
        <v>13</v>
      </c>
      <c r="O53" s="121">
        <f>L53-L54</f>
        <v>2.0300000000000002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5.75" customHeight="1">
      <c r="A54" s="97" t="s">
        <v>191</v>
      </c>
      <c r="B54" s="98">
        <v>45405</v>
      </c>
      <c r="C54" s="99">
        <v>0.47361111111111109</v>
      </c>
      <c r="D54" s="98">
        <v>45040</v>
      </c>
      <c r="E54" s="99">
        <v>0.44166666666666665</v>
      </c>
      <c r="F54" s="100">
        <v>8.49</v>
      </c>
      <c r="G54" s="100">
        <v>21.5</v>
      </c>
      <c r="H54" s="101">
        <v>45411</v>
      </c>
      <c r="I54" s="99">
        <v>0.59513888888888888</v>
      </c>
      <c r="J54" s="105">
        <v>7.92</v>
      </c>
      <c r="K54" s="103">
        <v>20.8</v>
      </c>
      <c r="L54" s="104">
        <f t="shared" si="1"/>
        <v>0.57000000000000028</v>
      </c>
      <c r="M54" s="95" t="s">
        <v>12</v>
      </c>
      <c r="N54" s="95" t="s">
        <v>13</v>
      </c>
      <c r="O54" s="106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5.75" customHeight="1">
      <c r="A55" s="87" t="s">
        <v>192</v>
      </c>
      <c r="B55" s="90">
        <v>45405</v>
      </c>
      <c r="C55" s="89">
        <v>0.47361111111111109</v>
      </c>
      <c r="D55" s="90">
        <v>45040</v>
      </c>
      <c r="E55" s="89">
        <v>0.44097222222222221</v>
      </c>
      <c r="F55" s="91">
        <v>8.5399999999999991</v>
      </c>
      <c r="G55" s="91">
        <v>21.5</v>
      </c>
      <c r="H55" s="92">
        <v>45411</v>
      </c>
      <c r="I55" s="89">
        <v>0.59583333333333333</v>
      </c>
      <c r="J55" s="107">
        <v>7.93</v>
      </c>
      <c r="K55" s="108">
        <v>20.399999999999999</v>
      </c>
      <c r="L55" s="109">
        <f t="shared" si="1"/>
        <v>0.60999999999999943</v>
      </c>
      <c r="M55" s="95" t="s">
        <v>12</v>
      </c>
      <c r="N55" s="95" t="s">
        <v>13</v>
      </c>
      <c r="O55" s="106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5.75" customHeight="1">
      <c r="A56" s="87" t="s">
        <v>193</v>
      </c>
      <c r="B56" s="90">
        <v>45405</v>
      </c>
      <c r="C56" s="89">
        <v>0.47361111111111109</v>
      </c>
      <c r="D56" s="90">
        <v>45040</v>
      </c>
      <c r="E56" s="89">
        <v>0.44583333333333336</v>
      </c>
      <c r="F56" s="91">
        <v>8.33</v>
      </c>
      <c r="G56" s="91">
        <v>21.8</v>
      </c>
      <c r="H56" s="92">
        <v>45411</v>
      </c>
      <c r="I56" s="89">
        <v>0.59722222222222221</v>
      </c>
      <c r="J56" s="107">
        <v>8</v>
      </c>
      <c r="K56" s="108">
        <v>20.6</v>
      </c>
      <c r="L56" s="109">
        <f t="shared" si="1"/>
        <v>0.33000000000000007</v>
      </c>
      <c r="M56" s="95" t="s">
        <v>12</v>
      </c>
      <c r="N56" s="95" t="s">
        <v>13</v>
      </c>
      <c r="O56" s="106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.75" customHeight="1">
      <c r="A57" s="87" t="s">
        <v>194</v>
      </c>
      <c r="B57" s="90">
        <v>45405</v>
      </c>
      <c r="C57" s="89">
        <v>0.49305555555555558</v>
      </c>
      <c r="D57" s="90">
        <v>45040</v>
      </c>
      <c r="E57" s="89">
        <v>0.44930555555555557</v>
      </c>
      <c r="F57" s="91">
        <v>8.65</v>
      </c>
      <c r="G57" s="91">
        <v>20.8</v>
      </c>
      <c r="H57" s="92">
        <v>45411</v>
      </c>
      <c r="I57" s="89">
        <v>0.59930555555555554</v>
      </c>
      <c r="J57" s="107">
        <v>8.1300000000000008</v>
      </c>
      <c r="K57" s="108">
        <v>20.2</v>
      </c>
      <c r="L57" s="109">
        <f t="shared" si="1"/>
        <v>0.51999999999999957</v>
      </c>
      <c r="M57" s="95" t="s">
        <v>12</v>
      </c>
      <c r="N57" s="95" t="s">
        <v>13</v>
      </c>
      <c r="O57" s="106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.75" customHeight="1">
      <c r="A58" s="87" t="s">
        <v>195</v>
      </c>
      <c r="B58" s="90">
        <v>45405</v>
      </c>
      <c r="C58" s="89">
        <v>0.49305555555555558</v>
      </c>
      <c r="D58" s="90">
        <v>45040</v>
      </c>
      <c r="E58" s="89">
        <v>0.4548611111111111</v>
      </c>
      <c r="F58" s="91">
        <v>8.69</v>
      </c>
      <c r="G58" s="91">
        <v>21.1</v>
      </c>
      <c r="H58" s="92">
        <v>45411</v>
      </c>
      <c r="I58" s="89">
        <v>0.6</v>
      </c>
      <c r="J58" s="107">
        <v>8.0399999999999991</v>
      </c>
      <c r="K58" s="108">
        <v>19.5</v>
      </c>
      <c r="L58" s="109">
        <f t="shared" si="1"/>
        <v>0.65000000000000036</v>
      </c>
      <c r="M58" s="95" t="s">
        <v>12</v>
      </c>
      <c r="N58" s="95" t="s">
        <v>13</v>
      </c>
      <c r="O58" s="106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5.75" customHeight="1">
      <c r="A59" s="87" t="s">
        <v>196</v>
      </c>
      <c r="B59" s="90">
        <v>45405</v>
      </c>
      <c r="C59" s="89">
        <v>0.51249999999999996</v>
      </c>
      <c r="D59" s="90">
        <v>45040</v>
      </c>
      <c r="E59" s="89">
        <v>0.45208333333333334</v>
      </c>
      <c r="F59" s="91">
        <v>8.35</v>
      </c>
      <c r="G59" s="91">
        <v>21.6</v>
      </c>
      <c r="H59" s="92">
        <v>45411</v>
      </c>
      <c r="I59" s="89">
        <v>0.60138888888888886</v>
      </c>
      <c r="J59" s="107">
        <v>7.61</v>
      </c>
      <c r="K59" s="108">
        <v>20.3</v>
      </c>
      <c r="L59" s="109">
        <f t="shared" si="1"/>
        <v>0.73999999999999932</v>
      </c>
      <c r="M59" s="95" t="s">
        <v>12</v>
      </c>
      <c r="N59" s="95" t="s">
        <v>13</v>
      </c>
      <c r="O59" s="106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5.75" customHeight="1">
      <c r="A60" s="87" t="s">
        <v>197</v>
      </c>
      <c r="B60" s="90">
        <v>45405</v>
      </c>
      <c r="C60" s="89">
        <v>0.51249999999999996</v>
      </c>
      <c r="D60" s="90">
        <v>45040</v>
      </c>
      <c r="E60" s="89">
        <v>0.45624999999999999</v>
      </c>
      <c r="F60" s="91">
        <v>8.5</v>
      </c>
      <c r="G60" s="91">
        <v>21.4</v>
      </c>
      <c r="H60" s="92">
        <v>45411</v>
      </c>
      <c r="I60" s="89">
        <v>0.60416666666666663</v>
      </c>
      <c r="J60" s="107">
        <v>8.02</v>
      </c>
      <c r="K60" s="108">
        <v>20</v>
      </c>
      <c r="L60" s="109">
        <f t="shared" si="1"/>
        <v>0.48000000000000043</v>
      </c>
      <c r="M60" s="95" t="s">
        <v>12</v>
      </c>
      <c r="N60" s="95" t="s">
        <v>13</v>
      </c>
      <c r="O60" s="106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5" customHeight="1">
      <c r="A61" s="87" t="s">
        <v>141</v>
      </c>
      <c r="B61" s="88" t="s">
        <v>75</v>
      </c>
      <c r="C61" s="88" t="s">
        <v>75</v>
      </c>
      <c r="D61" s="90">
        <v>45407</v>
      </c>
      <c r="E61" s="89">
        <v>0.63611111111111107</v>
      </c>
      <c r="F61" s="91">
        <v>8.31</v>
      </c>
      <c r="G61" s="91">
        <v>25.6</v>
      </c>
      <c r="H61" s="92">
        <v>45412</v>
      </c>
      <c r="I61" s="89">
        <v>0.6333333333333333</v>
      </c>
      <c r="J61" s="93">
        <v>8.3699999999999992</v>
      </c>
      <c r="K61" s="94">
        <v>25.5</v>
      </c>
      <c r="L61" s="89" t="s">
        <v>75</v>
      </c>
      <c r="M61" s="95" t="s">
        <v>12</v>
      </c>
      <c r="N61" s="95" t="s">
        <v>13</v>
      </c>
      <c r="O61" s="96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ht="15.75" customHeight="1">
      <c r="A62" s="87" t="s">
        <v>198</v>
      </c>
      <c r="B62" s="90">
        <v>45407</v>
      </c>
      <c r="C62" s="89">
        <v>0.33194444444444443</v>
      </c>
      <c r="D62" s="90">
        <v>45407</v>
      </c>
      <c r="E62" s="89">
        <v>0.64652777777777781</v>
      </c>
      <c r="F62" s="91">
        <v>8.2100000000000009</v>
      </c>
      <c r="G62" s="91">
        <v>19.3</v>
      </c>
      <c r="H62" s="92">
        <v>45412</v>
      </c>
      <c r="I62" s="89">
        <v>0.64166666666666672</v>
      </c>
      <c r="J62" s="107">
        <v>7.84</v>
      </c>
      <c r="K62" s="108">
        <v>18.7</v>
      </c>
      <c r="L62" s="109">
        <f t="shared" ref="L62:L94" si="2">F62-J62</f>
        <v>0.37000000000000099</v>
      </c>
      <c r="M62" s="95" t="s">
        <v>12</v>
      </c>
      <c r="N62" s="95" t="s">
        <v>13</v>
      </c>
      <c r="O62" s="106"/>
    </row>
    <row r="63" spans="1:29" ht="15.75" customHeight="1">
      <c r="A63" s="87" t="s">
        <v>199</v>
      </c>
      <c r="B63" s="90">
        <v>45407</v>
      </c>
      <c r="C63" s="89">
        <v>0.33194444444444443</v>
      </c>
      <c r="D63" s="90">
        <v>45407</v>
      </c>
      <c r="E63" s="89">
        <v>0.6430555555555556</v>
      </c>
      <c r="F63" s="91">
        <v>8.84</v>
      </c>
      <c r="G63" s="91">
        <v>18.7</v>
      </c>
      <c r="H63" s="92">
        <v>45412</v>
      </c>
      <c r="I63" s="89">
        <v>0.64027777777777772</v>
      </c>
      <c r="J63" s="107">
        <v>8.52</v>
      </c>
      <c r="K63" s="108">
        <v>19.100000000000001</v>
      </c>
      <c r="L63" s="109">
        <f t="shared" si="2"/>
        <v>0.32000000000000028</v>
      </c>
      <c r="M63" s="95" t="s">
        <v>12</v>
      </c>
      <c r="N63" s="95" t="s">
        <v>13</v>
      </c>
      <c r="O63" s="10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ht="15" customHeight="1">
      <c r="A64" s="87" t="s">
        <v>200</v>
      </c>
      <c r="B64" s="90">
        <v>45407</v>
      </c>
      <c r="C64" s="89">
        <v>0.36180555555555555</v>
      </c>
      <c r="D64" s="90">
        <v>45407</v>
      </c>
      <c r="E64" s="89">
        <v>0.64444444444444449</v>
      </c>
      <c r="F64" s="91">
        <v>8.41</v>
      </c>
      <c r="G64" s="91">
        <v>20.399999999999999</v>
      </c>
      <c r="H64" s="92">
        <v>45412</v>
      </c>
      <c r="I64" s="89">
        <v>0.64444444444444449</v>
      </c>
      <c r="J64" s="107">
        <v>8.02</v>
      </c>
      <c r="K64" s="108">
        <v>20.7</v>
      </c>
      <c r="L64" s="109">
        <f t="shared" si="2"/>
        <v>0.39000000000000057</v>
      </c>
      <c r="M64" s="95" t="s">
        <v>12</v>
      </c>
      <c r="N64" s="95" t="s">
        <v>13</v>
      </c>
      <c r="O64" s="111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ht="15" customHeight="1">
      <c r="A65" s="87" t="s">
        <v>201</v>
      </c>
      <c r="B65" s="90">
        <v>45407</v>
      </c>
      <c r="C65" s="89">
        <v>0.36180555555555555</v>
      </c>
      <c r="D65" s="90">
        <v>45407</v>
      </c>
      <c r="E65" s="89">
        <v>0.64652777777777781</v>
      </c>
      <c r="F65" s="91">
        <v>8.42</v>
      </c>
      <c r="G65" s="91">
        <v>20.5</v>
      </c>
      <c r="H65" s="92">
        <v>45412</v>
      </c>
      <c r="I65" s="89">
        <v>0.14722222222222223</v>
      </c>
      <c r="J65" s="107">
        <v>8.09</v>
      </c>
      <c r="K65" s="108">
        <v>20.2</v>
      </c>
      <c r="L65" s="109">
        <f t="shared" si="2"/>
        <v>0.33000000000000007</v>
      </c>
      <c r="M65" s="95" t="s">
        <v>12</v>
      </c>
      <c r="N65" s="95" t="s">
        <v>13</v>
      </c>
      <c r="O65" s="112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ht="15" customHeight="1">
      <c r="A66" s="97" t="s">
        <v>202</v>
      </c>
      <c r="B66" s="98">
        <v>45407</v>
      </c>
      <c r="C66" s="122">
        <v>0.3888888888888889</v>
      </c>
      <c r="D66" s="98">
        <v>45407</v>
      </c>
      <c r="E66" s="99">
        <v>0.65208333333333335</v>
      </c>
      <c r="F66" s="100">
        <v>8.3000000000000007</v>
      </c>
      <c r="G66" s="100">
        <v>22.1</v>
      </c>
      <c r="H66" s="101">
        <v>45412</v>
      </c>
      <c r="I66" s="99">
        <v>0.64861111111111114</v>
      </c>
      <c r="J66" s="105">
        <v>6.22</v>
      </c>
      <c r="K66" s="103">
        <v>20.2</v>
      </c>
      <c r="L66" s="104">
        <f t="shared" si="2"/>
        <v>2.080000000000001</v>
      </c>
      <c r="M66" s="95" t="s">
        <v>12</v>
      </c>
      <c r="N66" s="95" t="s">
        <v>13</v>
      </c>
      <c r="O66" s="121">
        <f>L66-L67</f>
        <v>1.6800000000000006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5.75" customHeight="1">
      <c r="A67" s="97" t="s">
        <v>203</v>
      </c>
      <c r="B67" s="98">
        <v>45407</v>
      </c>
      <c r="C67" s="99">
        <v>0.3888888888888889</v>
      </c>
      <c r="D67" s="98">
        <v>45407</v>
      </c>
      <c r="E67" s="99">
        <v>0.65138888888888891</v>
      </c>
      <c r="F67" s="100">
        <v>8.17</v>
      </c>
      <c r="G67" s="100">
        <v>21.8</v>
      </c>
      <c r="H67" s="101">
        <v>45412</v>
      </c>
      <c r="I67" s="99">
        <v>0.65</v>
      </c>
      <c r="J67" s="105">
        <v>7.77</v>
      </c>
      <c r="K67" s="103">
        <v>19.899999999999999</v>
      </c>
      <c r="L67" s="104">
        <f t="shared" si="2"/>
        <v>0.40000000000000036</v>
      </c>
      <c r="M67" s="95" t="s">
        <v>12</v>
      </c>
      <c r="N67" s="95" t="s">
        <v>13</v>
      </c>
      <c r="O67" s="106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ht="15.75" customHeight="1">
      <c r="A68" s="87" t="s">
        <v>204</v>
      </c>
      <c r="B68" s="90">
        <v>45407</v>
      </c>
      <c r="C68" s="110">
        <v>0.3888888888888889</v>
      </c>
      <c r="D68" s="90">
        <v>45407</v>
      </c>
      <c r="E68" s="89">
        <v>0.65069444444444446</v>
      </c>
      <c r="F68" s="91">
        <v>8.17</v>
      </c>
      <c r="G68" s="91">
        <v>21.9</v>
      </c>
      <c r="H68" s="92">
        <v>45412</v>
      </c>
      <c r="I68" s="89">
        <v>0.65138888888888891</v>
      </c>
      <c r="J68" s="107">
        <v>7.96</v>
      </c>
      <c r="K68" s="108">
        <v>19.399999999999999</v>
      </c>
      <c r="L68" s="109">
        <f t="shared" si="2"/>
        <v>0.20999999999999996</v>
      </c>
      <c r="M68" s="95" t="s">
        <v>12</v>
      </c>
      <c r="N68" s="95" t="s">
        <v>13</v>
      </c>
      <c r="O68" s="106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5.75" customHeight="1">
      <c r="A69" s="87" t="s">
        <v>205</v>
      </c>
      <c r="B69" s="90">
        <v>45407</v>
      </c>
      <c r="C69" s="110">
        <v>0.3888888888888889</v>
      </c>
      <c r="D69" s="90">
        <v>45407</v>
      </c>
      <c r="E69" s="89">
        <v>0.65555555555555556</v>
      </c>
      <c r="F69" s="91">
        <v>8.5500000000000007</v>
      </c>
      <c r="G69" s="91">
        <v>21.6</v>
      </c>
      <c r="H69" s="92">
        <v>45412</v>
      </c>
      <c r="I69" s="89">
        <v>0.65208333333333335</v>
      </c>
      <c r="J69" s="107">
        <v>8.2799999999999994</v>
      </c>
      <c r="K69" s="108">
        <v>21</v>
      </c>
      <c r="L69" s="109">
        <f t="shared" si="2"/>
        <v>0.27000000000000135</v>
      </c>
      <c r="M69" s="95" t="s">
        <v>12</v>
      </c>
      <c r="N69" s="95" t="s">
        <v>13</v>
      </c>
      <c r="O69" s="106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5.75" customHeight="1">
      <c r="A70" s="87" t="s">
        <v>206</v>
      </c>
      <c r="B70" s="90">
        <v>45407</v>
      </c>
      <c r="C70" s="89">
        <v>0.40833333333333333</v>
      </c>
      <c r="D70" s="90">
        <v>45407</v>
      </c>
      <c r="E70" s="89">
        <v>0.65625</v>
      </c>
      <c r="F70" s="91">
        <v>8.59</v>
      </c>
      <c r="G70" s="91">
        <v>21.6</v>
      </c>
      <c r="H70" s="92">
        <v>45412</v>
      </c>
      <c r="I70" s="89">
        <v>0.64930555555555558</v>
      </c>
      <c r="J70" s="107">
        <v>8.11</v>
      </c>
      <c r="K70" s="108">
        <v>21</v>
      </c>
      <c r="L70" s="109">
        <f t="shared" si="2"/>
        <v>0.48000000000000043</v>
      </c>
      <c r="M70" s="95" t="s">
        <v>12</v>
      </c>
      <c r="N70" s="95" t="s">
        <v>13</v>
      </c>
      <c r="O70" s="106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5.75" customHeight="1">
      <c r="A71" s="87" t="s">
        <v>207</v>
      </c>
      <c r="B71" s="90">
        <v>45407</v>
      </c>
      <c r="C71" s="89">
        <v>0.40833333333333333</v>
      </c>
      <c r="D71" s="90">
        <v>45407</v>
      </c>
      <c r="E71" s="89">
        <v>0.65902777777777777</v>
      </c>
      <c r="F71" s="91">
        <v>8.56</v>
      </c>
      <c r="G71" s="91">
        <v>20.7</v>
      </c>
      <c r="H71" s="92">
        <v>45412</v>
      </c>
      <c r="I71" s="89">
        <v>0.65069444444444446</v>
      </c>
      <c r="J71" s="107">
        <v>8.17</v>
      </c>
      <c r="K71" s="108">
        <v>20.9</v>
      </c>
      <c r="L71" s="109">
        <f t="shared" si="2"/>
        <v>0.39000000000000057</v>
      </c>
      <c r="M71" s="95" t="s">
        <v>12</v>
      </c>
      <c r="N71" s="95" t="s">
        <v>13</v>
      </c>
      <c r="O71" s="106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15.75" customHeight="1">
      <c r="A72" s="87" t="s">
        <v>208</v>
      </c>
      <c r="B72" s="90">
        <v>45407</v>
      </c>
      <c r="C72" s="89">
        <v>0.43055555555555558</v>
      </c>
      <c r="D72" s="90">
        <v>45407</v>
      </c>
      <c r="E72" s="89">
        <v>0.66249999999999998</v>
      </c>
      <c r="F72" s="91">
        <v>7.91</v>
      </c>
      <c r="G72" s="91">
        <v>22.1</v>
      </c>
      <c r="H72" s="92">
        <v>45412</v>
      </c>
      <c r="I72" s="89">
        <v>0.80972222222222223</v>
      </c>
      <c r="J72" s="107">
        <v>7.5</v>
      </c>
      <c r="K72" s="108">
        <v>20.2</v>
      </c>
      <c r="L72" s="109">
        <f t="shared" si="2"/>
        <v>0.41000000000000014</v>
      </c>
      <c r="M72" s="95" t="s">
        <v>12</v>
      </c>
      <c r="N72" s="95" t="s">
        <v>13</v>
      </c>
      <c r="O72" s="106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ht="15.75" customHeight="1">
      <c r="A73" s="87" t="s">
        <v>209</v>
      </c>
      <c r="B73" s="90">
        <v>45407</v>
      </c>
      <c r="C73" s="89">
        <v>0.43055555555555558</v>
      </c>
      <c r="D73" s="90">
        <v>45407</v>
      </c>
      <c r="E73" s="89">
        <v>0.66388888888888886</v>
      </c>
      <c r="F73" s="91">
        <v>8.06</v>
      </c>
      <c r="G73" s="91">
        <v>21.8</v>
      </c>
      <c r="H73" s="92">
        <v>45412</v>
      </c>
      <c r="I73" s="89">
        <v>0.82777777777777772</v>
      </c>
      <c r="J73" s="107">
        <v>7.86</v>
      </c>
      <c r="K73" s="108">
        <v>21.2</v>
      </c>
      <c r="L73" s="109">
        <f t="shared" si="2"/>
        <v>0.20000000000000018</v>
      </c>
      <c r="M73" s="95" t="s">
        <v>12</v>
      </c>
      <c r="N73" s="95" t="s">
        <v>13</v>
      </c>
      <c r="O73" s="106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ht="15.75" customHeight="1">
      <c r="A74" s="87" t="s">
        <v>210</v>
      </c>
      <c r="B74" s="90">
        <v>45407</v>
      </c>
      <c r="C74" s="89">
        <v>0.45069444444444445</v>
      </c>
      <c r="D74" s="90">
        <v>45407</v>
      </c>
      <c r="E74" s="89">
        <v>0.66597222222222219</v>
      </c>
      <c r="F74" s="91">
        <v>8.4700000000000006</v>
      </c>
      <c r="G74" s="91">
        <v>22.2</v>
      </c>
      <c r="H74" s="92">
        <v>45412</v>
      </c>
      <c r="I74" s="89">
        <v>0.81597222222222221</v>
      </c>
      <c r="J74" s="107">
        <v>8.07</v>
      </c>
      <c r="K74" s="108">
        <v>20.5</v>
      </c>
      <c r="L74" s="109">
        <f t="shared" si="2"/>
        <v>0.40000000000000036</v>
      </c>
      <c r="M74" s="95" t="s">
        <v>12</v>
      </c>
      <c r="N74" s="95" t="s">
        <v>13</v>
      </c>
      <c r="O74" s="106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15.75" customHeight="1">
      <c r="A75" s="87" t="s">
        <v>211</v>
      </c>
      <c r="B75" s="90">
        <v>45407</v>
      </c>
      <c r="C75" s="89">
        <v>0.45069444444444445</v>
      </c>
      <c r="D75" s="90">
        <v>45407</v>
      </c>
      <c r="E75" s="89">
        <v>0.66805555555555551</v>
      </c>
      <c r="F75" s="91">
        <v>8.3800000000000008</v>
      </c>
      <c r="G75" s="91">
        <v>22.1</v>
      </c>
      <c r="H75" s="92">
        <v>45412</v>
      </c>
      <c r="I75" s="89">
        <v>0.82222222222222219</v>
      </c>
      <c r="J75" s="107">
        <v>8.11</v>
      </c>
      <c r="K75" s="108">
        <v>21</v>
      </c>
      <c r="L75" s="109">
        <f t="shared" si="2"/>
        <v>0.27000000000000135</v>
      </c>
      <c r="M75" s="95" t="s">
        <v>12</v>
      </c>
      <c r="N75" s="95" t="s">
        <v>13</v>
      </c>
      <c r="O75" s="106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ht="15.75" customHeight="1">
      <c r="A76" s="87" t="s">
        <v>212</v>
      </c>
      <c r="B76" s="90">
        <v>45407</v>
      </c>
      <c r="C76" s="89">
        <v>0.4777777777777778</v>
      </c>
      <c r="D76" s="90">
        <v>45407</v>
      </c>
      <c r="E76" s="89">
        <v>0.67013888888888884</v>
      </c>
      <c r="F76" s="91">
        <v>8.51</v>
      </c>
      <c r="G76" s="91">
        <v>22.3</v>
      </c>
      <c r="H76" s="92">
        <v>45412</v>
      </c>
      <c r="I76" s="89">
        <v>0.82499999999999996</v>
      </c>
      <c r="J76" s="107">
        <v>7.94</v>
      </c>
      <c r="K76" s="108">
        <v>21</v>
      </c>
      <c r="L76" s="109">
        <f t="shared" si="2"/>
        <v>0.5699999999999994</v>
      </c>
      <c r="M76" s="95" t="s">
        <v>12</v>
      </c>
      <c r="N76" s="95" t="s">
        <v>13</v>
      </c>
      <c r="O76" s="106"/>
    </row>
    <row r="77" spans="1:29" ht="15.75" customHeight="1">
      <c r="A77" s="87" t="s">
        <v>213</v>
      </c>
      <c r="B77" s="90">
        <v>45407</v>
      </c>
      <c r="C77" s="89">
        <v>0.4777777777777778</v>
      </c>
      <c r="D77" s="90">
        <v>45407</v>
      </c>
      <c r="E77" s="89">
        <v>0.6743055555555556</v>
      </c>
      <c r="F77" s="91">
        <v>8.8000000000000007</v>
      </c>
      <c r="G77" s="91">
        <v>20.8</v>
      </c>
      <c r="H77" s="92">
        <v>45412</v>
      </c>
      <c r="I77" s="89">
        <v>0.82708333333333328</v>
      </c>
      <c r="J77" s="107">
        <v>8.19</v>
      </c>
      <c r="K77" s="108">
        <v>21.2</v>
      </c>
      <c r="L77" s="109">
        <f t="shared" si="2"/>
        <v>0.61000000000000121</v>
      </c>
      <c r="M77" s="95" t="s">
        <v>12</v>
      </c>
      <c r="N77" s="95" t="s">
        <v>13</v>
      </c>
      <c r="O77" s="10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5" customHeight="1">
      <c r="A78" s="97" t="s">
        <v>214</v>
      </c>
      <c r="B78" s="98">
        <v>45407</v>
      </c>
      <c r="C78" s="122">
        <v>0.5</v>
      </c>
      <c r="D78" s="98">
        <v>45407</v>
      </c>
      <c r="E78" s="99">
        <v>0.67986111111111114</v>
      </c>
      <c r="F78" s="100">
        <v>7.95</v>
      </c>
      <c r="G78" s="100">
        <v>22.4</v>
      </c>
      <c r="H78" s="101">
        <v>45412</v>
      </c>
      <c r="I78" s="99">
        <v>0.81180555555555556</v>
      </c>
      <c r="J78" s="105">
        <v>6.04</v>
      </c>
      <c r="K78" s="103">
        <v>20.100000000000001</v>
      </c>
      <c r="L78" s="104">
        <f t="shared" si="2"/>
        <v>1.9100000000000001</v>
      </c>
      <c r="M78" s="95" t="s">
        <v>12</v>
      </c>
      <c r="N78" s="95" t="s">
        <v>13</v>
      </c>
      <c r="O78" s="121">
        <f>L78-L79</f>
        <v>1.5000000000000009</v>
      </c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15" customHeight="1">
      <c r="A79" s="97" t="s">
        <v>215</v>
      </c>
      <c r="B79" s="98">
        <v>45407</v>
      </c>
      <c r="C79" s="122">
        <v>0.5</v>
      </c>
      <c r="D79" s="98">
        <v>45407</v>
      </c>
      <c r="E79" s="99">
        <v>0.67708333333333337</v>
      </c>
      <c r="F79" s="100">
        <v>8.0299999999999994</v>
      </c>
      <c r="G79" s="100">
        <v>22.4</v>
      </c>
      <c r="H79" s="101">
        <v>45412</v>
      </c>
      <c r="I79" s="99">
        <v>0.81319444444444444</v>
      </c>
      <c r="J79" s="105">
        <v>7.62</v>
      </c>
      <c r="K79" s="103">
        <v>20.399999999999999</v>
      </c>
      <c r="L79" s="104">
        <f t="shared" si="2"/>
        <v>0.40999999999999925</v>
      </c>
      <c r="M79" s="95" t="s">
        <v>12</v>
      </c>
      <c r="N79" s="95" t="s">
        <v>13</v>
      </c>
      <c r="O79" s="112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ht="15.75" customHeight="1">
      <c r="A80" s="87" t="s">
        <v>216</v>
      </c>
      <c r="B80" s="90">
        <v>45407</v>
      </c>
      <c r="C80" s="89">
        <v>0.5</v>
      </c>
      <c r="D80" s="90">
        <v>45407</v>
      </c>
      <c r="E80" s="115">
        <v>0.67847222222222225</v>
      </c>
      <c r="F80" s="91">
        <v>8.26</v>
      </c>
      <c r="G80" s="91">
        <v>22.43</v>
      </c>
      <c r="H80" s="92">
        <v>45412</v>
      </c>
      <c r="I80" s="89">
        <v>0.81458333333333333</v>
      </c>
      <c r="J80" s="107">
        <v>7.69</v>
      </c>
      <c r="K80" s="108">
        <v>20.7</v>
      </c>
      <c r="L80" s="109">
        <f t="shared" si="2"/>
        <v>0.5699999999999994</v>
      </c>
      <c r="M80" s="95" t="s">
        <v>12</v>
      </c>
      <c r="N80" s="95" t="s">
        <v>13</v>
      </c>
      <c r="O80" s="106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ht="15.75" customHeight="1">
      <c r="A81" s="87" t="s">
        <v>217</v>
      </c>
      <c r="B81" s="90">
        <v>45407</v>
      </c>
      <c r="C81" s="110">
        <v>0.5</v>
      </c>
      <c r="D81" s="90">
        <v>45407</v>
      </c>
      <c r="E81" s="89">
        <v>0.67986111111111114</v>
      </c>
      <c r="F81" s="91">
        <v>8.1999999999999993</v>
      </c>
      <c r="G81" s="91">
        <v>22.5</v>
      </c>
      <c r="H81" s="92">
        <v>45412</v>
      </c>
      <c r="I81" s="89">
        <v>0.80694444444444446</v>
      </c>
      <c r="J81" s="107">
        <v>8.15</v>
      </c>
      <c r="K81" s="108">
        <v>20.399999999999999</v>
      </c>
      <c r="L81" s="109">
        <f t="shared" si="2"/>
        <v>4.9999999999998934E-2</v>
      </c>
      <c r="M81" s="95" t="s">
        <v>12</v>
      </c>
      <c r="N81" s="95" t="s">
        <v>13</v>
      </c>
      <c r="O81" s="106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ht="15.75" customHeight="1">
      <c r="A82" s="87" t="s">
        <v>218</v>
      </c>
      <c r="B82" s="90">
        <v>45407</v>
      </c>
      <c r="C82" s="110">
        <v>0.5131944444444444</v>
      </c>
      <c r="D82" s="90">
        <v>45407</v>
      </c>
      <c r="E82" s="89">
        <v>0.68958333333333333</v>
      </c>
      <c r="F82" s="91">
        <v>8.19</v>
      </c>
      <c r="G82" s="91">
        <v>23</v>
      </c>
      <c r="H82" s="92">
        <v>45412</v>
      </c>
      <c r="I82" s="89">
        <v>0.80833333333333335</v>
      </c>
      <c r="J82" s="107">
        <v>7.87</v>
      </c>
      <c r="K82" s="108">
        <v>20.2</v>
      </c>
      <c r="L82" s="109">
        <f t="shared" si="2"/>
        <v>0.3199999999999994</v>
      </c>
      <c r="M82" s="95" t="s">
        <v>12</v>
      </c>
      <c r="N82" s="95" t="s">
        <v>13</v>
      </c>
      <c r="O82" s="106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ht="15.75" customHeight="1">
      <c r="A83" s="87" t="s">
        <v>219</v>
      </c>
      <c r="B83" s="90">
        <v>45407</v>
      </c>
      <c r="C83" s="89">
        <v>0.5131944444444444</v>
      </c>
      <c r="D83" s="90">
        <v>45407</v>
      </c>
      <c r="E83" s="89">
        <v>0.69097222222222221</v>
      </c>
      <c r="F83" s="91">
        <v>7.82</v>
      </c>
      <c r="G83" s="91">
        <v>22.95</v>
      </c>
      <c r="H83" s="92">
        <v>45412</v>
      </c>
      <c r="I83" s="89">
        <v>0.82986111111111116</v>
      </c>
      <c r="J83" s="107">
        <v>7.75</v>
      </c>
      <c r="K83" s="108">
        <v>21.3</v>
      </c>
      <c r="L83" s="109">
        <f t="shared" si="2"/>
        <v>7.0000000000000284E-2</v>
      </c>
      <c r="M83" s="95" t="s">
        <v>12</v>
      </c>
      <c r="N83" s="95" t="s">
        <v>13</v>
      </c>
      <c r="O83" s="106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5.75" customHeight="1">
      <c r="A84" s="87" t="s">
        <v>141</v>
      </c>
      <c r="B84" s="94" t="s">
        <v>75</v>
      </c>
      <c r="C84" s="94" t="s">
        <v>75</v>
      </c>
      <c r="D84" s="90">
        <v>45415</v>
      </c>
      <c r="E84" s="89">
        <v>0.71944444444444444</v>
      </c>
      <c r="F84" s="91">
        <v>8.51</v>
      </c>
      <c r="G84" s="91">
        <v>24.1</v>
      </c>
      <c r="H84" s="92">
        <v>45420</v>
      </c>
      <c r="I84" s="89">
        <v>0.56805555555555554</v>
      </c>
      <c r="J84" s="107">
        <v>8.2200000000000006</v>
      </c>
      <c r="K84" s="108">
        <v>24.9</v>
      </c>
      <c r="L84" s="109">
        <f t="shared" si="2"/>
        <v>0.28999999999999915</v>
      </c>
      <c r="M84" s="95" t="s">
        <v>12</v>
      </c>
      <c r="N84" s="95" t="s">
        <v>13</v>
      </c>
      <c r="O84" s="106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 ht="15.75" customHeight="1">
      <c r="A85" s="87" t="s">
        <v>220</v>
      </c>
      <c r="B85" s="90">
        <v>45415</v>
      </c>
      <c r="C85" s="89">
        <v>0.2986111111111111</v>
      </c>
      <c r="D85" s="90">
        <v>45415</v>
      </c>
      <c r="E85" s="89">
        <v>0.72083333333333333</v>
      </c>
      <c r="F85" s="91">
        <v>9.3000000000000007</v>
      </c>
      <c r="G85" s="91">
        <v>18.5</v>
      </c>
      <c r="H85" s="92">
        <v>45420</v>
      </c>
      <c r="I85" s="89">
        <v>0.57499999999999996</v>
      </c>
      <c r="J85" s="107">
        <v>8.82</v>
      </c>
      <c r="K85" s="108">
        <v>17.100000000000001</v>
      </c>
      <c r="L85" s="109">
        <f t="shared" si="2"/>
        <v>0.48000000000000043</v>
      </c>
      <c r="M85" s="95" t="s">
        <v>12</v>
      </c>
      <c r="N85" s="95" t="s">
        <v>13</v>
      </c>
      <c r="O85" s="106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ht="15.75" customHeight="1">
      <c r="A86" s="87" t="s">
        <v>221</v>
      </c>
      <c r="B86" s="90">
        <v>45415</v>
      </c>
      <c r="C86" s="89">
        <v>0.2986111111111111</v>
      </c>
      <c r="D86" s="90">
        <v>45415</v>
      </c>
      <c r="E86" s="89">
        <v>0.22430555555555556</v>
      </c>
      <c r="F86" s="91">
        <v>8.7200000000000006</v>
      </c>
      <c r="G86" s="91">
        <v>17.600000000000001</v>
      </c>
      <c r="H86" s="92">
        <v>45420</v>
      </c>
      <c r="I86" s="89">
        <v>0.57777777777777772</v>
      </c>
      <c r="J86" s="107">
        <v>8.36</v>
      </c>
      <c r="K86" s="108">
        <v>18.3</v>
      </c>
      <c r="L86" s="109">
        <f t="shared" si="2"/>
        <v>0.36000000000000121</v>
      </c>
      <c r="M86" s="95" t="s">
        <v>12</v>
      </c>
      <c r="N86" s="95" t="s">
        <v>13</v>
      </c>
      <c r="O86" s="106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 ht="15.75" customHeight="1">
      <c r="A87" s="87" t="s">
        <v>222</v>
      </c>
      <c r="B87" s="90">
        <v>45415</v>
      </c>
      <c r="C87" s="89">
        <v>0.32013888888888886</v>
      </c>
      <c r="D87" s="90">
        <v>45415</v>
      </c>
      <c r="E87" s="89">
        <v>0.72916666666666663</v>
      </c>
      <c r="F87" s="91">
        <v>8.51</v>
      </c>
      <c r="G87" s="91">
        <v>19.3</v>
      </c>
      <c r="H87" s="92">
        <v>45420</v>
      </c>
      <c r="I87" s="89">
        <v>0.57986111111111116</v>
      </c>
      <c r="J87" s="107">
        <v>8.1199999999999992</v>
      </c>
      <c r="K87" s="108">
        <v>19.899999999999999</v>
      </c>
      <c r="L87" s="109">
        <f t="shared" si="2"/>
        <v>0.39000000000000057</v>
      </c>
      <c r="M87" s="95" t="s">
        <v>12</v>
      </c>
      <c r="N87" s="95" t="s">
        <v>13</v>
      </c>
      <c r="O87" s="106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ht="15.75" customHeight="1">
      <c r="A88" s="87" t="s">
        <v>223</v>
      </c>
      <c r="B88" s="90">
        <v>45415</v>
      </c>
      <c r="C88" s="89">
        <v>0.32013888888888886</v>
      </c>
      <c r="D88" s="90">
        <v>45415</v>
      </c>
      <c r="E88" s="89">
        <v>0.73124999999999996</v>
      </c>
      <c r="F88" s="91">
        <v>8.61</v>
      </c>
      <c r="G88" s="91">
        <v>19.399999999999999</v>
      </c>
      <c r="H88" s="92">
        <v>45420</v>
      </c>
      <c r="I88" s="89">
        <v>0.58194444444444449</v>
      </c>
      <c r="J88" s="107">
        <v>8.19</v>
      </c>
      <c r="K88" s="108">
        <v>20.3</v>
      </c>
      <c r="L88" s="109">
        <f t="shared" si="2"/>
        <v>0.41999999999999993</v>
      </c>
      <c r="M88" s="95" t="s">
        <v>12</v>
      </c>
      <c r="N88" s="95" t="s">
        <v>13</v>
      </c>
      <c r="O88" s="106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 ht="15.75" customHeight="1">
      <c r="A89" s="87" t="s">
        <v>224</v>
      </c>
      <c r="B89" s="90">
        <v>45415</v>
      </c>
      <c r="C89" s="89">
        <v>0.41875000000000001</v>
      </c>
      <c r="D89" s="90">
        <v>45415</v>
      </c>
      <c r="E89" s="89">
        <v>0.73333333333333328</v>
      </c>
      <c r="F89" s="91">
        <v>8.5</v>
      </c>
      <c r="G89" s="91">
        <v>18.600000000000001</v>
      </c>
      <c r="H89" s="92">
        <v>45420</v>
      </c>
      <c r="I89" s="115">
        <v>0.58402777777777781</v>
      </c>
      <c r="J89" s="118">
        <v>8.23</v>
      </c>
      <c r="K89" s="119">
        <v>18.5</v>
      </c>
      <c r="L89" s="109">
        <f t="shared" si="2"/>
        <v>0.26999999999999957</v>
      </c>
      <c r="M89" s="95" t="s">
        <v>12</v>
      </c>
      <c r="N89" s="95" t="s">
        <v>13</v>
      </c>
      <c r="O89" s="106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ht="15.75" customHeight="1">
      <c r="A90" s="87" t="s">
        <v>225</v>
      </c>
      <c r="B90" s="90">
        <v>45415</v>
      </c>
      <c r="C90" s="89">
        <v>0.41875000000000001</v>
      </c>
      <c r="D90" s="90">
        <v>45415</v>
      </c>
      <c r="E90" s="89">
        <v>0.73472222222222228</v>
      </c>
      <c r="F90" s="91">
        <v>8.2799999999999994</v>
      </c>
      <c r="G90" s="91">
        <v>19.7</v>
      </c>
      <c r="H90" s="92">
        <v>45420</v>
      </c>
      <c r="I90" s="115">
        <v>0.41944444444444445</v>
      </c>
      <c r="J90" s="118">
        <v>7.71</v>
      </c>
      <c r="K90" s="119">
        <v>20.5</v>
      </c>
      <c r="L90" s="109">
        <f t="shared" si="2"/>
        <v>0.5699999999999994</v>
      </c>
      <c r="M90" s="95" t="s">
        <v>12</v>
      </c>
      <c r="N90" s="95" t="s">
        <v>13</v>
      </c>
      <c r="O90" s="106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ht="15.75" customHeight="1">
      <c r="A91" s="97" t="s">
        <v>226</v>
      </c>
      <c r="B91" s="98">
        <v>45415</v>
      </c>
      <c r="C91" s="99">
        <v>0.43402777777777779</v>
      </c>
      <c r="D91" s="98">
        <v>45415</v>
      </c>
      <c r="E91" s="123">
        <v>0.7416666666666667</v>
      </c>
      <c r="F91" s="100">
        <v>8.23</v>
      </c>
      <c r="G91" s="100">
        <v>19.5</v>
      </c>
      <c r="H91" s="101">
        <v>45420</v>
      </c>
      <c r="I91" s="99">
        <v>0.58888888888888891</v>
      </c>
      <c r="J91" s="105">
        <v>5.8</v>
      </c>
      <c r="K91" s="103">
        <v>20.5</v>
      </c>
      <c r="L91" s="104">
        <f t="shared" si="2"/>
        <v>2.4300000000000006</v>
      </c>
      <c r="M91" s="95" t="s">
        <v>12</v>
      </c>
      <c r="N91" s="95" t="s">
        <v>13</v>
      </c>
      <c r="O91" s="121">
        <f>L91-L92</f>
        <v>2.0600000000000014</v>
      </c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ht="15.75" customHeight="1">
      <c r="A92" s="97" t="s">
        <v>227</v>
      </c>
      <c r="B92" s="98">
        <v>45415</v>
      </c>
      <c r="C92" s="99">
        <v>0.43402777777777779</v>
      </c>
      <c r="D92" s="98">
        <v>45415</v>
      </c>
      <c r="E92" s="123">
        <v>0.74097222222222225</v>
      </c>
      <c r="F92" s="100">
        <v>8.11</v>
      </c>
      <c r="G92" s="100">
        <v>19.3</v>
      </c>
      <c r="H92" s="101">
        <v>45420</v>
      </c>
      <c r="I92" s="99">
        <v>0.59097222222222223</v>
      </c>
      <c r="J92" s="105">
        <v>7.74</v>
      </c>
      <c r="K92" s="103">
        <v>20.100000000000001</v>
      </c>
      <c r="L92" s="104">
        <f t="shared" si="2"/>
        <v>0.36999999999999922</v>
      </c>
      <c r="M92" s="95" t="s">
        <v>12</v>
      </c>
      <c r="N92" s="95" t="s">
        <v>13</v>
      </c>
      <c r="O92" s="106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5.75" customHeight="1">
      <c r="A93" s="87" t="s">
        <v>228</v>
      </c>
      <c r="B93" s="90">
        <v>45415</v>
      </c>
      <c r="C93" s="89">
        <v>0.43402777777777779</v>
      </c>
      <c r="D93" s="90">
        <v>45415</v>
      </c>
      <c r="E93" s="89">
        <v>0.74027777777777781</v>
      </c>
      <c r="F93" s="91">
        <v>8.2100000000000009</v>
      </c>
      <c r="G93" s="91">
        <v>19.2</v>
      </c>
      <c r="H93" s="92">
        <v>45420</v>
      </c>
      <c r="I93" s="89">
        <v>0.59236111111111112</v>
      </c>
      <c r="J93" s="107">
        <v>7.86</v>
      </c>
      <c r="K93" s="108">
        <v>19.7</v>
      </c>
      <c r="L93" s="109">
        <f t="shared" si="2"/>
        <v>0.35000000000000053</v>
      </c>
      <c r="M93" s="95" t="s">
        <v>12</v>
      </c>
      <c r="N93" s="95" t="s">
        <v>13</v>
      </c>
      <c r="O93" s="106"/>
    </row>
    <row r="94" spans="1:29" ht="15.75" customHeight="1">
      <c r="A94" s="87" t="s">
        <v>229</v>
      </c>
      <c r="B94" s="90">
        <v>45415</v>
      </c>
      <c r="C94" s="89">
        <v>0.43402777777777779</v>
      </c>
      <c r="D94" s="90">
        <v>45415</v>
      </c>
      <c r="E94" s="124">
        <v>0.74444444444444446</v>
      </c>
      <c r="F94" s="91">
        <v>8.24</v>
      </c>
      <c r="G94" s="91">
        <v>19.899999999999999</v>
      </c>
      <c r="H94" s="92">
        <v>45420</v>
      </c>
      <c r="I94" s="89">
        <v>0.59375</v>
      </c>
      <c r="J94" s="107">
        <v>7.85</v>
      </c>
      <c r="K94" s="108">
        <v>20.5</v>
      </c>
      <c r="L94" s="109">
        <f t="shared" si="2"/>
        <v>0.39000000000000057</v>
      </c>
      <c r="M94" s="95" t="s">
        <v>12</v>
      </c>
      <c r="N94" s="95" t="s">
        <v>13</v>
      </c>
      <c r="O94" s="10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5" customHeight="1">
      <c r="A95" s="87" t="s">
        <v>141</v>
      </c>
      <c r="B95" s="94" t="s">
        <v>75</v>
      </c>
      <c r="C95" s="94" t="s">
        <v>75</v>
      </c>
      <c r="D95" s="90">
        <v>45417</v>
      </c>
      <c r="E95" s="89">
        <v>0.72777777777777775</v>
      </c>
      <c r="F95" s="91">
        <v>8.14</v>
      </c>
      <c r="G95" s="91">
        <v>23.7</v>
      </c>
      <c r="H95" s="92">
        <v>45422</v>
      </c>
      <c r="I95" s="89">
        <v>0.54166666666666663</v>
      </c>
      <c r="J95" s="107">
        <v>8.56</v>
      </c>
      <c r="K95" s="108">
        <v>23.1</v>
      </c>
      <c r="L95" s="109" t="s">
        <v>230</v>
      </c>
      <c r="M95" s="95" t="s">
        <v>12</v>
      </c>
      <c r="N95" s="95" t="s">
        <v>13</v>
      </c>
      <c r="O95" s="111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5.75" customHeight="1">
      <c r="A96" s="87" t="s">
        <v>231</v>
      </c>
      <c r="B96" s="90">
        <v>45416</v>
      </c>
      <c r="C96" s="89">
        <v>0.36736111111111114</v>
      </c>
      <c r="D96" s="90">
        <v>45417</v>
      </c>
      <c r="E96" s="89">
        <v>0.23680555555555555</v>
      </c>
      <c r="F96" s="91">
        <v>8.58</v>
      </c>
      <c r="G96" s="91">
        <v>23</v>
      </c>
      <c r="H96" s="92">
        <v>45422</v>
      </c>
      <c r="I96" s="89">
        <v>0.62291666666666667</v>
      </c>
      <c r="J96" s="107">
        <v>7.66</v>
      </c>
      <c r="K96" s="108">
        <v>20</v>
      </c>
      <c r="L96" s="109">
        <f t="shared" ref="L96:L121" si="3">F96-J96</f>
        <v>0.91999999999999993</v>
      </c>
      <c r="M96" s="95" t="s">
        <v>12</v>
      </c>
      <c r="N96" s="95" t="s">
        <v>13</v>
      </c>
      <c r="O96" s="106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ht="15.75" customHeight="1">
      <c r="A97" s="87" t="s">
        <v>232</v>
      </c>
      <c r="B97" s="90">
        <v>45416</v>
      </c>
      <c r="C97" s="89">
        <v>0.36736111111111114</v>
      </c>
      <c r="D97" s="90">
        <v>45417</v>
      </c>
      <c r="E97" s="89">
        <v>0.73402777777777772</v>
      </c>
      <c r="F97" s="91">
        <v>7.78</v>
      </c>
      <c r="G97" s="91">
        <v>22.9</v>
      </c>
      <c r="H97" s="92">
        <v>45422</v>
      </c>
      <c r="I97" s="89">
        <v>0.64652777777777781</v>
      </c>
      <c r="J97" s="107">
        <v>7.08</v>
      </c>
      <c r="K97" s="108">
        <v>21.2</v>
      </c>
      <c r="L97" s="109">
        <f t="shared" si="3"/>
        <v>0.70000000000000018</v>
      </c>
      <c r="M97" s="95" t="s">
        <v>12</v>
      </c>
      <c r="N97" s="95" t="s">
        <v>13</v>
      </c>
      <c r="O97" s="106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 ht="15.75" customHeight="1">
      <c r="A98" s="87" t="s">
        <v>233</v>
      </c>
      <c r="B98" s="90">
        <v>45416</v>
      </c>
      <c r="C98" s="89">
        <v>0.44861111111111113</v>
      </c>
      <c r="D98" s="90">
        <v>45417</v>
      </c>
      <c r="E98" s="89">
        <v>0.73055555555555551</v>
      </c>
      <c r="F98" s="91">
        <v>7.98</v>
      </c>
      <c r="G98" s="91">
        <v>23.2</v>
      </c>
      <c r="H98" s="92">
        <v>45422</v>
      </c>
      <c r="I98" s="89">
        <v>0.60624999999999996</v>
      </c>
      <c r="J98" s="107">
        <v>6.59</v>
      </c>
      <c r="K98" s="108">
        <v>19.3</v>
      </c>
      <c r="L98" s="109">
        <f t="shared" si="3"/>
        <v>1.3900000000000006</v>
      </c>
      <c r="M98" s="95" t="s">
        <v>12</v>
      </c>
      <c r="N98" s="95" t="s">
        <v>13</v>
      </c>
      <c r="O98" s="106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 ht="15.75" customHeight="1">
      <c r="A99" s="87" t="s">
        <v>234</v>
      </c>
      <c r="B99" s="90">
        <v>45416</v>
      </c>
      <c r="C99" s="89">
        <v>0.44861111111111113</v>
      </c>
      <c r="D99" s="90">
        <v>45417</v>
      </c>
      <c r="E99" s="89">
        <v>0.73888888888888893</v>
      </c>
      <c r="F99" s="91">
        <v>8.18</v>
      </c>
      <c r="G99" s="91">
        <v>23</v>
      </c>
      <c r="H99" s="92">
        <v>45422</v>
      </c>
      <c r="I99" s="89">
        <v>0.62916666666666665</v>
      </c>
      <c r="J99" s="107">
        <v>7.2</v>
      </c>
      <c r="K99" s="108">
        <v>20.5</v>
      </c>
      <c r="L99" s="109">
        <f t="shared" si="3"/>
        <v>0.97999999999999954</v>
      </c>
      <c r="M99" s="95" t="s">
        <v>12</v>
      </c>
      <c r="N99" s="95" t="s">
        <v>13</v>
      </c>
      <c r="O99" s="106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15.75" customHeight="1">
      <c r="A100" s="87" t="s">
        <v>235</v>
      </c>
      <c r="B100" s="90">
        <v>45416</v>
      </c>
      <c r="C100" s="89">
        <v>0.47986111111111113</v>
      </c>
      <c r="D100" s="90">
        <v>45417</v>
      </c>
      <c r="E100" s="89">
        <v>0.74236111111111114</v>
      </c>
      <c r="F100" s="91">
        <v>8.0500000000000007</v>
      </c>
      <c r="G100" s="91">
        <v>23.8</v>
      </c>
      <c r="H100" s="92">
        <v>45422</v>
      </c>
      <c r="I100" s="89">
        <v>0.61527777777777781</v>
      </c>
      <c r="J100" s="107">
        <v>7.63</v>
      </c>
      <c r="K100" s="108">
        <v>19.3</v>
      </c>
      <c r="L100" s="109">
        <f t="shared" si="3"/>
        <v>0.42000000000000082</v>
      </c>
      <c r="M100" s="95" t="s">
        <v>12</v>
      </c>
      <c r="N100" s="95" t="s">
        <v>13</v>
      </c>
      <c r="O100" s="106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 ht="15.75" customHeight="1">
      <c r="A101" s="87" t="s">
        <v>236</v>
      </c>
      <c r="B101" s="90">
        <v>45416</v>
      </c>
      <c r="C101" s="89">
        <v>0.47986111111111113</v>
      </c>
      <c r="D101" s="90">
        <v>45417</v>
      </c>
      <c r="E101" s="89">
        <v>0.74444444444444446</v>
      </c>
      <c r="F101" s="91">
        <v>8.34</v>
      </c>
      <c r="G101" s="91">
        <v>23.6</v>
      </c>
      <c r="H101" s="92">
        <v>45422</v>
      </c>
      <c r="I101" s="89">
        <v>0.62083333333333335</v>
      </c>
      <c r="J101" s="107">
        <v>7.37</v>
      </c>
      <c r="K101" s="108">
        <v>20</v>
      </c>
      <c r="L101" s="109">
        <f t="shared" si="3"/>
        <v>0.96999999999999975</v>
      </c>
      <c r="M101" s="95" t="s">
        <v>12</v>
      </c>
      <c r="N101" s="95" t="s">
        <v>13</v>
      </c>
      <c r="O101" s="106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5.75" customHeight="1">
      <c r="A102" s="97" t="s">
        <v>237</v>
      </c>
      <c r="B102" s="98">
        <v>45416</v>
      </c>
      <c r="C102" s="99">
        <v>0.53125</v>
      </c>
      <c r="D102" s="98">
        <v>45417</v>
      </c>
      <c r="E102" s="99">
        <v>0.75208333333333333</v>
      </c>
      <c r="F102" s="100">
        <v>8.11</v>
      </c>
      <c r="G102" s="100">
        <v>23</v>
      </c>
      <c r="H102" s="101">
        <v>45422</v>
      </c>
      <c r="I102" s="99">
        <v>0.54166666666666663</v>
      </c>
      <c r="J102" s="105">
        <v>6.27</v>
      </c>
      <c r="K102" s="103">
        <v>20</v>
      </c>
      <c r="L102" s="104">
        <f t="shared" si="3"/>
        <v>1.8399999999999999</v>
      </c>
      <c r="M102" s="95" t="s">
        <v>12</v>
      </c>
      <c r="N102" s="95" t="s">
        <v>13</v>
      </c>
      <c r="O102" s="121">
        <f>L102-L103</f>
        <v>1.3599999999999994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 ht="15.75" customHeight="1">
      <c r="A103" s="97" t="s">
        <v>238</v>
      </c>
      <c r="B103" s="98">
        <v>45416</v>
      </c>
      <c r="C103" s="99">
        <v>0.53125</v>
      </c>
      <c r="D103" s="98">
        <v>45417</v>
      </c>
      <c r="E103" s="99">
        <v>0.75138888888888888</v>
      </c>
      <c r="F103" s="100">
        <v>8.15</v>
      </c>
      <c r="G103" s="100">
        <v>23</v>
      </c>
      <c r="H103" s="101">
        <v>45422</v>
      </c>
      <c r="I103" s="99">
        <v>0.54791666666666672</v>
      </c>
      <c r="J103" s="105">
        <v>7.67</v>
      </c>
      <c r="K103" s="103">
        <v>19.8</v>
      </c>
      <c r="L103" s="104">
        <f t="shared" si="3"/>
        <v>0.48000000000000043</v>
      </c>
      <c r="M103" s="95" t="s">
        <v>12</v>
      </c>
      <c r="N103" s="95" t="s">
        <v>13</v>
      </c>
      <c r="O103" s="106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 ht="15.75" customHeight="1">
      <c r="A104" s="87" t="s">
        <v>239</v>
      </c>
      <c r="B104" s="90">
        <v>45416</v>
      </c>
      <c r="C104" s="89">
        <v>0.53125</v>
      </c>
      <c r="D104" s="90">
        <v>45417</v>
      </c>
      <c r="E104" s="89">
        <v>0.75069444444444444</v>
      </c>
      <c r="F104" s="91">
        <v>8.14</v>
      </c>
      <c r="G104" s="91">
        <v>23</v>
      </c>
      <c r="H104" s="92">
        <v>45422</v>
      </c>
      <c r="I104" s="89">
        <v>0.55069444444444449</v>
      </c>
      <c r="J104" s="107">
        <v>7.66</v>
      </c>
      <c r="K104" s="108">
        <v>19.5</v>
      </c>
      <c r="L104" s="109">
        <f t="shared" si="3"/>
        <v>0.48000000000000043</v>
      </c>
      <c r="M104" s="95" t="s">
        <v>12</v>
      </c>
      <c r="N104" s="95" t="s">
        <v>13</v>
      </c>
      <c r="O104" s="106"/>
    </row>
    <row r="105" spans="1:29" ht="15.75" customHeight="1">
      <c r="A105" s="87" t="s">
        <v>240</v>
      </c>
      <c r="B105" s="90">
        <v>45416</v>
      </c>
      <c r="C105" s="89">
        <v>0.53125</v>
      </c>
      <c r="D105" s="90">
        <v>45417</v>
      </c>
      <c r="E105" s="89">
        <v>0.26874999999999999</v>
      </c>
      <c r="F105" s="91">
        <v>8.31</v>
      </c>
      <c r="G105" s="91">
        <v>23</v>
      </c>
      <c r="H105" s="92">
        <v>45422</v>
      </c>
      <c r="I105" s="89">
        <v>0.54513888888888884</v>
      </c>
      <c r="J105" s="107">
        <v>7.59</v>
      </c>
      <c r="K105" s="108">
        <v>19.8</v>
      </c>
      <c r="L105" s="109">
        <f t="shared" si="3"/>
        <v>0.72000000000000064</v>
      </c>
      <c r="M105" s="95" t="s">
        <v>12</v>
      </c>
      <c r="N105" s="95" t="s">
        <v>13</v>
      </c>
      <c r="O105" s="10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 ht="15" customHeight="1">
      <c r="A106" s="87" t="s">
        <v>241</v>
      </c>
      <c r="B106" s="125">
        <v>45417</v>
      </c>
      <c r="C106" s="126">
        <v>0.2951388888888889</v>
      </c>
      <c r="D106" s="125">
        <v>45417</v>
      </c>
      <c r="E106" s="89">
        <v>0.77430555555555558</v>
      </c>
      <c r="F106" s="91">
        <v>8.07</v>
      </c>
      <c r="G106" s="91">
        <v>21.3</v>
      </c>
      <c r="H106" s="92">
        <v>45422</v>
      </c>
      <c r="I106" s="89">
        <v>0.55347222222222225</v>
      </c>
      <c r="J106" s="107">
        <v>7.76</v>
      </c>
      <c r="K106" s="108">
        <v>19.899999999999999</v>
      </c>
      <c r="L106" s="109">
        <f t="shared" si="3"/>
        <v>0.3100000000000005</v>
      </c>
      <c r="M106" s="95" t="s">
        <v>12</v>
      </c>
      <c r="N106" s="95" t="s">
        <v>13</v>
      </c>
      <c r="O106" s="111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 ht="15" customHeight="1">
      <c r="A107" s="87" t="s">
        <v>242</v>
      </c>
      <c r="B107" s="125">
        <v>45417</v>
      </c>
      <c r="C107" s="126">
        <v>0.2951388888888889</v>
      </c>
      <c r="D107" s="125">
        <v>45417</v>
      </c>
      <c r="E107" s="89">
        <v>0.77500000000000002</v>
      </c>
      <c r="F107" s="91">
        <v>8.1199999999999992</v>
      </c>
      <c r="G107" s="91">
        <v>21</v>
      </c>
      <c r="H107" s="92">
        <v>45422</v>
      </c>
      <c r="I107" s="89">
        <v>0.59791666666666665</v>
      </c>
      <c r="J107" s="107">
        <v>7.86</v>
      </c>
      <c r="K107" s="108">
        <v>20.7</v>
      </c>
      <c r="L107" s="109">
        <f t="shared" si="3"/>
        <v>0.2599999999999989</v>
      </c>
      <c r="M107" s="95" t="s">
        <v>12</v>
      </c>
      <c r="N107" s="95" t="s">
        <v>13</v>
      </c>
      <c r="O107" s="112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 ht="15.75" customHeight="1">
      <c r="A108" s="87" t="s">
        <v>243</v>
      </c>
      <c r="B108" s="125">
        <v>45417</v>
      </c>
      <c r="C108" s="89">
        <v>0.33124999999999999</v>
      </c>
      <c r="D108" s="125">
        <v>45417</v>
      </c>
      <c r="E108" s="89">
        <v>0.77638888888888891</v>
      </c>
      <c r="F108" s="91">
        <v>7.69</v>
      </c>
      <c r="G108" s="91">
        <v>21.8</v>
      </c>
      <c r="H108" s="92">
        <v>45422</v>
      </c>
      <c r="I108" s="89">
        <v>0.60486111111111107</v>
      </c>
      <c r="J108" s="107">
        <v>7.32</v>
      </c>
      <c r="K108" s="108">
        <v>20.8</v>
      </c>
      <c r="L108" s="109">
        <f t="shared" si="3"/>
        <v>0.37000000000000011</v>
      </c>
      <c r="M108" s="95" t="s">
        <v>12</v>
      </c>
      <c r="N108" s="95" t="s">
        <v>13</v>
      </c>
      <c r="O108" s="106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 ht="15.75" customHeight="1">
      <c r="A109" s="87" t="s">
        <v>244</v>
      </c>
      <c r="B109" s="125">
        <v>45417</v>
      </c>
      <c r="C109" s="89">
        <v>0.33124999999999999</v>
      </c>
      <c r="D109" s="125">
        <v>45417</v>
      </c>
      <c r="E109" s="89">
        <v>0.77777777777777779</v>
      </c>
      <c r="F109" s="91">
        <v>7.64</v>
      </c>
      <c r="G109" s="91">
        <v>21.8</v>
      </c>
      <c r="H109" s="92">
        <v>45422</v>
      </c>
      <c r="I109" s="89">
        <v>0.58611111111111114</v>
      </c>
      <c r="J109" s="107">
        <v>7.61</v>
      </c>
      <c r="K109" s="108">
        <v>20.100000000000001</v>
      </c>
      <c r="L109" s="109">
        <f t="shared" si="3"/>
        <v>2.9999999999999361E-2</v>
      </c>
      <c r="M109" s="95" t="s">
        <v>12</v>
      </c>
      <c r="N109" s="95" t="s">
        <v>13</v>
      </c>
      <c r="O109" s="106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ht="15.75" customHeight="1">
      <c r="A110" s="87" t="s">
        <v>245</v>
      </c>
      <c r="B110" s="125">
        <v>45417</v>
      </c>
      <c r="C110" s="89">
        <v>0.35069444444444442</v>
      </c>
      <c r="D110" s="125">
        <v>45417</v>
      </c>
      <c r="E110" s="89">
        <v>0.78749999999999998</v>
      </c>
      <c r="F110" s="91">
        <v>7.89</v>
      </c>
      <c r="G110" s="91">
        <v>21.4</v>
      </c>
      <c r="H110" s="92">
        <v>45422</v>
      </c>
      <c r="I110" s="89">
        <v>0.6381944444444444</v>
      </c>
      <c r="J110" s="107">
        <v>7.48</v>
      </c>
      <c r="K110" s="108">
        <v>20.8</v>
      </c>
      <c r="L110" s="109">
        <f t="shared" si="3"/>
        <v>0.40999999999999925</v>
      </c>
      <c r="M110" s="95" t="s">
        <v>12</v>
      </c>
      <c r="N110" s="95" t="s">
        <v>13</v>
      </c>
      <c r="O110" s="106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 ht="15.75" customHeight="1">
      <c r="A111" s="87" t="s">
        <v>246</v>
      </c>
      <c r="B111" s="125">
        <v>45417</v>
      </c>
      <c r="C111" s="89">
        <v>0.35069444444444442</v>
      </c>
      <c r="D111" s="125">
        <v>45417</v>
      </c>
      <c r="E111" s="89">
        <v>0.78611111111111109</v>
      </c>
      <c r="F111" s="91">
        <v>8.01</v>
      </c>
      <c r="G111" s="91">
        <v>21.3</v>
      </c>
      <c r="H111" s="92">
        <v>45422</v>
      </c>
      <c r="I111" s="89">
        <v>0.62708333333333333</v>
      </c>
      <c r="J111" s="107">
        <v>7.5</v>
      </c>
      <c r="K111" s="108">
        <v>20.3</v>
      </c>
      <c r="L111" s="109">
        <f t="shared" si="3"/>
        <v>0.50999999999999979</v>
      </c>
      <c r="M111" s="95" t="s">
        <v>12</v>
      </c>
      <c r="N111" s="95" t="s">
        <v>13</v>
      </c>
      <c r="O111" s="106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15.75" customHeight="1">
      <c r="A112" s="87" t="s">
        <v>247</v>
      </c>
      <c r="B112" s="125">
        <v>45417</v>
      </c>
      <c r="C112" s="89">
        <v>0.39444444444444443</v>
      </c>
      <c r="D112" s="125">
        <v>45417</v>
      </c>
      <c r="E112" s="89">
        <v>0.78819444444444442</v>
      </c>
      <c r="F112" s="91">
        <v>8.17</v>
      </c>
      <c r="G112" s="91">
        <v>21.5</v>
      </c>
      <c r="H112" s="92">
        <v>45422</v>
      </c>
      <c r="I112" s="89">
        <v>0.5444444444444444</v>
      </c>
      <c r="J112" s="107">
        <v>7.88</v>
      </c>
      <c r="K112" s="108">
        <v>20.3</v>
      </c>
      <c r="L112" s="109">
        <f t="shared" si="3"/>
        <v>0.29000000000000004</v>
      </c>
      <c r="M112" s="95" t="s">
        <v>12</v>
      </c>
      <c r="N112" s="95" t="s">
        <v>13</v>
      </c>
      <c r="O112" s="106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 ht="15.75" customHeight="1">
      <c r="A113" s="87" t="s">
        <v>248</v>
      </c>
      <c r="B113" s="125">
        <v>45417</v>
      </c>
      <c r="C113" s="89">
        <v>0.39444444444444443</v>
      </c>
      <c r="D113" s="125">
        <v>45417</v>
      </c>
      <c r="E113" s="89">
        <v>0.7895833333333333</v>
      </c>
      <c r="F113" s="91">
        <v>7.79</v>
      </c>
      <c r="G113" s="91">
        <v>22.2</v>
      </c>
      <c r="H113" s="92">
        <v>45422</v>
      </c>
      <c r="I113" s="89">
        <v>0.62013888888888891</v>
      </c>
      <c r="J113" s="107">
        <v>7.18</v>
      </c>
      <c r="K113" s="108">
        <v>19.399999999999999</v>
      </c>
      <c r="L113" s="109">
        <f t="shared" si="3"/>
        <v>0.61000000000000032</v>
      </c>
      <c r="M113" s="95" t="s">
        <v>12</v>
      </c>
      <c r="N113" s="95" t="s">
        <v>13</v>
      </c>
      <c r="O113" s="106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ht="15.75" customHeight="1">
      <c r="A114" s="97" t="s">
        <v>249</v>
      </c>
      <c r="B114" s="127">
        <v>45417</v>
      </c>
      <c r="C114" s="99">
        <v>0.40555555555555556</v>
      </c>
      <c r="D114" s="127">
        <v>45417</v>
      </c>
      <c r="E114" s="99">
        <v>0.79791666666666672</v>
      </c>
      <c r="F114" s="100">
        <v>8.34</v>
      </c>
      <c r="G114" s="100">
        <v>21.9</v>
      </c>
      <c r="H114" s="101">
        <v>45422</v>
      </c>
      <c r="I114" s="99">
        <v>0.59097222222222223</v>
      </c>
      <c r="J114" s="105">
        <v>6.32</v>
      </c>
      <c r="K114" s="103">
        <v>20.5</v>
      </c>
      <c r="L114" s="104">
        <f t="shared" si="3"/>
        <v>2.0199999999999996</v>
      </c>
      <c r="M114" s="95" t="s">
        <v>12</v>
      </c>
      <c r="N114" s="95" t="s">
        <v>13</v>
      </c>
      <c r="O114" s="121">
        <f>L114-L115</f>
        <v>1.5699999999999994</v>
      </c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 ht="15.75" customHeight="1">
      <c r="A115" s="97" t="s">
        <v>250</v>
      </c>
      <c r="B115" s="127">
        <v>45417</v>
      </c>
      <c r="C115" s="99">
        <v>0.40555555555555556</v>
      </c>
      <c r="D115" s="127">
        <v>45417</v>
      </c>
      <c r="E115" s="99">
        <v>0.79652777777777772</v>
      </c>
      <c r="F115" s="100">
        <v>8.31</v>
      </c>
      <c r="G115" s="100">
        <v>21.8</v>
      </c>
      <c r="H115" s="101">
        <v>45422</v>
      </c>
      <c r="I115" s="99">
        <v>0.59236111111111112</v>
      </c>
      <c r="J115" s="105">
        <v>7.86</v>
      </c>
      <c r="K115" s="103">
        <v>20.6</v>
      </c>
      <c r="L115" s="104">
        <f t="shared" si="3"/>
        <v>0.45000000000000018</v>
      </c>
      <c r="M115" s="95" t="s">
        <v>12</v>
      </c>
      <c r="N115" s="95" t="s">
        <v>13</v>
      </c>
      <c r="O115" s="106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5.75" customHeight="1">
      <c r="A116" s="87" t="s">
        <v>251</v>
      </c>
      <c r="B116" s="125">
        <v>45417</v>
      </c>
      <c r="C116" s="89">
        <v>0.40555555555555556</v>
      </c>
      <c r="D116" s="125">
        <v>45417</v>
      </c>
      <c r="E116" s="89">
        <v>0.79583333333333328</v>
      </c>
      <c r="F116" s="91">
        <v>8.2799999999999994</v>
      </c>
      <c r="G116" s="91">
        <v>21.8</v>
      </c>
      <c r="H116" s="92">
        <v>45422</v>
      </c>
      <c r="I116" s="89">
        <v>0.59375</v>
      </c>
      <c r="J116" s="107">
        <v>7.76</v>
      </c>
      <c r="K116" s="108">
        <v>20.3</v>
      </c>
      <c r="L116" s="109">
        <f t="shared" si="3"/>
        <v>0.51999999999999957</v>
      </c>
      <c r="M116" s="95" t="s">
        <v>12</v>
      </c>
      <c r="N116" s="95" t="s">
        <v>13</v>
      </c>
      <c r="O116" s="106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 ht="15.75" customHeight="1">
      <c r="A117" s="87" t="s">
        <v>252</v>
      </c>
      <c r="B117" s="125">
        <v>45417</v>
      </c>
      <c r="C117" s="89">
        <v>0.40555555555555556</v>
      </c>
      <c r="D117" s="125">
        <v>45417</v>
      </c>
      <c r="E117" s="89">
        <v>0.79861111111111116</v>
      </c>
      <c r="F117" s="91">
        <v>8.17</v>
      </c>
      <c r="G117" s="91">
        <v>22</v>
      </c>
      <c r="H117" s="92">
        <v>45422</v>
      </c>
      <c r="I117" s="89">
        <v>0.58819444444444446</v>
      </c>
      <c r="J117" s="107">
        <v>7.65</v>
      </c>
      <c r="K117" s="108">
        <v>20.399999999999999</v>
      </c>
      <c r="L117" s="109">
        <f t="shared" si="3"/>
        <v>0.51999999999999957</v>
      </c>
      <c r="M117" s="95" t="s">
        <v>12</v>
      </c>
      <c r="N117" s="95" t="s">
        <v>13</v>
      </c>
      <c r="O117" s="106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ht="15.75" customHeight="1">
      <c r="A118" s="87" t="s">
        <v>253</v>
      </c>
      <c r="B118" s="125">
        <v>45417</v>
      </c>
      <c r="C118" s="128">
        <v>0.42986111111111114</v>
      </c>
      <c r="D118" s="125">
        <v>45417</v>
      </c>
      <c r="E118" s="89">
        <v>0.80694444444444446</v>
      </c>
      <c r="F118" s="88">
        <v>8.08</v>
      </c>
      <c r="G118" s="88">
        <v>22</v>
      </c>
      <c r="H118" s="92">
        <v>45422</v>
      </c>
      <c r="I118" s="89">
        <v>0.59444444444444444</v>
      </c>
      <c r="J118" s="107">
        <v>7.57</v>
      </c>
      <c r="K118" s="108">
        <v>19.899999999999999</v>
      </c>
      <c r="L118" s="109">
        <f t="shared" si="3"/>
        <v>0.50999999999999979</v>
      </c>
      <c r="M118" s="95" t="s">
        <v>12</v>
      </c>
      <c r="N118" s="95" t="s">
        <v>13</v>
      </c>
      <c r="O118" s="106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 ht="15.75" customHeight="1">
      <c r="A119" s="87" t="s">
        <v>254</v>
      </c>
      <c r="B119" s="125">
        <v>45417</v>
      </c>
      <c r="C119" s="128">
        <v>0.42986111111111114</v>
      </c>
      <c r="D119" s="125">
        <v>45417</v>
      </c>
      <c r="E119" s="89">
        <v>0.80763888888888891</v>
      </c>
      <c r="F119" s="88">
        <v>8.17</v>
      </c>
      <c r="G119" s="88">
        <v>21.9</v>
      </c>
      <c r="H119" s="92">
        <v>45422</v>
      </c>
      <c r="I119" s="89">
        <v>0.62777777777777777</v>
      </c>
      <c r="J119" s="107">
        <v>7.63</v>
      </c>
      <c r="K119" s="108">
        <v>20.100000000000001</v>
      </c>
      <c r="L119" s="109">
        <f t="shared" si="3"/>
        <v>0.54</v>
      </c>
      <c r="M119" s="95" t="s">
        <v>12</v>
      </c>
      <c r="N119" s="95" t="s">
        <v>13</v>
      </c>
      <c r="O119" s="106"/>
    </row>
    <row r="120" spans="1:29" ht="15.75" customHeight="1">
      <c r="A120" s="87" t="s">
        <v>255</v>
      </c>
      <c r="B120" s="125">
        <v>45417</v>
      </c>
      <c r="C120" s="129">
        <v>0.45624999999999999</v>
      </c>
      <c r="D120" s="125">
        <v>45417</v>
      </c>
      <c r="E120" s="89">
        <v>0.80833333333333335</v>
      </c>
      <c r="F120" s="91">
        <v>8.31</v>
      </c>
      <c r="G120" s="91">
        <v>22</v>
      </c>
      <c r="H120" s="92">
        <v>45422</v>
      </c>
      <c r="I120" s="89">
        <v>0.58750000000000002</v>
      </c>
      <c r="J120" s="107">
        <v>7.83</v>
      </c>
      <c r="K120" s="108">
        <v>19.7</v>
      </c>
      <c r="L120" s="109">
        <f t="shared" si="3"/>
        <v>0.48000000000000043</v>
      </c>
      <c r="M120" s="95" t="s">
        <v>12</v>
      </c>
      <c r="N120" s="95" t="s">
        <v>13</v>
      </c>
      <c r="O120" s="10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 ht="15" customHeight="1">
      <c r="A121" s="87" t="s">
        <v>256</v>
      </c>
      <c r="B121" s="125">
        <v>45417</v>
      </c>
      <c r="C121" s="129">
        <v>0.45624999999999999</v>
      </c>
      <c r="D121" s="125">
        <v>45417</v>
      </c>
      <c r="E121" s="89">
        <v>0.80972222222222223</v>
      </c>
      <c r="F121" s="91">
        <v>8.4600000000000009</v>
      </c>
      <c r="G121" s="91">
        <v>22.3</v>
      </c>
      <c r="H121" s="92">
        <v>45422</v>
      </c>
      <c r="I121" s="89">
        <v>0.61597222222222225</v>
      </c>
      <c r="J121" s="107">
        <v>8.14</v>
      </c>
      <c r="K121" s="108">
        <v>19.5</v>
      </c>
      <c r="L121" s="109">
        <f t="shared" si="3"/>
        <v>0.32000000000000028</v>
      </c>
      <c r="M121" s="95" t="s">
        <v>12</v>
      </c>
      <c r="N121" s="95" t="s">
        <v>13</v>
      </c>
      <c r="O121" s="111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 ht="15.75" customHeight="1">
      <c r="A122" s="130"/>
      <c r="B122" s="121"/>
      <c r="C122" s="121"/>
      <c r="D122" s="121"/>
      <c r="E122" s="121"/>
      <c r="F122" s="121"/>
      <c r="G122" s="121"/>
      <c r="H122" s="121"/>
      <c r="I122" s="131"/>
      <c r="J122" s="121"/>
      <c r="K122" s="132"/>
      <c r="L122" s="121"/>
      <c r="M122" s="96"/>
      <c r="N122" s="96"/>
      <c r="O122" s="106"/>
      <c r="P122" s="133"/>
    </row>
    <row r="123" spans="1:29" ht="15.75" customHeight="1">
      <c r="A123" s="130"/>
      <c r="B123" s="121"/>
      <c r="C123" s="121"/>
      <c r="D123" s="121"/>
      <c r="E123" s="121"/>
      <c r="F123" s="121"/>
      <c r="G123" s="121"/>
      <c r="H123" s="121"/>
      <c r="I123" s="131"/>
      <c r="J123" s="121"/>
      <c r="K123" s="132"/>
      <c r="L123" s="121"/>
      <c r="M123" s="96"/>
      <c r="N123" s="96"/>
      <c r="O123" s="106"/>
      <c r="P123" s="133"/>
    </row>
    <row r="124" spans="1:29" ht="15.75" customHeight="1">
      <c r="A124" s="130"/>
      <c r="B124" s="121"/>
      <c r="C124" s="121"/>
      <c r="D124" s="121"/>
      <c r="E124" s="121"/>
      <c r="F124" s="121"/>
      <c r="G124" s="121"/>
      <c r="H124" s="121"/>
      <c r="I124" s="131"/>
      <c r="J124" s="121"/>
      <c r="K124" s="132"/>
      <c r="L124" s="121"/>
      <c r="M124" s="96"/>
      <c r="N124" s="96"/>
      <c r="O124" s="106"/>
      <c r="P124" s="133"/>
    </row>
    <row r="125" spans="1:29" ht="15.75" customHeight="1">
      <c r="A125" s="130"/>
      <c r="B125" s="121"/>
      <c r="C125" s="121"/>
      <c r="D125" s="121"/>
      <c r="E125" s="121"/>
      <c r="F125" s="121"/>
      <c r="G125" s="121"/>
      <c r="H125" s="121"/>
      <c r="I125" s="131"/>
      <c r="J125" s="121"/>
      <c r="K125" s="132"/>
      <c r="L125" s="121"/>
      <c r="M125" s="96"/>
      <c r="N125" s="96"/>
      <c r="O125" s="106"/>
      <c r="P125" s="133"/>
    </row>
    <row r="126" spans="1:29" ht="15.75" customHeight="1">
      <c r="A126" s="130"/>
      <c r="B126" s="121"/>
      <c r="C126" s="121"/>
      <c r="D126" s="121"/>
      <c r="E126" s="121"/>
      <c r="F126" s="121"/>
      <c r="G126" s="121"/>
      <c r="H126" s="121"/>
      <c r="I126" s="131"/>
      <c r="J126" s="121"/>
      <c r="K126" s="132"/>
      <c r="L126" s="121"/>
      <c r="M126" s="96"/>
      <c r="N126" s="96"/>
      <c r="O126" s="106"/>
      <c r="P126" s="133"/>
    </row>
    <row r="127" spans="1:29" ht="15.75">
      <c r="A127" s="130"/>
      <c r="B127" s="121"/>
      <c r="C127" s="121"/>
      <c r="D127" s="121"/>
      <c r="E127" s="121"/>
      <c r="F127" s="121"/>
      <c r="G127" s="121"/>
      <c r="H127" s="121"/>
      <c r="I127" s="131"/>
      <c r="J127" s="121"/>
      <c r="K127" s="134"/>
      <c r="L127" s="121"/>
      <c r="M127" s="96"/>
      <c r="N127" s="96"/>
      <c r="O127" s="106"/>
      <c r="P127" s="133"/>
    </row>
    <row r="128" spans="1:29" ht="15.75" customHeight="1">
      <c r="A128" s="130"/>
      <c r="B128" s="121"/>
      <c r="C128" s="121"/>
      <c r="D128" s="121"/>
      <c r="E128" s="121"/>
      <c r="F128" s="121"/>
      <c r="G128" s="121"/>
      <c r="H128" s="121"/>
      <c r="I128" s="131"/>
      <c r="J128" s="121"/>
      <c r="K128" s="132"/>
      <c r="L128" s="121"/>
      <c r="M128" s="96"/>
      <c r="N128" s="96"/>
      <c r="O128" s="106"/>
      <c r="P128" s="133"/>
    </row>
    <row r="129" spans="1:16" ht="15.75" customHeight="1">
      <c r="A129" s="130"/>
      <c r="B129" s="121"/>
      <c r="C129" s="121"/>
      <c r="D129" s="121"/>
      <c r="E129" s="121"/>
      <c r="F129" s="121"/>
      <c r="G129" s="121"/>
      <c r="H129" s="121"/>
      <c r="I129" s="131"/>
      <c r="J129" s="121"/>
      <c r="K129" s="132"/>
      <c r="L129" s="121"/>
      <c r="M129" s="96"/>
      <c r="N129" s="96"/>
      <c r="O129" s="106"/>
      <c r="P129" s="133"/>
    </row>
    <row r="130" spans="1:16" ht="15.75" customHeight="1">
      <c r="A130" s="130"/>
      <c r="B130" s="121"/>
      <c r="C130" s="121"/>
      <c r="D130" s="121"/>
      <c r="E130" s="121"/>
      <c r="F130" s="121"/>
      <c r="G130" s="121"/>
      <c r="H130" s="121"/>
      <c r="I130" s="131"/>
      <c r="J130" s="121"/>
      <c r="K130" s="132"/>
      <c r="L130" s="121"/>
      <c r="M130" s="96"/>
      <c r="N130" s="96"/>
      <c r="O130" s="106"/>
      <c r="P130" s="133"/>
    </row>
    <row r="131" spans="1:16" ht="15.75" customHeight="1">
      <c r="A131" s="130"/>
      <c r="B131" s="121"/>
      <c r="C131" s="121"/>
      <c r="D131" s="121"/>
      <c r="E131" s="121"/>
      <c r="F131" s="121"/>
      <c r="G131" s="121"/>
      <c r="H131" s="121"/>
      <c r="I131" s="131"/>
      <c r="J131" s="121"/>
      <c r="K131" s="132"/>
      <c r="L131" s="121"/>
      <c r="M131" s="96"/>
      <c r="N131" s="96"/>
      <c r="O131" s="106"/>
      <c r="P131" s="133"/>
    </row>
    <row r="132" spans="1:16" ht="15.75" customHeight="1">
      <c r="A132" s="130"/>
      <c r="B132" s="121"/>
      <c r="C132" s="121"/>
      <c r="D132" s="121"/>
      <c r="E132" s="121"/>
      <c r="F132" s="121"/>
      <c r="G132" s="121"/>
      <c r="H132" s="121"/>
      <c r="I132" s="131"/>
      <c r="J132" s="121"/>
      <c r="K132" s="132"/>
      <c r="L132" s="121"/>
      <c r="M132" s="96"/>
      <c r="N132" s="96"/>
      <c r="O132" s="106"/>
      <c r="P132" s="133"/>
    </row>
    <row r="133" spans="1:16" ht="15.75" customHeight="1">
      <c r="A133" s="130"/>
      <c r="B133" s="121"/>
      <c r="C133" s="121"/>
      <c r="D133" s="121"/>
      <c r="E133" s="121"/>
      <c r="F133" s="121"/>
      <c r="G133" s="121"/>
      <c r="H133" s="121"/>
      <c r="I133" s="131"/>
      <c r="J133" s="121"/>
      <c r="K133" s="132"/>
      <c r="L133" s="121"/>
      <c r="M133" s="96"/>
      <c r="N133" s="96"/>
      <c r="O133" s="106"/>
      <c r="P133" s="133"/>
    </row>
    <row r="134" spans="1:16" ht="15.75" customHeight="1">
      <c r="A134" s="130"/>
      <c r="B134" s="121"/>
      <c r="C134" s="121"/>
      <c r="D134" s="121"/>
      <c r="E134" s="121"/>
      <c r="F134" s="121"/>
      <c r="G134" s="121"/>
      <c r="H134" s="121"/>
      <c r="I134" s="131"/>
      <c r="J134" s="121"/>
      <c r="K134" s="132"/>
      <c r="L134" s="121"/>
      <c r="M134" s="96"/>
      <c r="N134" s="96"/>
      <c r="O134" s="135"/>
      <c r="P134" s="136"/>
    </row>
    <row r="135" spans="1:16" ht="15.75" customHeight="1">
      <c r="A135" s="130"/>
      <c r="B135" s="121"/>
      <c r="C135" s="121"/>
      <c r="D135" s="121"/>
      <c r="E135" s="121"/>
      <c r="F135" s="121"/>
      <c r="G135" s="121"/>
      <c r="H135" s="121"/>
      <c r="I135" s="131"/>
      <c r="J135" s="121"/>
      <c r="K135" s="132"/>
      <c r="L135" s="121"/>
      <c r="M135" s="96"/>
      <c r="N135" s="96"/>
      <c r="O135" s="85"/>
      <c r="P135" s="106"/>
    </row>
    <row r="136" spans="1:16" ht="15.75" customHeight="1">
      <c r="A136" s="130"/>
      <c r="B136" s="121"/>
      <c r="C136" s="121"/>
      <c r="D136" s="121"/>
      <c r="E136" s="121"/>
      <c r="F136" s="121"/>
      <c r="G136" s="121"/>
      <c r="H136" s="121"/>
      <c r="I136" s="131"/>
      <c r="J136" s="121"/>
      <c r="K136" s="132"/>
      <c r="L136" s="121"/>
      <c r="M136" s="96"/>
      <c r="N136" s="96"/>
      <c r="O136" s="85"/>
      <c r="P136" s="133"/>
    </row>
    <row r="137" spans="1:16" ht="15.75" customHeight="1">
      <c r="A137" s="130"/>
      <c r="B137" s="121"/>
      <c r="C137" s="121"/>
      <c r="D137" s="121"/>
      <c r="E137" s="121"/>
      <c r="F137" s="121"/>
      <c r="G137" s="121"/>
      <c r="H137" s="121"/>
      <c r="I137" s="131"/>
      <c r="J137" s="121"/>
      <c r="K137" s="132"/>
      <c r="L137" s="121"/>
      <c r="M137" s="96"/>
      <c r="N137" s="96"/>
      <c r="O137" s="85"/>
      <c r="P137" s="133"/>
    </row>
    <row r="138" spans="1:16" ht="15.75" customHeight="1">
      <c r="A138" s="130"/>
      <c r="B138" s="121"/>
      <c r="C138" s="121"/>
      <c r="D138" s="121"/>
      <c r="E138" s="121"/>
      <c r="F138" s="121"/>
      <c r="G138" s="121"/>
      <c r="H138" s="121"/>
      <c r="I138" s="131"/>
      <c r="J138" s="121"/>
      <c r="K138" s="132"/>
      <c r="L138" s="121"/>
      <c r="M138" s="96"/>
      <c r="N138" s="96"/>
      <c r="O138" s="85"/>
      <c r="P138" s="133"/>
    </row>
    <row r="139" spans="1:16" ht="15.75" customHeight="1">
      <c r="A139" s="130"/>
      <c r="B139" s="121"/>
      <c r="C139" s="121"/>
      <c r="D139" s="121"/>
      <c r="E139" s="121"/>
      <c r="F139" s="121"/>
      <c r="G139" s="121"/>
      <c r="H139" s="121"/>
      <c r="I139" s="131"/>
      <c r="J139" s="121"/>
      <c r="K139" s="132"/>
      <c r="L139" s="121"/>
      <c r="M139" s="96"/>
      <c r="N139" s="96"/>
      <c r="O139" s="85"/>
      <c r="P139" s="133"/>
    </row>
    <row r="140" spans="1:16" ht="15.75" customHeight="1">
      <c r="A140" s="130"/>
      <c r="B140" s="121"/>
      <c r="C140" s="121"/>
      <c r="D140" s="121"/>
      <c r="E140" s="121"/>
      <c r="F140" s="121"/>
      <c r="G140" s="121"/>
      <c r="H140" s="121"/>
      <c r="I140" s="131"/>
      <c r="J140" s="121"/>
      <c r="K140" s="132"/>
      <c r="L140" s="121"/>
      <c r="M140" s="96"/>
      <c r="N140" s="96"/>
      <c r="O140" s="85"/>
      <c r="P140" s="133"/>
    </row>
    <row r="141" spans="1:16" ht="15.75" customHeight="1">
      <c r="A141" s="130"/>
      <c r="B141" s="121"/>
      <c r="C141" s="121"/>
      <c r="D141" s="121"/>
      <c r="E141" s="121"/>
      <c r="F141" s="121"/>
      <c r="G141" s="121"/>
      <c r="H141" s="121"/>
      <c r="I141" s="131"/>
      <c r="J141" s="121"/>
      <c r="K141" s="132"/>
      <c r="L141" s="121"/>
      <c r="M141" s="96"/>
      <c r="N141" s="96"/>
      <c r="O141" s="85"/>
      <c r="P141" s="133"/>
    </row>
    <row r="142" spans="1:16" ht="15.75" customHeight="1">
      <c r="A142" s="130"/>
      <c r="B142" s="121"/>
      <c r="C142" s="121"/>
      <c r="D142" s="121"/>
      <c r="E142" s="121"/>
      <c r="F142" s="121"/>
      <c r="G142" s="121"/>
      <c r="H142" s="121"/>
      <c r="I142" s="131"/>
      <c r="J142" s="121"/>
      <c r="K142" s="132"/>
      <c r="L142" s="121"/>
      <c r="M142" s="96"/>
      <c r="N142" s="96"/>
      <c r="O142" s="85"/>
      <c r="P142" s="133"/>
    </row>
    <row r="143" spans="1:16" ht="15.75" customHeight="1">
      <c r="A143" s="130"/>
      <c r="B143" s="121"/>
      <c r="C143" s="121"/>
      <c r="D143" s="121"/>
      <c r="E143" s="121"/>
      <c r="F143" s="121"/>
      <c r="G143" s="121"/>
      <c r="H143" s="121"/>
      <c r="I143" s="131"/>
      <c r="J143" s="121"/>
      <c r="K143" s="132"/>
      <c r="L143" s="121"/>
      <c r="M143" s="96"/>
      <c r="N143" s="96"/>
      <c r="O143" s="85"/>
      <c r="P143" s="133"/>
    </row>
    <row r="144" spans="1:16" ht="15.75" customHeight="1">
      <c r="A144" s="130"/>
      <c r="B144" s="121"/>
      <c r="C144" s="121"/>
      <c r="D144" s="121"/>
      <c r="E144" s="121"/>
      <c r="F144" s="121"/>
      <c r="G144" s="121"/>
      <c r="H144" s="121"/>
      <c r="I144" s="131"/>
      <c r="J144" s="121"/>
      <c r="K144" s="132"/>
      <c r="L144" s="121"/>
      <c r="M144" s="96"/>
      <c r="N144" s="96"/>
      <c r="O144" s="85"/>
      <c r="P144" s="133"/>
    </row>
    <row r="145" spans="1:16" ht="15.75" customHeight="1">
      <c r="A145" s="130"/>
      <c r="B145" s="121"/>
      <c r="C145" s="121"/>
      <c r="D145" s="121"/>
      <c r="E145" s="121"/>
      <c r="F145" s="121"/>
      <c r="G145" s="121"/>
      <c r="H145" s="121"/>
      <c r="I145" s="131"/>
      <c r="J145" s="121"/>
      <c r="K145" s="132"/>
      <c r="L145" s="121"/>
      <c r="M145" s="96"/>
      <c r="N145" s="96"/>
      <c r="O145" s="85"/>
      <c r="P145" s="133"/>
    </row>
    <row r="146" spans="1:16" ht="15.75" customHeight="1">
      <c r="A146" s="130"/>
      <c r="B146" s="121"/>
      <c r="C146" s="121"/>
      <c r="D146" s="121"/>
      <c r="E146" s="121"/>
      <c r="F146" s="121"/>
      <c r="G146" s="121"/>
      <c r="H146" s="121"/>
      <c r="I146" s="131"/>
      <c r="J146" s="121"/>
      <c r="K146" s="132"/>
      <c r="L146" s="121"/>
      <c r="M146" s="96"/>
      <c r="N146" s="96"/>
      <c r="O146" s="85"/>
      <c r="P146" s="133"/>
    </row>
    <row r="147" spans="1:16" ht="15.75" customHeight="1">
      <c r="A147" s="130"/>
      <c r="B147" s="121"/>
      <c r="C147" s="121"/>
      <c r="D147" s="121"/>
      <c r="E147" s="121"/>
      <c r="F147" s="121"/>
      <c r="G147" s="121"/>
      <c r="H147" s="121"/>
      <c r="I147" s="131"/>
      <c r="J147" s="121"/>
      <c r="K147" s="132"/>
      <c r="L147" s="121"/>
      <c r="M147" s="96"/>
      <c r="N147" s="96"/>
      <c r="O147" s="85"/>
      <c r="P147" s="133"/>
    </row>
    <row r="148" spans="1:16" ht="15.75" customHeight="1">
      <c r="A148" s="130"/>
      <c r="B148" s="121"/>
      <c r="C148" s="121"/>
      <c r="D148" s="121"/>
      <c r="E148" s="121"/>
      <c r="F148" s="121"/>
      <c r="G148" s="121"/>
      <c r="H148" s="121"/>
      <c r="I148" s="131"/>
      <c r="J148" s="121"/>
      <c r="K148" s="132"/>
      <c r="L148" s="121"/>
      <c r="M148" s="96"/>
      <c r="N148" s="96"/>
      <c r="O148" s="85"/>
      <c r="P148" s="133"/>
    </row>
    <row r="149" spans="1:16" ht="15.75" customHeight="1">
      <c r="A149" s="130"/>
      <c r="B149" s="121"/>
      <c r="C149" s="121"/>
      <c r="D149" s="121"/>
      <c r="E149" s="121"/>
      <c r="F149" s="121"/>
      <c r="G149" s="121"/>
      <c r="H149" s="121"/>
      <c r="I149" s="131"/>
      <c r="J149" s="121"/>
      <c r="K149" s="132"/>
      <c r="L149" s="121"/>
      <c r="M149" s="96"/>
      <c r="N149" s="96"/>
      <c r="O149" s="85"/>
      <c r="P149" s="133"/>
    </row>
    <row r="150" spans="1:16" ht="15.75" customHeight="1">
      <c r="A150" s="130"/>
      <c r="B150" s="121"/>
      <c r="C150" s="121"/>
      <c r="D150" s="121"/>
      <c r="E150" s="121"/>
      <c r="F150" s="121"/>
      <c r="G150" s="121"/>
      <c r="H150" s="121"/>
      <c r="I150" s="131"/>
      <c r="J150" s="121"/>
      <c r="K150" s="132"/>
      <c r="L150" s="121"/>
      <c r="M150" s="96"/>
      <c r="N150" s="96"/>
      <c r="O150" s="85"/>
      <c r="P150" s="133"/>
    </row>
    <row r="151" spans="1:16" ht="15.75" customHeight="1">
      <c r="A151" s="130"/>
      <c r="B151" s="121"/>
      <c r="C151" s="121"/>
      <c r="D151" s="121"/>
      <c r="E151" s="121"/>
      <c r="F151" s="121"/>
      <c r="G151" s="121"/>
      <c r="H151" s="121"/>
      <c r="I151" s="131"/>
      <c r="J151" s="121"/>
      <c r="K151" s="132"/>
      <c r="L151" s="121"/>
      <c r="M151" s="96"/>
      <c r="N151" s="96"/>
      <c r="O151" s="85"/>
      <c r="P151" s="133"/>
    </row>
    <row r="152" spans="1:16" ht="15.75" customHeight="1">
      <c r="A152" s="130"/>
      <c r="B152" s="121"/>
      <c r="C152" s="121"/>
      <c r="D152" s="121"/>
      <c r="E152" s="121"/>
      <c r="F152" s="121"/>
      <c r="G152" s="121"/>
      <c r="H152" s="121"/>
      <c r="I152" s="131"/>
      <c r="J152" s="121"/>
      <c r="K152" s="132"/>
      <c r="L152" s="121"/>
      <c r="M152" s="96"/>
      <c r="N152" s="96"/>
      <c r="O152" s="85"/>
      <c r="P152" s="133"/>
    </row>
    <row r="153" spans="1:16" ht="15.75" customHeight="1">
      <c r="A153" s="130"/>
      <c r="B153" s="121"/>
      <c r="C153" s="121"/>
      <c r="D153" s="121"/>
      <c r="E153" s="121"/>
      <c r="F153" s="121"/>
      <c r="G153" s="121"/>
      <c r="H153" s="121"/>
      <c r="I153" s="131"/>
      <c r="J153" s="121"/>
      <c r="K153" s="132"/>
      <c r="L153" s="121"/>
      <c r="M153" s="96"/>
      <c r="N153" s="96"/>
      <c r="O153" s="85"/>
      <c r="P153" s="133"/>
    </row>
    <row r="154" spans="1:16" ht="15.75" customHeight="1">
      <c r="A154" s="130"/>
      <c r="B154" s="121"/>
      <c r="C154" s="121"/>
      <c r="D154" s="121"/>
      <c r="E154" s="121"/>
      <c r="F154" s="121"/>
      <c r="G154" s="121"/>
      <c r="H154" s="121"/>
      <c r="I154" s="131"/>
      <c r="J154" s="121"/>
      <c r="K154" s="132"/>
      <c r="L154" s="121"/>
      <c r="M154" s="96"/>
      <c r="N154" s="96"/>
      <c r="O154" s="85"/>
      <c r="P154" s="133"/>
    </row>
    <row r="155" spans="1:16" ht="15.75" customHeight="1">
      <c r="A155" s="130"/>
      <c r="B155" s="121"/>
      <c r="C155" s="121"/>
      <c r="D155" s="121"/>
      <c r="E155" s="121"/>
      <c r="F155" s="121"/>
      <c r="G155" s="121"/>
      <c r="H155" s="121"/>
      <c r="I155" s="131"/>
      <c r="J155" s="121"/>
      <c r="K155" s="132"/>
      <c r="L155" s="121"/>
      <c r="M155" s="96"/>
      <c r="N155" s="96"/>
      <c r="O155" s="85"/>
      <c r="P155" s="133"/>
    </row>
    <row r="156" spans="1:16" ht="15.75" customHeight="1">
      <c r="A156" s="130"/>
      <c r="B156" s="121"/>
      <c r="C156" s="121"/>
      <c r="D156" s="121"/>
      <c r="E156" s="121"/>
      <c r="F156" s="121"/>
      <c r="G156" s="121"/>
      <c r="H156" s="121"/>
      <c r="I156" s="131"/>
      <c r="J156" s="121"/>
      <c r="K156" s="132"/>
      <c r="L156" s="121"/>
      <c r="M156" s="96"/>
      <c r="N156" s="96"/>
      <c r="O156" s="85"/>
      <c r="P156" s="133"/>
    </row>
    <row r="157" spans="1:16" ht="15.75" customHeight="1">
      <c r="A157" s="130"/>
      <c r="B157" s="121"/>
      <c r="C157" s="121"/>
      <c r="D157" s="121"/>
      <c r="E157" s="121"/>
      <c r="F157" s="121"/>
      <c r="G157" s="121"/>
      <c r="H157" s="121"/>
      <c r="I157" s="131"/>
      <c r="J157" s="121"/>
      <c r="K157" s="132"/>
      <c r="L157" s="121"/>
      <c r="M157" s="96"/>
      <c r="N157" s="96"/>
      <c r="O157" s="85"/>
      <c r="P157" s="133"/>
    </row>
    <row r="158" spans="1:16" ht="15.75" customHeight="1">
      <c r="A158" s="130"/>
      <c r="B158" s="121"/>
      <c r="C158" s="121"/>
      <c r="D158" s="121"/>
      <c r="E158" s="121"/>
      <c r="F158" s="121"/>
      <c r="G158" s="121"/>
      <c r="H158" s="121"/>
      <c r="I158" s="131"/>
      <c r="J158" s="121"/>
      <c r="K158" s="132"/>
      <c r="L158" s="121"/>
      <c r="M158" s="96"/>
      <c r="N158" s="96"/>
      <c r="O158" s="85"/>
      <c r="P158" s="133"/>
    </row>
    <row r="159" spans="1:16" ht="15.75" customHeight="1">
      <c r="A159" s="130"/>
      <c r="B159" s="121"/>
      <c r="C159" s="121"/>
      <c r="D159" s="121"/>
      <c r="E159" s="121"/>
      <c r="F159" s="121"/>
      <c r="G159" s="121"/>
      <c r="H159" s="121"/>
      <c r="I159" s="131"/>
      <c r="J159" s="121"/>
      <c r="K159" s="132"/>
      <c r="L159" s="121"/>
      <c r="M159" s="96"/>
      <c r="N159" s="96"/>
      <c r="O159" s="85"/>
      <c r="P159" s="133"/>
    </row>
    <row r="160" spans="1:16" ht="15.75" customHeight="1">
      <c r="A160" s="130"/>
      <c r="B160" s="121"/>
      <c r="C160" s="121"/>
      <c r="D160" s="121"/>
      <c r="E160" s="121"/>
      <c r="F160" s="121"/>
      <c r="G160" s="121"/>
      <c r="H160" s="121"/>
      <c r="I160" s="131"/>
      <c r="J160" s="121"/>
      <c r="K160" s="132"/>
      <c r="L160" s="121"/>
      <c r="M160" s="96"/>
      <c r="N160" s="96"/>
      <c r="O160" s="85"/>
      <c r="P160" s="133"/>
    </row>
    <row r="161" spans="1:16" ht="15.75" customHeight="1">
      <c r="A161" s="130"/>
      <c r="B161" s="121"/>
      <c r="C161" s="121"/>
      <c r="D161" s="121"/>
      <c r="E161" s="121"/>
      <c r="F161" s="121"/>
      <c r="G161" s="121"/>
      <c r="H161" s="121"/>
      <c r="I161" s="131"/>
      <c r="J161" s="121"/>
      <c r="K161" s="132"/>
      <c r="L161" s="121"/>
      <c r="M161" s="96"/>
      <c r="N161" s="96"/>
      <c r="O161" s="85"/>
      <c r="P161" s="133"/>
    </row>
    <row r="162" spans="1:16" ht="15.75" customHeight="1">
      <c r="A162" s="130"/>
      <c r="B162" s="121"/>
      <c r="C162" s="121"/>
      <c r="D162" s="121"/>
      <c r="E162" s="121"/>
      <c r="F162" s="121"/>
      <c r="G162" s="121"/>
      <c r="H162" s="121"/>
      <c r="I162" s="131"/>
      <c r="J162" s="121"/>
      <c r="K162" s="132"/>
      <c r="L162" s="121"/>
      <c r="M162" s="96"/>
      <c r="N162" s="96"/>
      <c r="O162" s="85"/>
      <c r="P162" s="133"/>
    </row>
    <row r="163" spans="1:16" ht="15.75" customHeight="1">
      <c r="A163" s="130"/>
      <c r="B163" s="121"/>
      <c r="C163" s="121"/>
      <c r="D163" s="121"/>
      <c r="E163" s="121"/>
      <c r="F163" s="121"/>
      <c r="G163" s="121"/>
      <c r="H163" s="121"/>
      <c r="I163" s="131"/>
      <c r="J163" s="121"/>
      <c r="K163" s="132"/>
      <c r="L163" s="121"/>
      <c r="M163" s="96"/>
      <c r="N163" s="96"/>
      <c r="O163" s="85"/>
      <c r="P163" s="133"/>
    </row>
    <row r="164" spans="1:16" ht="15.75" customHeight="1">
      <c r="A164" s="130"/>
      <c r="B164" s="121"/>
      <c r="C164" s="121"/>
      <c r="D164" s="121"/>
      <c r="E164" s="121"/>
      <c r="F164" s="121"/>
      <c r="G164" s="121"/>
      <c r="H164" s="121"/>
      <c r="I164" s="131"/>
      <c r="J164" s="121"/>
      <c r="K164" s="132"/>
      <c r="L164" s="121"/>
      <c r="M164" s="96"/>
      <c r="N164" s="96"/>
      <c r="O164" s="85"/>
      <c r="P164" s="133"/>
    </row>
    <row r="165" spans="1:16" ht="15.75" customHeight="1">
      <c r="A165" s="130"/>
      <c r="B165" s="121"/>
      <c r="C165" s="121"/>
      <c r="D165" s="121"/>
      <c r="E165" s="121"/>
      <c r="F165" s="121"/>
      <c r="G165" s="121"/>
      <c r="H165" s="121"/>
      <c r="I165" s="131"/>
      <c r="J165" s="121"/>
      <c r="K165" s="132"/>
      <c r="L165" s="121"/>
      <c r="M165" s="96"/>
      <c r="N165" s="96"/>
      <c r="O165" s="85"/>
      <c r="P165" s="133"/>
    </row>
    <row r="166" spans="1:16" ht="15.75" customHeight="1">
      <c r="A166" s="130"/>
      <c r="B166" s="121"/>
      <c r="C166" s="121"/>
      <c r="D166" s="121"/>
      <c r="E166" s="121"/>
      <c r="F166" s="121"/>
      <c r="G166" s="121"/>
      <c r="H166" s="121"/>
      <c r="I166" s="131"/>
      <c r="J166" s="121"/>
      <c r="K166" s="132"/>
      <c r="L166" s="121"/>
      <c r="M166" s="96"/>
      <c r="N166" s="96"/>
      <c r="O166" s="85"/>
      <c r="P166" s="133"/>
    </row>
    <row r="167" spans="1:16" ht="15.75" customHeight="1">
      <c r="A167" s="130"/>
      <c r="B167" s="121"/>
      <c r="C167" s="121"/>
      <c r="D167" s="121"/>
      <c r="E167" s="121"/>
      <c r="F167" s="121"/>
      <c r="G167" s="121"/>
      <c r="H167" s="121"/>
      <c r="I167" s="131"/>
      <c r="J167" s="121"/>
      <c r="K167" s="132"/>
      <c r="L167" s="121"/>
      <c r="M167" s="96"/>
      <c r="N167" s="96"/>
      <c r="O167" s="85"/>
      <c r="P167" s="133"/>
    </row>
    <row r="168" spans="1:16" ht="15.75" customHeight="1">
      <c r="A168" s="130"/>
      <c r="B168" s="121"/>
      <c r="C168" s="121"/>
      <c r="D168" s="121"/>
      <c r="E168" s="121"/>
      <c r="F168" s="121"/>
      <c r="G168" s="121"/>
      <c r="H168" s="121"/>
      <c r="I168" s="131"/>
      <c r="J168" s="121"/>
      <c r="K168" s="132"/>
      <c r="L168" s="121"/>
      <c r="M168" s="96"/>
      <c r="N168" s="96"/>
      <c r="O168" s="85"/>
      <c r="P168" s="133"/>
    </row>
    <row r="169" spans="1:16" ht="15.75" customHeight="1">
      <c r="A169" s="130"/>
      <c r="B169" s="121"/>
      <c r="C169" s="121"/>
      <c r="D169" s="121"/>
      <c r="E169" s="121"/>
      <c r="F169" s="121"/>
      <c r="G169" s="121"/>
      <c r="H169" s="121"/>
      <c r="I169" s="131"/>
      <c r="J169" s="121"/>
      <c r="K169" s="132"/>
      <c r="L169" s="121"/>
      <c r="M169" s="96"/>
      <c r="N169" s="96"/>
      <c r="O169" s="85"/>
      <c r="P169" s="133"/>
    </row>
    <row r="170" spans="1:16" ht="15.75" customHeight="1">
      <c r="A170" s="130"/>
      <c r="B170" s="121"/>
      <c r="C170" s="121"/>
      <c r="D170" s="121"/>
      <c r="E170" s="121"/>
      <c r="F170" s="121"/>
      <c r="G170" s="121"/>
      <c r="H170" s="121"/>
      <c r="I170" s="131"/>
      <c r="J170" s="121"/>
      <c r="K170" s="132"/>
      <c r="L170" s="121"/>
      <c r="M170" s="96"/>
      <c r="N170" s="96"/>
      <c r="O170" s="85"/>
      <c r="P170" s="133"/>
    </row>
    <row r="171" spans="1:16" ht="15.75" customHeight="1">
      <c r="A171" s="130"/>
      <c r="B171" s="121"/>
      <c r="C171" s="121"/>
      <c r="D171" s="121"/>
      <c r="E171" s="121"/>
      <c r="F171" s="121"/>
      <c r="G171" s="121"/>
      <c r="H171" s="121"/>
      <c r="I171" s="131"/>
      <c r="J171" s="121"/>
      <c r="K171" s="132"/>
      <c r="L171" s="121"/>
      <c r="M171" s="96"/>
      <c r="N171" s="96"/>
      <c r="O171" s="85"/>
      <c r="P171" s="133"/>
    </row>
    <row r="172" spans="1:16" ht="15.75" customHeight="1">
      <c r="A172" s="130"/>
      <c r="B172" s="121"/>
      <c r="C172" s="121"/>
      <c r="D172" s="121"/>
      <c r="E172" s="121"/>
      <c r="F172" s="121"/>
      <c r="G172" s="121"/>
      <c r="H172" s="121"/>
      <c r="I172" s="131"/>
      <c r="J172" s="121"/>
      <c r="K172" s="132"/>
      <c r="L172" s="121"/>
      <c r="M172" s="96"/>
      <c r="N172" s="96"/>
      <c r="O172" s="85"/>
      <c r="P172" s="133"/>
    </row>
    <row r="173" spans="1:16" ht="15.75" customHeight="1">
      <c r="A173" s="130"/>
      <c r="B173" s="121"/>
      <c r="C173" s="121"/>
      <c r="D173" s="121"/>
      <c r="E173" s="121"/>
      <c r="F173" s="121"/>
      <c r="G173" s="121"/>
      <c r="H173" s="121"/>
      <c r="I173" s="131"/>
      <c r="J173" s="121"/>
      <c r="K173" s="132"/>
      <c r="L173" s="121"/>
      <c r="M173" s="96"/>
      <c r="N173" s="96"/>
      <c r="O173" s="85"/>
      <c r="P173" s="133"/>
    </row>
    <row r="174" spans="1:16" ht="15.75" customHeight="1">
      <c r="A174" s="130"/>
      <c r="B174" s="121"/>
      <c r="C174" s="121"/>
      <c r="D174" s="121"/>
      <c r="E174" s="121"/>
      <c r="F174" s="121"/>
      <c r="G174" s="121"/>
      <c r="H174" s="121"/>
      <c r="I174" s="131"/>
      <c r="J174" s="121"/>
      <c r="K174" s="132"/>
      <c r="L174" s="121"/>
      <c r="M174" s="96"/>
      <c r="N174" s="96"/>
      <c r="O174" s="85"/>
      <c r="P174" s="133"/>
    </row>
    <row r="175" spans="1:16" ht="15.75" customHeight="1">
      <c r="A175" s="130"/>
      <c r="B175" s="121"/>
      <c r="C175" s="121"/>
      <c r="D175" s="121"/>
      <c r="E175" s="121"/>
      <c r="F175" s="121"/>
      <c r="G175" s="121"/>
      <c r="H175" s="121"/>
      <c r="I175" s="131"/>
      <c r="J175" s="121"/>
      <c r="K175" s="132"/>
      <c r="L175" s="121"/>
      <c r="M175" s="96"/>
      <c r="N175" s="96"/>
      <c r="O175" s="85"/>
      <c r="P175" s="133"/>
    </row>
    <row r="176" spans="1:16" ht="15.75" customHeight="1">
      <c r="A176" s="130"/>
      <c r="B176" s="121"/>
      <c r="C176" s="121"/>
      <c r="D176" s="121"/>
      <c r="E176" s="121"/>
      <c r="F176" s="121"/>
      <c r="G176" s="121"/>
      <c r="H176" s="121"/>
      <c r="I176" s="131"/>
      <c r="J176" s="121"/>
      <c r="K176" s="132"/>
      <c r="L176" s="121"/>
      <c r="M176" s="96"/>
      <c r="N176" s="96"/>
      <c r="O176" s="85"/>
      <c r="P176" s="133"/>
    </row>
    <row r="177" spans="1:16" ht="15.75" customHeight="1">
      <c r="A177" s="130"/>
      <c r="B177" s="121"/>
      <c r="C177" s="121"/>
      <c r="D177" s="121"/>
      <c r="E177" s="121"/>
      <c r="F177" s="121"/>
      <c r="G177" s="121"/>
      <c r="H177" s="121"/>
      <c r="I177" s="131"/>
      <c r="J177" s="121"/>
      <c r="K177" s="132"/>
      <c r="L177" s="121"/>
      <c r="M177" s="96"/>
      <c r="N177" s="96"/>
      <c r="O177" s="85"/>
      <c r="P177" s="133"/>
    </row>
    <row r="178" spans="1:16" ht="15.75" customHeight="1">
      <c r="A178" s="130"/>
      <c r="B178" s="137"/>
      <c r="C178" s="138"/>
      <c r="D178" s="139"/>
      <c r="E178" s="138"/>
      <c r="F178" s="140"/>
      <c r="G178" s="140"/>
      <c r="H178" s="139"/>
      <c r="I178" s="138"/>
      <c r="J178" s="121"/>
      <c r="K178" s="132"/>
      <c r="L178" s="121"/>
      <c r="M178" s="96"/>
      <c r="N178" s="96"/>
      <c r="O178" s="85"/>
      <c r="P178" s="133"/>
    </row>
    <row r="179" spans="1:16" ht="15.75" customHeight="1">
      <c r="A179" s="130"/>
      <c r="B179" s="137"/>
      <c r="C179" s="138"/>
      <c r="D179" s="139"/>
      <c r="E179" s="138"/>
      <c r="F179" s="140"/>
      <c r="G179" s="140"/>
      <c r="H179" s="139"/>
      <c r="I179" s="138"/>
      <c r="J179" s="121"/>
      <c r="K179" s="132"/>
      <c r="L179" s="121"/>
      <c r="M179" s="96"/>
      <c r="N179" s="96"/>
      <c r="O179" s="85"/>
      <c r="P179" s="133"/>
    </row>
    <row r="180" spans="1:16" ht="15.75" customHeight="1">
      <c r="A180" s="130"/>
      <c r="B180" s="137"/>
      <c r="C180" s="138"/>
      <c r="D180" s="139"/>
      <c r="E180" s="138"/>
      <c r="F180" s="140"/>
      <c r="G180" s="140"/>
      <c r="H180" s="139"/>
      <c r="I180" s="138"/>
      <c r="J180" s="121"/>
      <c r="K180" s="132"/>
      <c r="L180" s="121"/>
      <c r="M180" s="96"/>
      <c r="N180" s="96"/>
      <c r="O180" s="85"/>
      <c r="P180" s="133"/>
    </row>
    <row r="181" spans="1:16" ht="15.75" customHeight="1">
      <c r="A181" s="130"/>
      <c r="B181" s="137"/>
      <c r="C181" s="138"/>
      <c r="D181" s="139"/>
      <c r="E181" s="138"/>
      <c r="F181" s="140"/>
      <c r="G181" s="140"/>
      <c r="H181" s="139"/>
      <c r="I181" s="138"/>
      <c r="J181" s="121"/>
      <c r="K181" s="132"/>
      <c r="L181" s="121"/>
      <c r="M181" s="96"/>
      <c r="N181" s="96"/>
      <c r="O181" s="85"/>
      <c r="P181" s="133"/>
    </row>
    <row r="182" spans="1:16" ht="15.75" customHeight="1">
      <c r="A182" s="130"/>
      <c r="B182" s="137"/>
      <c r="C182" s="138"/>
      <c r="D182" s="139"/>
      <c r="E182" s="138"/>
      <c r="F182" s="140"/>
      <c r="G182" s="140"/>
      <c r="H182" s="139"/>
      <c r="I182" s="138"/>
      <c r="J182" s="121"/>
      <c r="K182" s="132"/>
      <c r="L182" s="121"/>
      <c r="M182" s="96"/>
      <c r="N182" s="96"/>
      <c r="O182" s="85"/>
      <c r="P182" s="133"/>
    </row>
    <row r="183" spans="1:16" ht="15.75" customHeight="1">
      <c r="A183" s="130"/>
      <c r="B183" s="137"/>
      <c r="C183" s="138"/>
      <c r="D183" s="139"/>
      <c r="E183" s="138"/>
      <c r="F183" s="140"/>
      <c r="G183" s="140"/>
      <c r="H183" s="139"/>
      <c r="I183" s="138"/>
      <c r="J183" s="121"/>
      <c r="K183" s="132"/>
      <c r="L183" s="121"/>
      <c r="M183" s="96"/>
      <c r="N183" s="96"/>
      <c r="O183" s="85"/>
      <c r="P183" s="133"/>
    </row>
    <row r="184" spans="1:16" ht="15.75" customHeight="1">
      <c r="A184" s="130"/>
      <c r="B184" s="137"/>
      <c r="C184" s="138"/>
      <c r="D184" s="139"/>
      <c r="E184" s="138"/>
      <c r="F184" s="140"/>
      <c r="G184" s="140"/>
      <c r="H184" s="139"/>
      <c r="I184" s="138"/>
      <c r="J184" s="121"/>
      <c r="K184" s="132"/>
      <c r="L184" s="121"/>
      <c r="M184" s="96"/>
      <c r="N184" s="96"/>
      <c r="O184" s="85"/>
      <c r="P184" s="133"/>
    </row>
    <row r="185" spans="1:16" ht="15.75" customHeight="1">
      <c r="A185" s="130"/>
      <c r="B185" s="137"/>
      <c r="C185" s="138"/>
      <c r="D185" s="139"/>
      <c r="E185" s="138"/>
      <c r="F185" s="140"/>
      <c r="G185" s="140"/>
      <c r="H185" s="139"/>
      <c r="I185" s="138"/>
      <c r="J185" s="121"/>
      <c r="K185" s="132"/>
      <c r="L185" s="121"/>
      <c r="M185" s="96"/>
      <c r="N185" s="96"/>
      <c r="O185" s="85"/>
      <c r="P185" s="133"/>
    </row>
    <row r="186" spans="1:16" ht="15.75" customHeight="1">
      <c r="A186" s="130"/>
      <c r="B186" s="137"/>
      <c r="C186" s="138"/>
      <c r="D186" s="139"/>
      <c r="E186" s="138"/>
      <c r="F186" s="140"/>
      <c r="G186" s="140"/>
      <c r="H186" s="139"/>
      <c r="I186" s="138"/>
      <c r="J186" s="121"/>
      <c r="K186" s="132"/>
      <c r="L186" s="121"/>
      <c r="M186" s="96"/>
      <c r="N186" s="96"/>
      <c r="O186" s="85"/>
      <c r="P186" s="133"/>
    </row>
    <row r="187" spans="1:16" ht="15.75" customHeight="1">
      <c r="A187" s="130"/>
      <c r="B187" s="137"/>
      <c r="C187" s="138"/>
      <c r="D187" s="139"/>
      <c r="E187" s="138"/>
      <c r="F187" s="140"/>
      <c r="G187" s="140"/>
      <c r="H187" s="139"/>
      <c r="I187" s="138"/>
      <c r="J187" s="121"/>
      <c r="K187" s="132"/>
      <c r="L187" s="121"/>
      <c r="M187" s="96"/>
      <c r="N187" s="96"/>
      <c r="O187" s="85"/>
      <c r="P187" s="133"/>
    </row>
    <row r="188" spans="1:16" ht="15.75" customHeight="1">
      <c r="A188" s="130"/>
      <c r="B188" s="137"/>
      <c r="C188" s="138"/>
      <c r="D188" s="139"/>
      <c r="E188" s="138"/>
      <c r="F188" s="140"/>
      <c r="G188" s="140"/>
      <c r="H188" s="139"/>
      <c r="I188" s="138"/>
      <c r="J188" s="121"/>
      <c r="K188" s="132"/>
      <c r="L188" s="121"/>
      <c r="M188" s="96"/>
      <c r="N188" s="96"/>
      <c r="O188" s="85"/>
      <c r="P188" s="133"/>
    </row>
    <row r="189" spans="1:16" ht="15.75" customHeight="1">
      <c r="A189" s="130"/>
      <c r="B189" s="137"/>
      <c r="C189" s="138"/>
      <c r="D189" s="139"/>
      <c r="E189" s="138"/>
      <c r="F189" s="140"/>
      <c r="G189" s="140"/>
      <c r="H189" s="139"/>
      <c r="I189" s="138"/>
      <c r="J189" s="121"/>
      <c r="K189" s="132"/>
      <c r="L189" s="121"/>
      <c r="M189" s="96"/>
      <c r="N189" s="96"/>
      <c r="O189" s="85"/>
      <c r="P189" s="133"/>
    </row>
    <row r="190" spans="1:16" ht="15.75" customHeight="1">
      <c r="A190" s="130"/>
      <c r="B190" s="137"/>
      <c r="C190" s="138"/>
      <c r="D190" s="139"/>
      <c r="E190" s="138"/>
      <c r="F190" s="140"/>
      <c r="G190" s="140"/>
      <c r="H190" s="139"/>
      <c r="I190" s="138"/>
      <c r="J190" s="121"/>
      <c r="K190" s="132"/>
      <c r="L190" s="121"/>
      <c r="M190" s="96"/>
      <c r="N190" s="96"/>
      <c r="O190" s="85"/>
      <c r="P190" s="133"/>
    </row>
    <row r="191" spans="1:16" ht="15.75" customHeight="1">
      <c r="A191" s="130"/>
      <c r="B191" s="137"/>
      <c r="C191" s="138"/>
      <c r="D191" s="139"/>
      <c r="E191" s="138"/>
      <c r="F191" s="140"/>
      <c r="G191" s="140"/>
      <c r="H191" s="139"/>
      <c r="I191" s="138"/>
      <c r="J191" s="121"/>
      <c r="K191" s="132"/>
      <c r="L191" s="121"/>
      <c r="M191" s="96"/>
      <c r="N191" s="96"/>
      <c r="O191" s="85"/>
      <c r="P191" s="133"/>
    </row>
    <row r="192" spans="1:16" ht="15.75" customHeight="1">
      <c r="A192" s="130"/>
      <c r="B192" s="137"/>
      <c r="C192" s="138"/>
      <c r="D192" s="139"/>
      <c r="E192" s="138"/>
      <c r="F192" s="140"/>
      <c r="G192" s="140"/>
      <c r="H192" s="139"/>
      <c r="I192" s="138"/>
      <c r="J192" s="121"/>
      <c r="K192" s="132"/>
      <c r="L192" s="121"/>
      <c r="M192" s="96"/>
      <c r="N192" s="96"/>
      <c r="O192" s="85"/>
      <c r="P192" s="133"/>
    </row>
    <row r="193" spans="1:16" ht="15.75" customHeight="1">
      <c r="A193" s="130"/>
      <c r="B193" s="137"/>
      <c r="C193" s="138"/>
      <c r="D193" s="139"/>
      <c r="E193" s="138"/>
      <c r="F193" s="140"/>
      <c r="G193" s="140"/>
      <c r="H193" s="139"/>
      <c r="I193" s="138"/>
      <c r="J193" s="121"/>
      <c r="K193" s="132"/>
      <c r="L193" s="121"/>
      <c r="M193" s="96"/>
      <c r="N193" s="96"/>
      <c r="O193" s="85"/>
      <c r="P193" s="133"/>
    </row>
    <row r="194" spans="1:16" ht="15.75" customHeight="1">
      <c r="A194" s="130"/>
      <c r="B194" s="137"/>
      <c r="C194" s="138"/>
      <c r="D194" s="139"/>
      <c r="E194" s="138"/>
      <c r="F194" s="140"/>
      <c r="G194" s="140"/>
      <c r="H194" s="139"/>
      <c r="I194" s="138"/>
      <c r="J194" s="121"/>
      <c r="K194" s="132"/>
      <c r="L194" s="121"/>
      <c r="M194" s="96"/>
      <c r="N194" s="96"/>
      <c r="O194" s="85"/>
      <c r="P194" s="133"/>
    </row>
    <row r="195" spans="1:16" ht="15.75" customHeight="1">
      <c r="A195" s="130"/>
      <c r="B195" s="137"/>
      <c r="C195" s="138"/>
      <c r="D195" s="139"/>
      <c r="E195" s="138"/>
      <c r="F195" s="140"/>
      <c r="G195" s="140"/>
      <c r="H195" s="139"/>
      <c r="I195" s="138"/>
      <c r="J195" s="121"/>
      <c r="K195" s="132"/>
      <c r="L195" s="121"/>
      <c r="M195" s="96"/>
      <c r="N195" s="96"/>
      <c r="O195" s="85"/>
      <c r="P195" s="133"/>
    </row>
    <row r="196" spans="1:16" ht="15.75" customHeight="1">
      <c r="A196" s="130"/>
      <c r="B196" s="137"/>
      <c r="C196" s="138"/>
      <c r="D196" s="139"/>
      <c r="E196" s="138"/>
      <c r="F196" s="140"/>
      <c r="G196" s="140"/>
      <c r="H196" s="139"/>
      <c r="I196" s="138"/>
      <c r="J196" s="121"/>
      <c r="K196" s="132"/>
      <c r="L196" s="121"/>
      <c r="M196" s="96"/>
      <c r="N196" s="96"/>
      <c r="O196" s="85"/>
      <c r="P196" s="133"/>
    </row>
    <row r="197" spans="1:16" ht="15.75" customHeight="1">
      <c r="A197" s="130"/>
      <c r="B197" s="137"/>
      <c r="C197" s="138"/>
      <c r="D197" s="139"/>
      <c r="E197" s="138"/>
      <c r="F197" s="140"/>
      <c r="G197" s="140"/>
      <c r="H197" s="139"/>
      <c r="I197" s="138"/>
      <c r="J197" s="121"/>
      <c r="K197" s="132"/>
      <c r="L197" s="121"/>
      <c r="M197" s="96"/>
      <c r="N197" s="96"/>
      <c r="O197" s="85"/>
      <c r="P197" s="133"/>
    </row>
    <row r="198" spans="1:16" ht="15.75" customHeight="1">
      <c r="A198" s="130"/>
      <c r="B198" s="137"/>
      <c r="C198" s="138"/>
      <c r="D198" s="139"/>
      <c r="E198" s="138"/>
      <c r="F198" s="140"/>
      <c r="G198" s="140"/>
      <c r="H198" s="139"/>
      <c r="I198" s="138"/>
      <c r="J198" s="121"/>
      <c r="K198" s="132"/>
      <c r="L198" s="121"/>
      <c r="M198" s="96"/>
      <c r="N198" s="96"/>
      <c r="O198" s="85"/>
      <c r="P198" s="133"/>
    </row>
    <row r="199" spans="1:16" ht="15.75" customHeight="1">
      <c r="A199" s="130"/>
      <c r="B199" s="137"/>
      <c r="C199" s="138"/>
      <c r="D199" s="139"/>
      <c r="E199" s="138"/>
      <c r="F199" s="140"/>
      <c r="G199" s="140"/>
      <c r="H199" s="139"/>
      <c r="I199" s="138"/>
      <c r="J199" s="121"/>
      <c r="K199" s="132"/>
      <c r="L199" s="121"/>
      <c r="M199" s="96"/>
      <c r="N199" s="96"/>
      <c r="O199" s="85"/>
      <c r="P199" s="133"/>
    </row>
    <row r="200" spans="1:16" ht="15.75" customHeight="1">
      <c r="A200" s="130"/>
      <c r="B200" s="137"/>
      <c r="C200" s="138"/>
      <c r="D200" s="139"/>
      <c r="E200" s="138"/>
      <c r="F200" s="140"/>
      <c r="G200" s="140"/>
      <c r="H200" s="139"/>
      <c r="I200" s="138"/>
      <c r="J200" s="121"/>
      <c r="K200" s="132"/>
      <c r="L200" s="121"/>
      <c r="M200" s="96"/>
      <c r="N200" s="96"/>
      <c r="O200" s="85"/>
      <c r="P200" s="133"/>
    </row>
    <row r="201" spans="1:16" ht="15.75" customHeight="1">
      <c r="A201" s="130"/>
      <c r="B201" s="137"/>
      <c r="C201" s="138"/>
      <c r="D201" s="139"/>
      <c r="E201" s="138"/>
      <c r="F201" s="140"/>
      <c r="G201" s="140"/>
      <c r="H201" s="139"/>
      <c r="I201" s="138"/>
      <c r="J201" s="121"/>
      <c r="K201" s="132"/>
      <c r="L201" s="121"/>
      <c r="M201" s="96"/>
      <c r="N201" s="96"/>
      <c r="O201" s="85"/>
      <c r="P201" s="133"/>
    </row>
    <row r="202" spans="1:16" ht="15.75" customHeight="1">
      <c r="A202" s="130"/>
      <c r="B202" s="137"/>
      <c r="C202" s="138"/>
      <c r="D202" s="139"/>
      <c r="E202" s="138"/>
      <c r="F202" s="140"/>
      <c r="G202" s="140"/>
      <c r="H202" s="139"/>
      <c r="I202" s="138"/>
      <c r="J202" s="121"/>
      <c r="K202" s="132"/>
      <c r="L202" s="121"/>
      <c r="M202" s="96"/>
      <c r="N202" s="96"/>
      <c r="O202" s="85"/>
      <c r="P202" s="133"/>
    </row>
    <row r="203" spans="1:16" ht="15.75" customHeight="1">
      <c r="A203" s="130"/>
      <c r="B203" s="137"/>
      <c r="C203" s="138"/>
      <c r="D203" s="139"/>
      <c r="E203" s="138"/>
      <c r="F203" s="140"/>
      <c r="G203" s="140"/>
      <c r="H203" s="139"/>
      <c r="I203" s="138"/>
      <c r="J203" s="121"/>
      <c r="K203" s="132"/>
      <c r="L203" s="121"/>
      <c r="M203" s="96"/>
      <c r="N203" s="96"/>
      <c r="O203" s="85"/>
      <c r="P203" s="133"/>
    </row>
    <row r="204" spans="1:16" ht="15.75" customHeight="1">
      <c r="A204" s="130"/>
      <c r="B204" s="137"/>
      <c r="C204" s="138"/>
      <c r="D204" s="139"/>
      <c r="E204" s="138"/>
      <c r="F204" s="140"/>
      <c r="G204" s="140"/>
      <c r="H204" s="139"/>
      <c r="I204" s="138"/>
      <c r="J204" s="121"/>
      <c r="K204" s="132"/>
      <c r="L204" s="121"/>
      <c r="M204" s="96"/>
      <c r="N204" s="96"/>
      <c r="O204" s="85"/>
      <c r="P204" s="133"/>
    </row>
    <row r="205" spans="1:16" ht="15.75" customHeight="1">
      <c r="A205" s="130"/>
      <c r="B205" s="137"/>
      <c r="C205" s="138"/>
      <c r="D205" s="139"/>
      <c r="E205" s="138"/>
      <c r="F205" s="140"/>
      <c r="G205" s="140"/>
      <c r="H205" s="139"/>
      <c r="I205" s="138"/>
      <c r="J205" s="121"/>
      <c r="K205" s="132"/>
      <c r="L205" s="121"/>
      <c r="M205" s="96"/>
      <c r="N205" s="96"/>
      <c r="O205" s="85"/>
      <c r="P205" s="133"/>
    </row>
    <row r="206" spans="1:16" ht="15.75" customHeight="1">
      <c r="A206" s="130"/>
      <c r="B206" s="137"/>
      <c r="C206" s="138"/>
      <c r="D206" s="139"/>
      <c r="E206" s="138"/>
      <c r="F206" s="140"/>
      <c r="G206" s="140"/>
      <c r="H206" s="139"/>
      <c r="I206" s="138"/>
      <c r="J206" s="121"/>
      <c r="K206" s="132"/>
      <c r="L206" s="121"/>
      <c r="M206" s="96"/>
      <c r="N206" s="96"/>
      <c r="O206" s="85"/>
      <c r="P206" s="133"/>
    </row>
    <row r="207" spans="1:16" ht="15.75" customHeight="1">
      <c r="A207" s="130"/>
      <c r="B207" s="137"/>
      <c r="C207" s="138"/>
      <c r="D207" s="139"/>
      <c r="E207" s="138"/>
      <c r="F207" s="140"/>
      <c r="G207" s="140"/>
      <c r="H207" s="139"/>
      <c r="I207" s="138"/>
      <c r="J207" s="121"/>
      <c r="K207" s="132"/>
      <c r="L207" s="121"/>
      <c r="M207" s="96"/>
      <c r="N207" s="96"/>
      <c r="O207" s="85"/>
      <c r="P207" s="133"/>
    </row>
    <row r="208" spans="1:16" ht="15.75" customHeight="1">
      <c r="A208" s="130"/>
      <c r="B208" s="137"/>
      <c r="C208" s="138"/>
      <c r="D208" s="139"/>
      <c r="E208" s="138"/>
      <c r="F208" s="140"/>
      <c r="G208" s="140"/>
      <c r="H208" s="139"/>
      <c r="I208" s="138"/>
      <c r="J208" s="121"/>
      <c r="K208" s="132"/>
      <c r="L208" s="121"/>
      <c r="M208" s="96"/>
      <c r="N208" s="96"/>
      <c r="O208" s="85"/>
      <c r="P208" s="133"/>
    </row>
    <row r="209" spans="1:16" ht="15.75" customHeight="1">
      <c r="A209" s="130"/>
      <c r="B209" s="137"/>
      <c r="C209" s="138"/>
      <c r="D209" s="139"/>
      <c r="E209" s="138"/>
      <c r="F209" s="140"/>
      <c r="G209" s="140"/>
      <c r="H209" s="139"/>
      <c r="I209" s="138"/>
      <c r="J209" s="121"/>
      <c r="K209" s="132"/>
      <c r="L209" s="121"/>
      <c r="M209" s="96"/>
      <c r="N209" s="96"/>
      <c r="O209" s="85"/>
      <c r="P209" s="133"/>
    </row>
    <row r="210" spans="1:16" ht="15.75" customHeight="1">
      <c r="A210" s="130"/>
      <c r="B210" s="137"/>
      <c r="C210" s="138"/>
      <c r="D210" s="139"/>
      <c r="E210" s="138"/>
      <c r="F210" s="140"/>
      <c r="G210" s="140"/>
      <c r="H210" s="139"/>
      <c r="I210" s="138"/>
      <c r="J210" s="121"/>
      <c r="K210" s="132"/>
      <c r="L210" s="121"/>
      <c r="M210" s="96"/>
      <c r="N210" s="96"/>
      <c r="O210" s="85"/>
      <c r="P210" s="133"/>
    </row>
    <row r="211" spans="1:16" ht="15.75" customHeight="1">
      <c r="A211" s="130"/>
      <c r="B211" s="137"/>
      <c r="C211" s="138"/>
      <c r="D211" s="139"/>
      <c r="E211" s="138"/>
      <c r="F211" s="140"/>
      <c r="G211" s="140"/>
      <c r="H211" s="139"/>
      <c r="I211" s="138"/>
      <c r="J211" s="121"/>
      <c r="K211" s="132"/>
      <c r="L211" s="121"/>
      <c r="M211" s="96"/>
      <c r="N211" s="96"/>
      <c r="O211" s="85"/>
      <c r="P211" s="133"/>
    </row>
    <row r="212" spans="1:16" ht="15.75" customHeight="1">
      <c r="A212" s="130"/>
      <c r="B212" s="137"/>
      <c r="C212" s="138"/>
      <c r="D212" s="139"/>
      <c r="E212" s="138"/>
      <c r="F212" s="140"/>
      <c r="G212" s="140"/>
      <c r="H212" s="139"/>
      <c r="I212" s="138"/>
      <c r="J212" s="121"/>
      <c r="K212" s="132"/>
      <c r="L212" s="121"/>
      <c r="M212" s="96"/>
      <c r="N212" s="96"/>
      <c r="O212" s="85"/>
      <c r="P212" s="133"/>
    </row>
    <row r="213" spans="1:16" ht="15.75" customHeight="1">
      <c r="A213" s="130"/>
      <c r="B213" s="137"/>
      <c r="C213" s="138"/>
      <c r="D213" s="139"/>
      <c r="E213" s="138"/>
      <c r="F213" s="140"/>
      <c r="G213" s="140"/>
      <c r="H213" s="139"/>
      <c r="I213" s="138"/>
      <c r="J213" s="121"/>
      <c r="K213" s="132"/>
      <c r="L213" s="121"/>
      <c r="M213" s="96"/>
      <c r="N213" s="96"/>
      <c r="O213" s="85"/>
      <c r="P213" s="133"/>
    </row>
    <row r="214" spans="1:16" ht="15.75" customHeight="1">
      <c r="A214" s="130"/>
      <c r="B214" s="137"/>
      <c r="C214" s="138"/>
      <c r="D214" s="139"/>
      <c r="E214" s="138"/>
      <c r="F214" s="140"/>
      <c r="G214" s="140"/>
      <c r="H214" s="139"/>
      <c r="I214" s="138"/>
      <c r="J214" s="121"/>
      <c r="K214" s="132"/>
      <c r="L214" s="121"/>
      <c r="M214" s="96"/>
      <c r="N214" s="96"/>
      <c r="O214" s="85"/>
      <c r="P214" s="133"/>
    </row>
    <row r="215" spans="1:16" ht="15.75" customHeight="1">
      <c r="A215" s="130"/>
      <c r="B215" s="137"/>
      <c r="C215" s="138"/>
      <c r="D215" s="139"/>
      <c r="E215" s="138"/>
      <c r="F215" s="140"/>
      <c r="G215" s="140"/>
      <c r="H215" s="139"/>
      <c r="I215" s="138"/>
      <c r="J215" s="121"/>
      <c r="K215" s="132"/>
      <c r="L215" s="121"/>
      <c r="M215" s="96"/>
      <c r="N215" s="96"/>
      <c r="O215" s="85"/>
      <c r="P215" s="133"/>
    </row>
    <row r="216" spans="1:16" ht="15.75" customHeight="1">
      <c r="A216" s="130"/>
      <c r="B216" s="137"/>
      <c r="C216" s="138"/>
      <c r="D216" s="139"/>
      <c r="E216" s="138"/>
      <c r="F216" s="140"/>
      <c r="G216" s="140"/>
      <c r="H216" s="139"/>
      <c r="I216" s="138"/>
      <c r="J216" s="121"/>
      <c r="K216" s="132"/>
      <c r="L216" s="121"/>
      <c r="M216" s="96"/>
      <c r="N216" s="96"/>
      <c r="O216" s="85"/>
      <c r="P216" s="133"/>
    </row>
    <row r="217" spans="1:16" ht="15.75" customHeight="1">
      <c r="A217" s="130"/>
      <c r="B217" s="137"/>
      <c r="C217" s="138"/>
      <c r="D217" s="139"/>
      <c r="E217" s="138"/>
      <c r="F217" s="140"/>
      <c r="G217" s="140"/>
      <c r="H217" s="139"/>
      <c r="I217" s="138"/>
      <c r="J217" s="121"/>
      <c r="K217" s="132"/>
      <c r="L217" s="121"/>
      <c r="M217" s="96"/>
      <c r="N217" s="96"/>
      <c r="O217" s="85"/>
      <c r="P217" s="133"/>
    </row>
    <row r="218" spans="1:16" ht="15.75" customHeight="1">
      <c r="A218" s="130"/>
      <c r="B218" s="137"/>
      <c r="C218" s="138"/>
      <c r="D218" s="139"/>
      <c r="E218" s="138"/>
      <c r="F218" s="140"/>
      <c r="G218" s="140"/>
      <c r="H218" s="139"/>
      <c r="I218" s="138"/>
      <c r="J218" s="121"/>
      <c r="K218" s="132"/>
      <c r="L218" s="121"/>
      <c r="M218" s="96"/>
      <c r="N218" s="96"/>
      <c r="O218" s="85"/>
      <c r="P218" s="133"/>
    </row>
    <row r="219" spans="1:16" ht="15.75" customHeight="1">
      <c r="A219" s="130"/>
      <c r="B219" s="137"/>
      <c r="C219" s="138"/>
      <c r="D219" s="139"/>
      <c r="E219" s="138"/>
      <c r="F219" s="140"/>
      <c r="G219" s="140"/>
      <c r="H219" s="139"/>
      <c r="I219" s="138"/>
      <c r="J219" s="121"/>
      <c r="K219" s="132"/>
      <c r="L219" s="121"/>
      <c r="M219" s="96"/>
      <c r="N219" s="96"/>
      <c r="O219" s="85"/>
      <c r="P219" s="133"/>
    </row>
    <row r="220" spans="1:16" ht="15.75" customHeight="1">
      <c r="A220" s="130"/>
      <c r="B220" s="137"/>
      <c r="C220" s="138"/>
      <c r="D220" s="139"/>
      <c r="E220" s="138"/>
      <c r="F220" s="140"/>
      <c r="G220" s="140"/>
      <c r="H220" s="139"/>
      <c r="I220" s="138"/>
      <c r="J220" s="121"/>
      <c r="K220" s="132"/>
      <c r="L220" s="121"/>
      <c r="M220" s="96"/>
      <c r="N220" s="96"/>
      <c r="O220" s="85"/>
      <c r="P220" s="133"/>
    </row>
    <row r="221" spans="1:16" ht="15.75" customHeight="1">
      <c r="A221" s="130"/>
      <c r="B221" s="137"/>
      <c r="C221" s="138"/>
      <c r="D221" s="139"/>
      <c r="E221" s="138"/>
      <c r="F221" s="140"/>
      <c r="G221" s="140"/>
      <c r="H221" s="139"/>
      <c r="I221" s="138"/>
      <c r="J221" s="121"/>
      <c r="K221" s="132"/>
      <c r="L221" s="121"/>
      <c r="M221" s="96"/>
      <c r="N221" s="96"/>
      <c r="O221" s="85"/>
      <c r="P221" s="133"/>
    </row>
    <row r="222" spans="1:16" ht="15.75" customHeight="1">
      <c r="A222" s="130"/>
      <c r="B222" s="137"/>
      <c r="C222" s="138"/>
      <c r="D222" s="139"/>
      <c r="E222" s="138"/>
      <c r="F222" s="140"/>
      <c r="G222" s="140"/>
      <c r="H222" s="139"/>
      <c r="I222" s="138"/>
      <c r="J222" s="121"/>
      <c r="K222" s="132"/>
      <c r="L222" s="121"/>
      <c r="M222" s="96"/>
      <c r="N222" s="96"/>
      <c r="O222" s="85"/>
      <c r="P222" s="133"/>
    </row>
    <row r="223" spans="1:16" ht="15.75" customHeight="1">
      <c r="A223" s="130"/>
      <c r="B223" s="137"/>
      <c r="C223" s="138"/>
      <c r="D223" s="139"/>
      <c r="E223" s="138"/>
      <c r="F223" s="140"/>
      <c r="G223" s="140"/>
      <c r="H223" s="139"/>
      <c r="I223" s="138"/>
      <c r="J223" s="121"/>
      <c r="K223" s="132"/>
      <c r="L223" s="121"/>
      <c r="M223" s="96"/>
      <c r="N223" s="96"/>
      <c r="O223" s="85"/>
      <c r="P223" s="133"/>
    </row>
    <row r="224" spans="1:16" ht="15.75" customHeight="1">
      <c r="A224" s="130"/>
      <c r="B224" s="137"/>
      <c r="C224" s="138"/>
      <c r="D224" s="139"/>
      <c r="E224" s="138"/>
      <c r="F224" s="140"/>
      <c r="G224" s="140"/>
      <c r="H224" s="139"/>
      <c r="I224" s="138"/>
      <c r="J224" s="121"/>
      <c r="K224" s="132"/>
      <c r="L224" s="121"/>
      <c r="M224" s="96"/>
      <c r="N224" s="96"/>
      <c r="O224" s="85"/>
      <c r="P224" s="133"/>
    </row>
    <row r="225" spans="1:16" ht="15.75" customHeight="1">
      <c r="A225" s="130"/>
      <c r="B225" s="137"/>
      <c r="C225" s="138"/>
      <c r="D225" s="139"/>
      <c r="E225" s="138"/>
      <c r="F225" s="140"/>
      <c r="G225" s="140"/>
      <c r="H225" s="139"/>
      <c r="I225" s="138"/>
      <c r="J225" s="121"/>
      <c r="K225" s="132"/>
      <c r="L225" s="121"/>
      <c r="M225" s="96"/>
      <c r="N225" s="96"/>
      <c r="O225" s="85"/>
      <c r="P225" s="133"/>
    </row>
    <row r="226" spans="1:16" ht="15.75" customHeight="1">
      <c r="A226" s="130"/>
      <c r="B226" s="137"/>
      <c r="C226" s="138"/>
      <c r="D226" s="139"/>
      <c r="E226" s="138"/>
      <c r="F226" s="140"/>
      <c r="G226" s="140"/>
      <c r="H226" s="139"/>
      <c r="I226" s="138"/>
      <c r="J226" s="121"/>
      <c r="K226" s="132"/>
      <c r="L226" s="121"/>
      <c r="M226" s="96"/>
      <c r="N226" s="96"/>
      <c r="O226" s="85"/>
      <c r="P226" s="133"/>
    </row>
    <row r="227" spans="1:16" ht="15.75" customHeight="1">
      <c r="A227" s="130"/>
      <c r="B227" s="137"/>
      <c r="C227" s="138"/>
      <c r="D227" s="139"/>
      <c r="E227" s="138"/>
      <c r="F227" s="140"/>
      <c r="G227" s="140"/>
      <c r="H227" s="139"/>
      <c r="I227" s="138"/>
      <c r="J227" s="121"/>
      <c r="K227" s="132"/>
      <c r="L227" s="121"/>
      <c r="M227" s="96"/>
      <c r="N227" s="96"/>
      <c r="O227" s="85"/>
      <c r="P227" s="133"/>
    </row>
    <row r="228" spans="1:16" ht="15.75" customHeight="1">
      <c r="A228" s="130"/>
      <c r="B228" s="137"/>
      <c r="C228" s="138"/>
      <c r="D228" s="139"/>
      <c r="E228" s="138"/>
      <c r="F228" s="140"/>
      <c r="G228" s="140"/>
      <c r="H228" s="139"/>
      <c r="I228" s="138"/>
      <c r="J228" s="121"/>
      <c r="K228" s="132"/>
      <c r="L228" s="121"/>
      <c r="M228" s="96"/>
      <c r="N228" s="96"/>
      <c r="O228" s="85"/>
      <c r="P228" s="133"/>
    </row>
    <row r="229" spans="1:16" ht="15.75" customHeight="1">
      <c r="A229" s="130"/>
      <c r="B229" s="137"/>
      <c r="C229" s="138"/>
      <c r="D229" s="139"/>
      <c r="E229" s="138"/>
      <c r="F229" s="140"/>
      <c r="G229" s="140"/>
      <c r="H229" s="139"/>
      <c r="I229" s="138"/>
      <c r="J229" s="121"/>
      <c r="K229" s="132"/>
      <c r="L229" s="121"/>
      <c r="M229" s="96"/>
      <c r="N229" s="96"/>
      <c r="O229" s="85"/>
      <c r="P229" s="133"/>
    </row>
    <row r="230" spans="1:16" ht="15.75" customHeight="1">
      <c r="A230" s="130"/>
      <c r="B230" s="137"/>
      <c r="C230" s="138"/>
      <c r="D230" s="139"/>
      <c r="E230" s="138"/>
      <c r="F230" s="140"/>
      <c r="G230" s="140"/>
      <c r="H230" s="139"/>
      <c r="I230" s="138"/>
      <c r="J230" s="121"/>
      <c r="K230" s="132"/>
      <c r="L230" s="121"/>
      <c r="M230" s="96"/>
      <c r="N230" s="96"/>
      <c r="O230" s="85"/>
      <c r="P230" s="133"/>
    </row>
    <row r="231" spans="1:16" ht="15.75" customHeight="1">
      <c r="A231" s="130"/>
      <c r="B231" s="137"/>
      <c r="C231" s="138"/>
      <c r="D231" s="139"/>
      <c r="E231" s="138"/>
      <c r="F231" s="140"/>
      <c r="G231" s="140"/>
      <c r="H231" s="139"/>
      <c r="I231" s="138"/>
      <c r="J231" s="121"/>
      <c r="K231" s="132"/>
      <c r="L231" s="121"/>
      <c r="M231" s="96"/>
      <c r="N231" s="96"/>
      <c r="O231" s="85"/>
      <c r="P231" s="133"/>
    </row>
    <row r="232" spans="1:16" ht="15.75" customHeight="1">
      <c r="A232" s="130"/>
      <c r="B232" s="137"/>
      <c r="C232" s="138"/>
      <c r="D232" s="139"/>
      <c r="E232" s="138"/>
      <c r="F232" s="140"/>
      <c r="G232" s="140"/>
      <c r="H232" s="139"/>
      <c r="I232" s="138"/>
      <c r="J232" s="121"/>
      <c r="K232" s="132"/>
      <c r="L232" s="121"/>
      <c r="M232" s="96"/>
      <c r="N232" s="96"/>
      <c r="O232" s="85"/>
      <c r="P232" s="133"/>
    </row>
    <row r="233" spans="1:16" ht="15.75" customHeight="1">
      <c r="A233" s="130"/>
      <c r="B233" s="137"/>
      <c r="C233" s="138"/>
      <c r="D233" s="139"/>
      <c r="E233" s="138"/>
      <c r="F233" s="140"/>
      <c r="G233" s="140"/>
      <c r="H233" s="139"/>
      <c r="I233" s="138"/>
      <c r="J233" s="121"/>
      <c r="K233" s="132"/>
      <c r="L233" s="121"/>
      <c r="M233" s="96"/>
      <c r="N233" s="96"/>
      <c r="O233" s="85"/>
      <c r="P233" s="133"/>
    </row>
    <row r="234" spans="1:16" ht="15.75" customHeight="1">
      <c r="A234" s="130"/>
      <c r="B234" s="137"/>
      <c r="C234" s="138"/>
      <c r="D234" s="139"/>
      <c r="E234" s="138"/>
      <c r="F234" s="140"/>
      <c r="G234" s="140"/>
      <c r="H234" s="139"/>
      <c r="I234" s="138"/>
      <c r="J234" s="121"/>
      <c r="K234" s="132"/>
      <c r="L234" s="121"/>
      <c r="M234" s="96"/>
      <c r="N234" s="96"/>
      <c r="O234" s="85"/>
      <c r="P234" s="133"/>
    </row>
    <row r="235" spans="1:16" ht="15.75" customHeight="1">
      <c r="A235" s="130"/>
      <c r="B235" s="137"/>
      <c r="C235" s="138"/>
      <c r="D235" s="139"/>
      <c r="E235" s="138"/>
      <c r="F235" s="140"/>
      <c r="G235" s="140"/>
      <c r="H235" s="139"/>
      <c r="I235" s="138"/>
      <c r="J235" s="121"/>
      <c r="K235" s="132"/>
      <c r="L235" s="121"/>
      <c r="M235" s="96"/>
      <c r="N235" s="96"/>
      <c r="O235" s="85"/>
      <c r="P235" s="133"/>
    </row>
    <row r="236" spans="1:16" ht="15.75" customHeight="1">
      <c r="A236" s="130"/>
      <c r="B236" s="137"/>
      <c r="C236" s="138"/>
      <c r="D236" s="139"/>
      <c r="E236" s="138"/>
      <c r="F236" s="140"/>
      <c r="G236" s="140"/>
      <c r="H236" s="139"/>
      <c r="I236" s="138"/>
      <c r="J236" s="121"/>
      <c r="K236" s="132"/>
      <c r="L236" s="121"/>
      <c r="M236" s="96"/>
      <c r="N236" s="96"/>
      <c r="O236" s="85"/>
      <c r="P236" s="133"/>
    </row>
    <row r="237" spans="1:16" ht="15.75" customHeight="1">
      <c r="A237" s="130"/>
      <c r="B237" s="137"/>
      <c r="C237" s="138"/>
      <c r="D237" s="139"/>
      <c r="E237" s="138"/>
      <c r="F237" s="140"/>
      <c r="G237" s="140"/>
      <c r="H237" s="139"/>
      <c r="I237" s="138"/>
      <c r="J237" s="121"/>
      <c r="K237" s="132"/>
      <c r="L237" s="121"/>
      <c r="M237" s="96"/>
      <c r="N237" s="96"/>
      <c r="O237" s="85"/>
      <c r="P237" s="133"/>
    </row>
    <row r="238" spans="1:16" ht="15.75" customHeight="1">
      <c r="A238" s="130"/>
      <c r="B238" s="137"/>
      <c r="C238" s="138"/>
      <c r="D238" s="139"/>
      <c r="E238" s="138"/>
      <c r="F238" s="140"/>
      <c r="G238" s="140"/>
      <c r="H238" s="139"/>
      <c r="I238" s="138"/>
      <c r="J238" s="121"/>
      <c r="K238" s="132"/>
      <c r="L238" s="121"/>
      <c r="M238" s="96"/>
      <c r="N238" s="96"/>
      <c r="O238" s="85"/>
      <c r="P238" s="133"/>
    </row>
    <row r="239" spans="1:16" ht="15.75" customHeight="1">
      <c r="A239" s="130"/>
      <c r="B239" s="137"/>
      <c r="C239" s="138"/>
      <c r="D239" s="139"/>
      <c r="E239" s="138"/>
      <c r="F239" s="140"/>
      <c r="G239" s="140"/>
      <c r="H239" s="139"/>
      <c r="I239" s="138"/>
      <c r="J239" s="121"/>
      <c r="K239" s="132"/>
      <c r="L239" s="121"/>
      <c r="M239" s="96"/>
      <c r="N239" s="96"/>
      <c r="O239" s="85"/>
      <c r="P239" s="133"/>
    </row>
    <row r="240" spans="1:16" ht="15.75" customHeight="1">
      <c r="A240" s="130"/>
      <c r="B240" s="137"/>
      <c r="C240" s="138"/>
      <c r="D240" s="139"/>
      <c r="E240" s="138"/>
      <c r="F240" s="140"/>
      <c r="G240" s="140"/>
      <c r="H240" s="139"/>
      <c r="I240" s="138"/>
      <c r="J240" s="121"/>
      <c r="K240" s="132"/>
      <c r="L240" s="121"/>
      <c r="M240" s="96"/>
      <c r="N240" s="96"/>
      <c r="O240" s="85"/>
      <c r="P240" s="133"/>
    </row>
    <row r="241" spans="1:16" ht="15.75" customHeight="1">
      <c r="A241" s="130"/>
      <c r="B241" s="137"/>
      <c r="C241" s="138"/>
      <c r="D241" s="139"/>
      <c r="E241" s="138"/>
      <c r="F241" s="140"/>
      <c r="G241" s="140"/>
      <c r="H241" s="139"/>
      <c r="I241" s="138"/>
      <c r="J241" s="121"/>
      <c r="K241" s="132"/>
      <c r="L241" s="121"/>
      <c r="M241" s="96"/>
      <c r="N241" s="96"/>
      <c r="O241" s="85"/>
      <c r="P241" s="133"/>
    </row>
    <row r="242" spans="1:16" ht="15.75" customHeight="1">
      <c r="A242" s="130"/>
      <c r="B242" s="137"/>
      <c r="C242" s="138"/>
      <c r="D242" s="139"/>
      <c r="E242" s="138"/>
      <c r="F242" s="140"/>
      <c r="G242" s="140"/>
      <c r="H242" s="139"/>
      <c r="I242" s="138"/>
      <c r="J242" s="121"/>
      <c r="K242" s="132"/>
      <c r="L242" s="121"/>
      <c r="M242" s="96"/>
      <c r="N242" s="96"/>
      <c r="O242" s="85"/>
      <c r="P242" s="133"/>
    </row>
    <row r="243" spans="1:16" ht="15.75" customHeight="1">
      <c r="A243" s="130"/>
      <c r="B243" s="137"/>
      <c r="C243" s="138"/>
      <c r="D243" s="139"/>
      <c r="E243" s="138"/>
      <c r="F243" s="140"/>
      <c r="G243" s="140"/>
      <c r="H243" s="139"/>
      <c r="I243" s="138"/>
      <c r="J243" s="121"/>
      <c r="K243" s="132"/>
      <c r="L243" s="121"/>
      <c r="M243" s="96"/>
      <c r="N243" s="96"/>
      <c r="O243" s="85"/>
      <c r="P243" s="133"/>
    </row>
    <row r="244" spans="1:16" ht="15.75" customHeight="1">
      <c r="A244" s="130"/>
      <c r="B244" s="137"/>
      <c r="C244" s="138"/>
      <c r="D244" s="139"/>
      <c r="E244" s="138"/>
      <c r="F244" s="140"/>
      <c r="G244" s="140"/>
      <c r="H244" s="139"/>
      <c r="I244" s="138"/>
      <c r="J244" s="121"/>
      <c r="K244" s="132"/>
      <c r="L244" s="121"/>
      <c r="M244" s="96"/>
      <c r="N244" s="96"/>
      <c r="O244" s="85"/>
      <c r="P244" s="133"/>
    </row>
    <row r="245" spans="1:16" ht="15.75" customHeight="1">
      <c r="A245" s="130"/>
      <c r="B245" s="137"/>
      <c r="C245" s="138"/>
      <c r="D245" s="139"/>
      <c r="E245" s="138"/>
      <c r="F245" s="140"/>
      <c r="G245" s="140"/>
      <c r="H245" s="139"/>
      <c r="I245" s="138"/>
      <c r="J245" s="121"/>
      <c r="K245" s="132"/>
      <c r="L245" s="121"/>
      <c r="M245" s="96"/>
      <c r="N245" s="96"/>
      <c r="O245" s="85"/>
      <c r="P245" s="133"/>
    </row>
    <row r="246" spans="1:16" ht="15.75" customHeight="1">
      <c r="A246" s="130"/>
      <c r="B246" s="137"/>
      <c r="C246" s="138"/>
      <c r="D246" s="139"/>
      <c r="E246" s="138"/>
      <c r="F246" s="140"/>
      <c r="G246" s="140"/>
      <c r="H246" s="139"/>
      <c r="I246" s="138"/>
      <c r="J246" s="121"/>
      <c r="K246" s="132"/>
      <c r="L246" s="121"/>
      <c r="M246" s="96"/>
      <c r="N246" s="96"/>
      <c r="O246" s="85"/>
      <c r="P246" s="133"/>
    </row>
    <row r="247" spans="1:16" ht="15.75" customHeight="1">
      <c r="A247" s="130"/>
      <c r="B247" s="137"/>
      <c r="C247" s="138"/>
      <c r="D247" s="139"/>
      <c r="E247" s="138"/>
      <c r="F247" s="140"/>
      <c r="G247" s="140"/>
      <c r="H247" s="139"/>
      <c r="I247" s="138"/>
      <c r="J247" s="121"/>
      <c r="K247" s="132"/>
      <c r="L247" s="121"/>
      <c r="M247" s="96"/>
      <c r="N247" s="96"/>
      <c r="O247" s="85"/>
      <c r="P247" s="133"/>
    </row>
    <row r="248" spans="1:16" ht="15.75" customHeight="1">
      <c r="A248" s="130"/>
      <c r="B248" s="137"/>
      <c r="C248" s="138"/>
      <c r="D248" s="139"/>
      <c r="E248" s="138"/>
      <c r="F248" s="140"/>
      <c r="G248" s="140"/>
      <c r="H248" s="139"/>
      <c r="I248" s="138"/>
      <c r="J248" s="121"/>
      <c r="K248" s="132"/>
      <c r="L248" s="121"/>
      <c r="M248" s="96"/>
      <c r="N248" s="96"/>
      <c r="O248" s="85"/>
      <c r="P248" s="133"/>
    </row>
    <row r="249" spans="1:16" ht="15.75" customHeight="1">
      <c r="A249" s="130"/>
      <c r="B249" s="137"/>
      <c r="C249" s="138"/>
      <c r="D249" s="139"/>
      <c r="E249" s="138"/>
      <c r="F249" s="140"/>
      <c r="G249" s="140"/>
      <c r="H249" s="139"/>
      <c r="I249" s="138"/>
      <c r="J249" s="121"/>
      <c r="K249" s="132"/>
      <c r="L249" s="121"/>
      <c r="M249" s="96"/>
      <c r="N249" s="96"/>
      <c r="O249" s="85"/>
      <c r="P249" s="133"/>
    </row>
    <row r="250" spans="1:16" ht="15.75" customHeight="1">
      <c r="A250" s="130"/>
      <c r="B250" s="137"/>
      <c r="C250" s="138"/>
      <c r="D250" s="139"/>
      <c r="E250" s="138"/>
      <c r="F250" s="140"/>
      <c r="G250" s="140"/>
      <c r="H250" s="139"/>
      <c r="I250" s="138"/>
      <c r="J250" s="121"/>
      <c r="K250" s="132"/>
      <c r="L250" s="121"/>
      <c r="M250" s="96"/>
      <c r="N250" s="96"/>
      <c r="O250" s="85"/>
      <c r="P250" s="133"/>
    </row>
    <row r="251" spans="1:16" ht="15.75" customHeight="1">
      <c r="A251" s="130"/>
      <c r="B251" s="137"/>
      <c r="C251" s="138"/>
      <c r="D251" s="139"/>
      <c r="E251" s="138"/>
      <c r="F251" s="140"/>
      <c r="G251" s="140"/>
      <c r="H251" s="139"/>
      <c r="I251" s="138"/>
      <c r="J251" s="121"/>
      <c r="K251" s="132"/>
      <c r="L251" s="121"/>
      <c r="M251" s="96"/>
      <c r="N251" s="96"/>
      <c r="O251" s="85"/>
      <c r="P251" s="133"/>
    </row>
    <row r="252" spans="1:16" ht="15.75" customHeight="1">
      <c r="A252" s="130"/>
      <c r="B252" s="137"/>
      <c r="C252" s="138"/>
      <c r="D252" s="139"/>
      <c r="E252" s="138"/>
      <c r="F252" s="140"/>
      <c r="G252" s="140"/>
      <c r="H252" s="139"/>
      <c r="I252" s="138"/>
      <c r="J252" s="121"/>
      <c r="K252" s="132"/>
      <c r="L252" s="121"/>
      <c r="M252" s="96"/>
      <c r="N252" s="96"/>
      <c r="O252" s="85"/>
      <c r="P252" s="133"/>
    </row>
    <row r="253" spans="1:16" ht="15.75" customHeight="1">
      <c r="A253" s="130"/>
      <c r="B253" s="137"/>
      <c r="C253" s="138"/>
      <c r="D253" s="139"/>
      <c r="E253" s="138"/>
      <c r="F253" s="140"/>
      <c r="G253" s="140"/>
      <c r="H253" s="139"/>
      <c r="I253" s="138"/>
      <c r="J253" s="121"/>
      <c r="K253" s="132"/>
      <c r="L253" s="121"/>
      <c r="M253" s="96"/>
      <c r="N253" s="96"/>
      <c r="O253" s="85"/>
      <c r="P253" s="133"/>
    </row>
    <row r="254" spans="1:16" ht="15.75" customHeight="1">
      <c r="A254" s="130"/>
      <c r="B254" s="137"/>
      <c r="C254" s="138"/>
      <c r="D254" s="139"/>
      <c r="E254" s="138"/>
      <c r="F254" s="140"/>
      <c r="G254" s="140"/>
      <c r="H254" s="139"/>
      <c r="I254" s="138"/>
      <c r="J254" s="121"/>
      <c r="K254" s="132"/>
      <c r="L254" s="121"/>
      <c r="M254" s="96"/>
      <c r="N254" s="96"/>
      <c r="O254" s="85"/>
      <c r="P254" s="133"/>
    </row>
    <row r="255" spans="1:16" ht="15.75" customHeight="1">
      <c r="A255" s="130"/>
      <c r="B255" s="137"/>
      <c r="C255" s="138"/>
      <c r="D255" s="139"/>
      <c r="E255" s="138"/>
      <c r="F255" s="140"/>
      <c r="G255" s="140"/>
      <c r="H255" s="139"/>
      <c r="I255" s="138"/>
      <c r="J255" s="121"/>
      <c r="K255" s="132"/>
      <c r="L255" s="121"/>
      <c r="M255" s="96"/>
      <c r="N255" s="96"/>
      <c r="O255" s="85"/>
      <c r="P255" s="133"/>
    </row>
    <row r="256" spans="1:16" ht="15.75" customHeight="1">
      <c r="A256" s="130"/>
      <c r="B256" s="137"/>
      <c r="C256" s="138"/>
      <c r="D256" s="139"/>
      <c r="E256" s="138"/>
      <c r="F256" s="140"/>
      <c r="G256" s="140"/>
      <c r="H256" s="139"/>
      <c r="I256" s="138"/>
      <c r="J256" s="121"/>
      <c r="K256" s="132"/>
      <c r="L256" s="121"/>
      <c r="M256" s="96"/>
      <c r="N256" s="96"/>
      <c r="O256" s="85"/>
      <c r="P256" s="133"/>
    </row>
    <row r="257" spans="1:16" ht="15.75" customHeight="1">
      <c r="A257" s="130"/>
      <c r="B257" s="137"/>
      <c r="C257" s="138"/>
      <c r="D257" s="139"/>
      <c r="E257" s="138"/>
      <c r="F257" s="140"/>
      <c r="G257" s="140"/>
      <c r="H257" s="139"/>
      <c r="I257" s="138"/>
      <c r="J257" s="121"/>
      <c r="K257" s="132"/>
      <c r="L257" s="121"/>
      <c r="M257" s="96"/>
      <c r="N257" s="96"/>
      <c r="O257" s="85"/>
      <c r="P257" s="133"/>
    </row>
    <row r="258" spans="1:16" ht="15.75" customHeight="1">
      <c r="A258" s="130"/>
      <c r="B258" s="137"/>
      <c r="C258" s="138"/>
      <c r="D258" s="139"/>
      <c r="E258" s="138"/>
      <c r="F258" s="140"/>
      <c r="G258" s="140"/>
      <c r="H258" s="139"/>
      <c r="I258" s="138"/>
      <c r="J258" s="121"/>
      <c r="K258" s="132"/>
      <c r="L258" s="121"/>
      <c r="M258" s="96"/>
      <c r="N258" s="96"/>
      <c r="O258" s="85"/>
      <c r="P258" s="133"/>
    </row>
    <row r="259" spans="1:16" ht="15.75" customHeight="1">
      <c r="A259" s="130"/>
      <c r="B259" s="137"/>
      <c r="C259" s="138"/>
      <c r="D259" s="139"/>
      <c r="E259" s="138"/>
      <c r="F259" s="140"/>
      <c r="G259" s="140"/>
      <c r="H259" s="139"/>
      <c r="I259" s="138"/>
      <c r="J259" s="121"/>
      <c r="K259" s="132"/>
      <c r="L259" s="121"/>
      <c r="M259" s="96"/>
      <c r="N259" s="96"/>
      <c r="O259" s="85"/>
      <c r="P259" s="133"/>
    </row>
    <row r="260" spans="1:16" ht="15.75" customHeight="1">
      <c r="A260" s="130"/>
      <c r="B260" s="137"/>
      <c r="C260" s="138"/>
      <c r="D260" s="139"/>
      <c r="E260" s="138"/>
      <c r="F260" s="140"/>
      <c r="G260" s="140"/>
      <c r="H260" s="139"/>
      <c r="I260" s="138"/>
      <c r="J260" s="121"/>
      <c r="K260" s="132"/>
      <c r="L260" s="121"/>
      <c r="M260" s="96"/>
      <c r="N260" s="96"/>
      <c r="O260" s="85"/>
      <c r="P260" s="133"/>
    </row>
    <row r="261" spans="1:16" ht="15.75" customHeight="1">
      <c r="A261" s="130"/>
      <c r="B261" s="137"/>
      <c r="C261" s="138"/>
      <c r="D261" s="139"/>
      <c r="E261" s="138"/>
      <c r="F261" s="140"/>
      <c r="G261" s="140"/>
      <c r="H261" s="139"/>
      <c r="I261" s="138"/>
      <c r="J261" s="121"/>
      <c r="K261" s="132"/>
      <c r="L261" s="121"/>
      <c r="M261" s="96"/>
      <c r="N261" s="96"/>
      <c r="O261" s="85"/>
      <c r="P261" s="133"/>
    </row>
    <row r="262" spans="1:16" ht="15.75" customHeight="1">
      <c r="A262" s="130"/>
      <c r="B262" s="137"/>
      <c r="C262" s="138"/>
      <c r="D262" s="139"/>
      <c r="E262" s="138"/>
      <c r="F262" s="140"/>
      <c r="G262" s="140"/>
      <c r="H262" s="139"/>
      <c r="I262" s="138"/>
      <c r="J262" s="121"/>
      <c r="K262" s="132"/>
      <c r="L262" s="121"/>
      <c r="M262" s="96"/>
      <c r="N262" s="96"/>
      <c r="O262" s="85"/>
      <c r="P262" s="133"/>
    </row>
    <row r="263" spans="1:16" ht="15.75" customHeight="1">
      <c r="A263" s="130"/>
      <c r="B263" s="137"/>
      <c r="C263" s="138"/>
      <c r="D263" s="139"/>
      <c r="E263" s="138"/>
      <c r="F263" s="140"/>
      <c r="G263" s="140"/>
      <c r="H263" s="139"/>
      <c r="I263" s="138"/>
      <c r="J263" s="121"/>
      <c r="K263" s="132"/>
      <c r="L263" s="121"/>
      <c r="M263" s="96"/>
      <c r="N263" s="96"/>
      <c r="O263" s="85"/>
      <c r="P263" s="133"/>
    </row>
    <row r="264" spans="1:16" ht="15.75" customHeight="1">
      <c r="A264" s="130"/>
      <c r="B264" s="137"/>
      <c r="C264" s="138"/>
      <c r="D264" s="139"/>
      <c r="E264" s="138"/>
      <c r="F264" s="140"/>
      <c r="G264" s="140"/>
      <c r="H264" s="139"/>
      <c r="I264" s="138"/>
      <c r="J264" s="121"/>
      <c r="K264" s="132"/>
      <c r="L264" s="121"/>
      <c r="M264" s="96"/>
      <c r="N264" s="96"/>
      <c r="O264" s="85"/>
      <c r="P264" s="133"/>
    </row>
    <row r="265" spans="1:16" ht="15.75" customHeight="1">
      <c r="A265" s="130"/>
      <c r="B265" s="137"/>
      <c r="C265" s="138"/>
      <c r="D265" s="139"/>
      <c r="E265" s="138"/>
      <c r="F265" s="140"/>
      <c r="G265" s="140"/>
      <c r="H265" s="139"/>
      <c r="I265" s="138"/>
      <c r="J265" s="121"/>
      <c r="K265" s="132"/>
      <c r="L265" s="121"/>
      <c r="M265" s="96"/>
      <c r="N265" s="96"/>
      <c r="O265" s="85"/>
      <c r="P265" s="133"/>
    </row>
    <row r="266" spans="1:16" ht="15.75" customHeight="1">
      <c r="A266" s="130"/>
      <c r="B266" s="137"/>
      <c r="C266" s="138"/>
      <c r="D266" s="139"/>
      <c r="E266" s="138"/>
      <c r="F266" s="140"/>
      <c r="G266" s="140"/>
      <c r="H266" s="139"/>
      <c r="I266" s="138"/>
      <c r="J266" s="121"/>
      <c r="K266" s="132"/>
      <c r="L266" s="121"/>
      <c r="M266" s="96"/>
      <c r="N266" s="96"/>
      <c r="O266" s="85"/>
      <c r="P266" s="133"/>
    </row>
    <row r="267" spans="1:16" ht="15.75" customHeight="1">
      <c r="A267" s="130"/>
      <c r="B267" s="137"/>
      <c r="C267" s="138"/>
      <c r="D267" s="139"/>
      <c r="E267" s="138"/>
      <c r="F267" s="140"/>
      <c r="G267" s="140"/>
      <c r="H267" s="139"/>
      <c r="I267" s="138"/>
      <c r="J267" s="121"/>
      <c r="K267" s="132"/>
      <c r="L267" s="121"/>
      <c r="M267" s="96"/>
      <c r="N267" s="96"/>
      <c r="O267" s="85"/>
      <c r="P267" s="133"/>
    </row>
    <row r="268" spans="1:16" ht="15.75" customHeight="1">
      <c r="A268" s="130"/>
      <c r="B268" s="137"/>
      <c r="C268" s="138"/>
      <c r="D268" s="139"/>
      <c r="E268" s="138"/>
      <c r="F268" s="140"/>
      <c r="G268" s="140"/>
      <c r="H268" s="139"/>
      <c r="I268" s="138"/>
      <c r="J268" s="121"/>
      <c r="K268" s="132"/>
      <c r="L268" s="121"/>
      <c r="M268" s="96"/>
      <c r="N268" s="96"/>
      <c r="O268" s="85"/>
      <c r="P268" s="133"/>
    </row>
    <row r="269" spans="1:16" ht="15.75" customHeight="1">
      <c r="A269" s="130"/>
      <c r="B269" s="137"/>
      <c r="C269" s="138"/>
      <c r="D269" s="139"/>
      <c r="E269" s="138"/>
      <c r="F269" s="140"/>
      <c r="G269" s="140"/>
      <c r="H269" s="139"/>
      <c r="I269" s="138"/>
      <c r="J269" s="121"/>
      <c r="K269" s="132"/>
      <c r="L269" s="121"/>
      <c r="M269" s="96"/>
      <c r="N269" s="96"/>
      <c r="O269" s="85"/>
      <c r="P269" s="133"/>
    </row>
    <row r="270" spans="1:16" ht="15.75" customHeight="1">
      <c r="A270" s="130"/>
      <c r="B270" s="137"/>
      <c r="C270" s="138"/>
      <c r="D270" s="139"/>
      <c r="E270" s="138"/>
      <c r="F270" s="140"/>
      <c r="G270" s="140"/>
      <c r="H270" s="139"/>
      <c r="I270" s="138"/>
      <c r="J270" s="121"/>
      <c r="K270" s="132"/>
      <c r="L270" s="121"/>
      <c r="M270" s="96"/>
      <c r="N270" s="96"/>
      <c r="O270" s="85"/>
      <c r="P270" s="133"/>
    </row>
    <row r="271" spans="1:16" ht="15.75" customHeight="1">
      <c r="A271" s="130"/>
      <c r="B271" s="137"/>
      <c r="C271" s="138"/>
      <c r="D271" s="139"/>
      <c r="E271" s="138"/>
      <c r="F271" s="140"/>
      <c r="G271" s="140"/>
      <c r="H271" s="139"/>
      <c r="I271" s="138"/>
      <c r="J271" s="121"/>
      <c r="K271" s="132"/>
      <c r="L271" s="121"/>
      <c r="M271" s="96"/>
      <c r="N271" s="96"/>
      <c r="O271" s="85"/>
      <c r="P271" s="133"/>
    </row>
    <row r="272" spans="1:16" ht="15.75" customHeight="1">
      <c r="A272" s="130"/>
      <c r="B272" s="137"/>
      <c r="C272" s="138"/>
      <c r="D272" s="139"/>
      <c r="E272" s="138"/>
      <c r="F272" s="140"/>
      <c r="G272" s="140"/>
      <c r="H272" s="139"/>
      <c r="I272" s="138"/>
      <c r="J272" s="121"/>
      <c r="K272" s="132"/>
      <c r="L272" s="121"/>
      <c r="M272" s="96"/>
      <c r="N272" s="96"/>
      <c r="O272" s="85"/>
      <c r="P272" s="133"/>
    </row>
    <row r="273" spans="1:16" ht="15.75" customHeight="1">
      <c r="A273" s="130"/>
      <c r="B273" s="137"/>
      <c r="C273" s="138"/>
      <c r="D273" s="139"/>
      <c r="E273" s="138"/>
      <c r="F273" s="140"/>
      <c r="G273" s="140"/>
      <c r="H273" s="139"/>
      <c r="I273" s="138"/>
      <c r="J273" s="121"/>
      <c r="K273" s="132"/>
      <c r="L273" s="121"/>
      <c r="M273" s="96"/>
      <c r="N273" s="96"/>
      <c r="O273" s="85"/>
      <c r="P273" s="133"/>
    </row>
    <row r="274" spans="1:16" ht="15.75" customHeight="1">
      <c r="A274" s="130"/>
      <c r="B274" s="137"/>
      <c r="C274" s="138"/>
      <c r="D274" s="139"/>
      <c r="E274" s="138"/>
      <c r="F274" s="140"/>
      <c r="G274" s="140"/>
      <c r="H274" s="139"/>
      <c r="I274" s="138"/>
      <c r="J274" s="121"/>
      <c r="K274" s="132"/>
      <c r="L274" s="121"/>
      <c r="M274" s="96"/>
      <c r="N274" s="96"/>
      <c r="O274" s="85"/>
      <c r="P274" s="133"/>
    </row>
    <row r="275" spans="1:16" ht="15.75" customHeight="1">
      <c r="A275" s="130"/>
      <c r="B275" s="137"/>
      <c r="C275" s="138"/>
      <c r="D275" s="139"/>
      <c r="E275" s="138"/>
      <c r="F275" s="140"/>
      <c r="G275" s="140"/>
      <c r="H275" s="139"/>
      <c r="I275" s="138"/>
      <c r="J275" s="121"/>
      <c r="K275" s="132"/>
      <c r="L275" s="121"/>
      <c r="M275" s="96"/>
      <c r="N275" s="96"/>
      <c r="O275" s="85"/>
      <c r="P275" s="133"/>
    </row>
    <row r="276" spans="1:16" ht="15.75" customHeight="1">
      <c r="A276" s="130"/>
      <c r="B276" s="137"/>
      <c r="C276" s="138"/>
      <c r="D276" s="139"/>
      <c r="E276" s="138"/>
      <c r="F276" s="140"/>
      <c r="G276" s="140"/>
      <c r="H276" s="139"/>
      <c r="I276" s="138"/>
      <c r="J276" s="121"/>
      <c r="K276" s="132"/>
      <c r="L276" s="121"/>
      <c r="M276" s="96"/>
      <c r="N276" s="96"/>
      <c r="O276" s="85"/>
      <c r="P276" s="133"/>
    </row>
    <row r="277" spans="1:16" ht="15.75" customHeight="1">
      <c r="A277" s="130"/>
      <c r="B277" s="137"/>
      <c r="C277" s="138"/>
      <c r="D277" s="139"/>
      <c r="E277" s="138"/>
      <c r="F277" s="140"/>
      <c r="G277" s="140"/>
      <c r="H277" s="139"/>
      <c r="I277" s="138"/>
      <c r="J277" s="121"/>
      <c r="K277" s="132"/>
      <c r="L277" s="121"/>
      <c r="M277" s="96"/>
      <c r="N277" s="96"/>
      <c r="O277" s="85"/>
      <c r="P277" s="133"/>
    </row>
    <row r="278" spans="1:16" ht="15.75" customHeight="1">
      <c r="A278" s="130"/>
      <c r="B278" s="137"/>
      <c r="C278" s="138"/>
      <c r="D278" s="139"/>
      <c r="E278" s="138"/>
      <c r="F278" s="140"/>
      <c r="G278" s="140"/>
      <c r="H278" s="139"/>
      <c r="I278" s="138"/>
      <c r="J278" s="121"/>
      <c r="K278" s="132"/>
      <c r="L278" s="121"/>
      <c r="M278" s="96"/>
      <c r="N278" s="96"/>
      <c r="O278" s="85"/>
      <c r="P278" s="133"/>
    </row>
    <row r="279" spans="1:16" ht="15.75" customHeight="1">
      <c r="A279" s="130"/>
      <c r="B279" s="137"/>
      <c r="C279" s="138"/>
      <c r="D279" s="139"/>
      <c r="E279" s="138"/>
      <c r="F279" s="140"/>
      <c r="G279" s="140"/>
      <c r="H279" s="139"/>
      <c r="I279" s="138"/>
      <c r="J279" s="121"/>
      <c r="K279" s="132"/>
      <c r="L279" s="121"/>
      <c r="M279" s="96"/>
      <c r="N279" s="96"/>
      <c r="O279" s="85"/>
      <c r="P279" s="133"/>
    </row>
    <row r="280" spans="1:16" ht="15.75" customHeight="1">
      <c r="A280" s="130"/>
      <c r="B280" s="137"/>
      <c r="C280" s="138"/>
      <c r="D280" s="139"/>
      <c r="E280" s="138"/>
      <c r="F280" s="140"/>
      <c r="G280" s="140"/>
      <c r="H280" s="139"/>
      <c r="I280" s="138"/>
      <c r="J280" s="121"/>
      <c r="K280" s="132"/>
      <c r="L280" s="121"/>
      <c r="M280" s="96"/>
      <c r="N280" s="96"/>
      <c r="O280" s="85"/>
      <c r="P280" s="133"/>
    </row>
    <row r="281" spans="1:16" ht="15.75" customHeight="1">
      <c r="A281" s="130"/>
      <c r="B281" s="137"/>
      <c r="C281" s="138"/>
      <c r="D281" s="139"/>
      <c r="E281" s="138"/>
      <c r="F281" s="140"/>
      <c r="G281" s="140"/>
      <c r="H281" s="139"/>
      <c r="I281" s="138"/>
      <c r="J281" s="121"/>
      <c r="K281" s="132"/>
      <c r="L281" s="121"/>
      <c r="M281" s="96"/>
      <c r="N281" s="96"/>
      <c r="O281" s="85"/>
      <c r="P281" s="133"/>
    </row>
    <row r="282" spans="1:16" ht="15.75" customHeight="1">
      <c r="A282" s="130"/>
      <c r="B282" s="137"/>
      <c r="C282" s="138"/>
      <c r="D282" s="139"/>
      <c r="E282" s="138"/>
      <c r="F282" s="140"/>
      <c r="G282" s="140"/>
      <c r="H282" s="139"/>
      <c r="I282" s="138"/>
      <c r="J282" s="121"/>
      <c r="K282" s="132"/>
      <c r="L282" s="121"/>
      <c r="M282" s="96"/>
      <c r="N282" s="96"/>
      <c r="O282" s="85"/>
      <c r="P282" s="133"/>
    </row>
    <row r="283" spans="1:16" ht="15.75" customHeight="1">
      <c r="A283" s="130"/>
      <c r="B283" s="137"/>
      <c r="C283" s="138"/>
      <c r="D283" s="139"/>
      <c r="E283" s="138"/>
      <c r="F283" s="140"/>
      <c r="G283" s="140"/>
      <c r="H283" s="139"/>
      <c r="I283" s="138"/>
      <c r="J283" s="121"/>
      <c r="K283" s="132"/>
      <c r="L283" s="121"/>
      <c r="M283" s="96"/>
      <c r="N283" s="96"/>
      <c r="O283" s="85"/>
      <c r="P283" s="133"/>
    </row>
    <row r="284" spans="1:16" ht="15.75" customHeight="1">
      <c r="A284" s="130"/>
      <c r="B284" s="137"/>
      <c r="C284" s="138"/>
      <c r="D284" s="139"/>
      <c r="E284" s="138"/>
      <c r="F284" s="140"/>
      <c r="G284" s="140"/>
      <c r="H284" s="139"/>
      <c r="I284" s="138"/>
      <c r="J284" s="121"/>
      <c r="K284" s="132"/>
      <c r="L284" s="121"/>
      <c r="M284" s="96"/>
      <c r="N284" s="96"/>
      <c r="O284" s="85"/>
      <c r="P284" s="133"/>
    </row>
    <row r="285" spans="1:16" ht="15.75" customHeight="1">
      <c r="A285" s="130"/>
      <c r="B285" s="137"/>
      <c r="C285" s="138"/>
      <c r="D285" s="139"/>
      <c r="E285" s="138"/>
      <c r="F285" s="140"/>
      <c r="G285" s="140"/>
      <c r="H285" s="139"/>
      <c r="I285" s="138"/>
      <c r="J285" s="121"/>
      <c r="K285" s="132"/>
      <c r="L285" s="121"/>
      <c r="M285" s="96"/>
      <c r="N285" s="96"/>
      <c r="O285" s="85"/>
      <c r="P285" s="133"/>
    </row>
    <row r="286" spans="1:16" ht="15.75" customHeight="1">
      <c r="A286" s="130"/>
      <c r="B286" s="137"/>
      <c r="C286" s="138"/>
      <c r="D286" s="139"/>
      <c r="E286" s="138"/>
      <c r="F286" s="140"/>
      <c r="G286" s="140"/>
      <c r="H286" s="139"/>
      <c r="I286" s="138"/>
      <c r="J286" s="121"/>
      <c r="K286" s="132"/>
      <c r="L286" s="121"/>
      <c r="M286" s="96"/>
      <c r="N286" s="96"/>
      <c r="O286" s="85"/>
      <c r="P286" s="133"/>
    </row>
    <row r="287" spans="1:16" ht="15.75" customHeight="1">
      <c r="A287" s="130"/>
      <c r="B287" s="137"/>
      <c r="C287" s="138"/>
      <c r="D287" s="139"/>
      <c r="E287" s="138"/>
      <c r="F287" s="140"/>
      <c r="G287" s="140"/>
      <c r="H287" s="139"/>
      <c r="I287" s="138"/>
      <c r="J287" s="121"/>
      <c r="K287" s="132"/>
      <c r="L287" s="121"/>
      <c r="M287" s="96"/>
      <c r="N287" s="96"/>
      <c r="O287" s="85"/>
      <c r="P287" s="133"/>
    </row>
    <row r="288" spans="1:16" ht="15.75" customHeight="1">
      <c r="A288" s="130"/>
      <c r="B288" s="137"/>
      <c r="C288" s="138"/>
      <c r="D288" s="139"/>
      <c r="E288" s="138"/>
      <c r="F288" s="140"/>
      <c r="G288" s="140"/>
      <c r="H288" s="139"/>
      <c r="I288" s="138"/>
      <c r="J288" s="121"/>
      <c r="K288" s="132"/>
      <c r="L288" s="121"/>
      <c r="M288" s="96"/>
      <c r="N288" s="96"/>
      <c r="O288" s="85"/>
      <c r="P288" s="133"/>
    </row>
    <row r="289" spans="1:16" ht="15.75" customHeight="1">
      <c r="A289" s="130"/>
      <c r="B289" s="137"/>
      <c r="C289" s="138"/>
      <c r="D289" s="139"/>
      <c r="E289" s="138"/>
      <c r="F289" s="140"/>
      <c r="G289" s="140"/>
      <c r="H289" s="139"/>
      <c r="I289" s="138"/>
      <c r="J289" s="121"/>
      <c r="K289" s="132"/>
      <c r="L289" s="121"/>
      <c r="M289" s="96"/>
      <c r="N289" s="96"/>
      <c r="O289" s="85"/>
      <c r="P289" s="133"/>
    </row>
    <row r="290" spans="1:16" ht="15.75" customHeight="1">
      <c r="A290" s="130"/>
      <c r="B290" s="137"/>
      <c r="C290" s="138"/>
      <c r="D290" s="139"/>
      <c r="E290" s="138"/>
      <c r="F290" s="140"/>
      <c r="G290" s="140"/>
      <c r="H290" s="139"/>
      <c r="I290" s="138"/>
      <c r="J290" s="121"/>
      <c r="K290" s="132"/>
      <c r="L290" s="121"/>
      <c r="M290" s="96"/>
      <c r="N290" s="96"/>
      <c r="O290" s="85"/>
      <c r="P290" s="133"/>
    </row>
    <row r="291" spans="1:16" ht="15.75" customHeight="1">
      <c r="A291" s="130"/>
      <c r="B291" s="137"/>
      <c r="C291" s="138"/>
      <c r="D291" s="139"/>
      <c r="E291" s="138"/>
      <c r="F291" s="140"/>
      <c r="G291" s="140"/>
      <c r="H291" s="139"/>
      <c r="I291" s="138"/>
      <c r="J291" s="121"/>
      <c r="K291" s="132"/>
      <c r="L291" s="121"/>
      <c r="M291" s="96"/>
      <c r="N291" s="96"/>
      <c r="O291" s="85"/>
      <c r="P291" s="133"/>
    </row>
    <row r="292" spans="1:16" ht="15.75" customHeight="1">
      <c r="A292" s="130"/>
      <c r="B292" s="137"/>
      <c r="C292" s="138"/>
      <c r="D292" s="139"/>
      <c r="E292" s="138"/>
      <c r="F292" s="140"/>
      <c r="G292" s="140"/>
      <c r="H292" s="139"/>
      <c r="I292" s="138"/>
      <c r="J292" s="121"/>
      <c r="K292" s="132"/>
      <c r="L292" s="121"/>
      <c r="M292" s="96"/>
      <c r="N292" s="96"/>
      <c r="O292" s="85"/>
      <c r="P292" s="133"/>
    </row>
    <row r="293" spans="1:16" ht="15.75" customHeight="1">
      <c r="A293" s="130"/>
      <c r="B293" s="137"/>
      <c r="C293" s="138"/>
      <c r="D293" s="139"/>
      <c r="E293" s="138"/>
      <c r="F293" s="140"/>
      <c r="G293" s="140"/>
      <c r="H293" s="139"/>
      <c r="I293" s="138"/>
      <c r="J293" s="121"/>
      <c r="K293" s="132"/>
      <c r="L293" s="121"/>
      <c r="M293" s="96"/>
      <c r="N293" s="96"/>
      <c r="O293" s="85"/>
      <c r="P293" s="133"/>
    </row>
    <row r="294" spans="1:16" ht="15.75" customHeight="1">
      <c r="A294" s="130"/>
      <c r="B294" s="137"/>
      <c r="C294" s="138"/>
      <c r="D294" s="139"/>
      <c r="E294" s="138"/>
      <c r="F294" s="140"/>
      <c r="G294" s="140"/>
      <c r="H294" s="139"/>
      <c r="I294" s="138"/>
      <c r="J294" s="121"/>
      <c r="K294" s="132"/>
      <c r="L294" s="121"/>
      <c r="M294" s="96"/>
      <c r="N294" s="96"/>
      <c r="O294" s="85"/>
      <c r="P294" s="133"/>
    </row>
    <row r="295" spans="1:16" ht="15.75" customHeight="1">
      <c r="A295" s="130"/>
      <c r="B295" s="137"/>
      <c r="C295" s="138"/>
      <c r="D295" s="139"/>
      <c r="E295" s="138"/>
      <c r="F295" s="140"/>
      <c r="G295" s="140"/>
      <c r="H295" s="139"/>
      <c r="I295" s="138"/>
      <c r="J295" s="121"/>
      <c r="K295" s="132"/>
      <c r="L295" s="121"/>
      <c r="M295" s="96"/>
      <c r="N295" s="96"/>
      <c r="O295" s="85"/>
      <c r="P295" s="133"/>
    </row>
    <row r="296" spans="1:16" ht="15.75" customHeight="1">
      <c r="A296" s="130"/>
      <c r="B296" s="137"/>
      <c r="C296" s="138"/>
      <c r="D296" s="139"/>
      <c r="E296" s="138"/>
      <c r="F296" s="140"/>
      <c r="G296" s="140"/>
      <c r="H296" s="139"/>
      <c r="I296" s="138"/>
      <c r="J296" s="121"/>
      <c r="K296" s="132"/>
      <c r="L296" s="121"/>
      <c r="M296" s="96"/>
      <c r="N296" s="96"/>
      <c r="O296" s="85"/>
      <c r="P296" s="133"/>
    </row>
    <row r="297" spans="1:16" ht="15.75" customHeight="1">
      <c r="A297" s="130"/>
      <c r="B297" s="137"/>
      <c r="C297" s="138"/>
      <c r="D297" s="139"/>
      <c r="E297" s="138"/>
      <c r="F297" s="140"/>
      <c r="G297" s="140"/>
      <c r="H297" s="139"/>
      <c r="I297" s="138"/>
      <c r="J297" s="121"/>
      <c r="K297" s="132"/>
      <c r="L297" s="121"/>
      <c r="M297" s="96"/>
      <c r="N297" s="96"/>
      <c r="O297" s="85"/>
      <c r="P297" s="133"/>
    </row>
    <row r="298" spans="1:16" ht="15.75" customHeight="1">
      <c r="A298" s="130"/>
      <c r="B298" s="137"/>
      <c r="C298" s="138"/>
      <c r="D298" s="139"/>
      <c r="E298" s="138"/>
      <c r="F298" s="140"/>
      <c r="G298" s="140"/>
      <c r="H298" s="139"/>
      <c r="I298" s="138"/>
      <c r="J298" s="121"/>
      <c r="K298" s="132"/>
      <c r="L298" s="121"/>
      <c r="M298" s="96"/>
      <c r="N298" s="96"/>
      <c r="O298" s="85"/>
      <c r="P298" s="133"/>
    </row>
    <row r="299" spans="1:16" ht="15.75" customHeight="1">
      <c r="A299" s="130"/>
      <c r="B299" s="137"/>
      <c r="C299" s="138"/>
      <c r="D299" s="139"/>
      <c r="E299" s="138"/>
      <c r="F299" s="140"/>
      <c r="G299" s="140"/>
      <c r="H299" s="139"/>
      <c r="I299" s="138"/>
      <c r="J299" s="121"/>
      <c r="K299" s="132"/>
      <c r="L299" s="121"/>
      <c r="M299" s="96"/>
      <c r="N299" s="96"/>
      <c r="O299" s="85"/>
      <c r="P299" s="133"/>
    </row>
    <row r="300" spans="1:16" ht="15.75" customHeight="1">
      <c r="A300" s="130"/>
      <c r="B300" s="137"/>
      <c r="C300" s="138"/>
      <c r="D300" s="139"/>
      <c r="E300" s="138"/>
      <c r="F300" s="140"/>
      <c r="G300" s="140"/>
      <c r="H300" s="139"/>
      <c r="I300" s="138"/>
      <c r="J300" s="121"/>
      <c r="K300" s="132"/>
      <c r="L300" s="121"/>
      <c r="M300" s="96"/>
      <c r="N300" s="96"/>
      <c r="O300" s="85"/>
      <c r="P300" s="133"/>
    </row>
    <row r="301" spans="1:16" ht="15.75" customHeight="1">
      <c r="A301" s="130"/>
      <c r="B301" s="137"/>
      <c r="C301" s="138"/>
      <c r="D301" s="139"/>
      <c r="E301" s="138"/>
      <c r="F301" s="140"/>
      <c r="G301" s="140"/>
      <c r="H301" s="139"/>
      <c r="I301" s="138"/>
      <c r="J301" s="121"/>
      <c r="K301" s="132"/>
      <c r="L301" s="121"/>
      <c r="M301" s="96"/>
      <c r="N301" s="96"/>
      <c r="O301" s="85"/>
      <c r="P301" s="133"/>
    </row>
    <row r="302" spans="1:16" ht="15.75" customHeight="1">
      <c r="A302" s="130"/>
      <c r="B302" s="137"/>
      <c r="C302" s="138"/>
      <c r="D302" s="139"/>
      <c r="E302" s="138"/>
      <c r="F302" s="140"/>
      <c r="G302" s="140"/>
      <c r="H302" s="139"/>
      <c r="I302" s="138"/>
      <c r="J302" s="121"/>
      <c r="K302" s="132"/>
      <c r="L302" s="121"/>
      <c r="M302" s="96"/>
      <c r="N302" s="96"/>
      <c r="O302" s="85"/>
      <c r="P302" s="133"/>
    </row>
    <row r="303" spans="1:16" ht="15.75" customHeight="1">
      <c r="A303" s="130"/>
      <c r="B303" s="137"/>
      <c r="C303" s="138"/>
      <c r="D303" s="139"/>
      <c r="E303" s="138"/>
      <c r="F303" s="140"/>
      <c r="G303" s="140"/>
      <c r="H303" s="139"/>
      <c r="I303" s="138"/>
      <c r="J303" s="121"/>
      <c r="K303" s="132"/>
      <c r="L303" s="121"/>
      <c r="M303" s="96"/>
      <c r="N303" s="96"/>
      <c r="O303" s="85"/>
      <c r="P303" s="133"/>
    </row>
    <row r="304" spans="1:16" ht="15.75" customHeight="1">
      <c r="A304" s="130"/>
      <c r="B304" s="137"/>
      <c r="C304" s="138"/>
      <c r="D304" s="139"/>
      <c r="E304" s="138"/>
      <c r="F304" s="140"/>
      <c r="G304" s="140"/>
      <c r="H304" s="139"/>
      <c r="I304" s="138"/>
      <c r="J304" s="121"/>
      <c r="K304" s="132"/>
      <c r="L304" s="121"/>
      <c r="M304" s="96"/>
      <c r="N304" s="96"/>
      <c r="O304" s="85"/>
      <c r="P304" s="133"/>
    </row>
    <row r="305" spans="1:16" ht="15.75" customHeight="1">
      <c r="A305" s="130"/>
      <c r="B305" s="137"/>
      <c r="C305" s="138"/>
      <c r="D305" s="139"/>
      <c r="E305" s="138"/>
      <c r="F305" s="140"/>
      <c r="G305" s="140"/>
      <c r="H305" s="139"/>
      <c r="I305" s="138"/>
      <c r="J305" s="121"/>
      <c r="K305" s="132"/>
      <c r="L305" s="121"/>
      <c r="M305" s="96"/>
      <c r="N305" s="96"/>
      <c r="O305" s="85"/>
      <c r="P305" s="133"/>
    </row>
    <row r="306" spans="1:16" ht="15.75" customHeight="1">
      <c r="A306" s="130"/>
      <c r="B306" s="137"/>
      <c r="C306" s="138"/>
      <c r="D306" s="139"/>
      <c r="E306" s="138"/>
      <c r="F306" s="140"/>
      <c r="G306" s="140"/>
      <c r="H306" s="139"/>
      <c r="I306" s="138"/>
      <c r="J306" s="121"/>
      <c r="K306" s="132"/>
      <c r="L306" s="121"/>
      <c r="M306" s="96"/>
      <c r="N306" s="96"/>
      <c r="O306" s="85"/>
      <c r="P306" s="133"/>
    </row>
    <row r="307" spans="1:16" ht="15.75" customHeight="1">
      <c r="A307" s="130"/>
      <c r="B307" s="137"/>
      <c r="C307" s="138"/>
      <c r="D307" s="139"/>
      <c r="E307" s="138"/>
      <c r="F307" s="140"/>
      <c r="G307" s="140"/>
      <c r="H307" s="139"/>
      <c r="I307" s="138"/>
      <c r="J307" s="121"/>
      <c r="K307" s="132"/>
      <c r="L307" s="121"/>
      <c r="M307" s="96"/>
      <c r="N307" s="96"/>
      <c r="O307" s="85"/>
      <c r="P307" s="133"/>
    </row>
    <row r="308" spans="1:16" ht="15.75" customHeight="1">
      <c r="A308" s="130"/>
      <c r="B308" s="137"/>
      <c r="C308" s="138"/>
      <c r="D308" s="139"/>
      <c r="E308" s="138"/>
      <c r="F308" s="140"/>
      <c r="G308" s="140"/>
      <c r="H308" s="139"/>
      <c r="I308" s="138"/>
      <c r="J308" s="121"/>
      <c r="K308" s="132"/>
      <c r="L308" s="121"/>
      <c r="M308" s="96"/>
      <c r="N308" s="96"/>
      <c r="O308" s="85"/>
      <c r="P308" s="133"/>
    </row>
    <row r="309" spans="1:16" ht="15.75" customHeight="1">
      <c r="A309" s="130"/>
      <c r="B309" s="137"/>
      <c r="C309" s="138"/>
      <c r="D309" s="139"/>
      <c r="E309" s="138"/>
      <c r="F309" s="140"/>
      <c r="G309" s="140"/>
      <c r="H309" s="139"/>
      <c r="I309" s="138"/>
      <c r="J309" s="121"/>
      <c r="K309" s="132"/>
      <c r="L309" s="121"/>
      <c r="M309" s="96"/>
      <c r="N309" s="96"/>
      <c r="O309" s="85"/>
      <c r="P309" s="133"/>
    </row>
    <row r="310" spans="1:16" ht="15.75" customHeight="1">
      <c r="A310" s="130"/>
      <c r="B310" s="137"/>
      <c r="C310" s="138"/>
      <c r="D310" s="139"/>
      <c r="E310" s="138"/>
      <c r="F310" s="140"/>
      <c r="G310" s="140"/>
      <c r="H310" s="139"/>
      <c r="I310" s="138"/>
      <c r="J310" s="121"/>
      <c r="K310" s="132"/>
      <c r="L310" s="121"/>
      <c r="M310" s="96"/>
      <c r="N310" s="96"/>
      <c r="O310" s="85"/>
      <c r="P310" s="133"/>
    </row>
    <row r="311" spans="1:16" ht="15.75" customHeight="1">
      <c r="A311" s="130"/>
      <c r="B311" s="137"/>
      <c r="C311" s="138"/>
      <c r="D311" s="139"/>
      <c r="E311" s="138"/>
      <c r="F311" s="140"/>
      <c r="G311" s="140"/>
      <c r="H311" s="139"/>
      <c r="I311" s="138"/>
      <c r="J311" s="121"/>
      <c r="K311" s="132"/>
      <c r="L311" s="121"/>
      <c r="M311" s="96"/>
      <c r="N311" s="96"/>
      <c r="O311" s="85"/>
      <c r="P311" s="133"/>
    </row>
    <row r="312" spans="1:16" ht="15.75" customHeight="1">
      <c r="A312" s="130"/>
      <c r="B312" s="137"/>
      <c r="C312" s="138"/>
      <c r="D312" s="139"/>
      <c r="E312" s="138"/>
      <c r="F312" s="140"/>
      <c r="G312" s="140"/>
      <c r="H312" s="139"/>
      <c r="I312" s="138"/>
      <c r="J312" s="121"/>
      <c r="K312" s="132"/>
      <c r="L312" s="121"/>
      <c r="M312" s="96"/>
      <c r="N312" s="96"/>
      <c r="O312" s="85"/>
      <c r="P312" s="133"/>
    </row>
    <row r="313" spans="1:16" ht="15.75" customHeight="1">
      <c r="A313" s="130"/>
      <c r="B313" s="137"/>
      <c r="C313" s="138"/>
      <c r="D313" s="139"/>
      <c r="E313" s="138"/>
      <c r="F313" s="140"/>
      <c r="G313" s="140"/>
      <c r="H313" s="139"/>
      <c r="I313" s="138"/>
      <c r="J313" s="121"/>
      <c r="K313" s="132"/>
      <c r="L313" s="121"/>
      <c r="M313" s="96"/>
      <c r="N313" s="96"/>
      <c r="O313" s="85"/>
      <c r="P313" s="133"/>
    </row>
    <row r="314" spans="1:16" ht="15.75" customHeight="1">
      <c r="A314" s="130"/>
      <c r="B314" s="137"/>
      <c r="C314" s="138"/>
      <c r="D314" s="139"/>
      <c r="E314" s="138"/>
      <c r="F314" s="140"/>
      <c r="G314" s="140"/>
      <c r="H314" s="139"/>
      <c r="I314" s="138"/>
      <c r="J314" s="121"/>
      <c r="K314" s="132"/>
      <c r="L314" s="121"/>
      <c r="M314" s="96"/>
      <c r="N314" s="96"/>
      <c r="O314" s="85"/>
      <c r="P314" s="133"/>
    </row>
    <row r="315" spans="1:16" ht="15.75" customHeight="1">
      <c r="A315" s="130"/>
      <c r="B315" s="137"/>
      <c r="C315" s="138"/>
      <c r="D315" s="139"/>
      <c r="E315" s="138"/>
      <c r="F315" s="140"/>
      <c r="G315" s="140"/>
      <c r="H315" s="139"/>
      <c r="I315" s="138"/>
      <c r="J315" s="121"/>
      <c r="K315" s="132"/>
      <c r="L315" s="121"/>
      <c r="M315" s="96"/>
      <c r="N315" s="96"/>
      <c r="O315" s="85"/>
      <c r="P315" s="133"/>
    </row>
    <row r="316" spans="1:16" ht="15.75" customHeight="1">
      <c r="A316" s="130"/>
      <c r="B316" s="137"/>
      <c r="C316" s="138"/>
      <c r="D316" s="139"/>
      <c r="E316" s="138"/>
      <c r="F316" s="140"/>
      <c r="G316" s="140"/>
      <c r="H316" s="139"/>
      <c r="I316" s="138"/>
      <c r="J316" s="121"/>
      <c r="K316" s="132"/>
      <c r="L316" s="121"/>
      <c r="M316" s="96"/>
      <c r="N316" s="96"/>
      <c r="O316" s="85"/>
      <c r="P316" s="133"/>
    </row>
    <row r="317" spans="1:16" ht="15.75" customHeight="1">
      <c r="A317" s="130"/>
      <c r="B317" s="137"/>
      <c r="C317" s="138"/>
      <c r="D317" s="139"/>
      <c r="E317" s="138"/>
      <c r="F317" s="140"/>
      <c r="G317" s="140"/>
      <c r="H317" s="139"/>
      <c r="I317" s="138"/>
      <c r="J317" s="121"/>
      <c r="K317" s="132"/>
      <c r="L317" s="121"/>
      <c r="M317" s="96"/>
      <c r="N317" s="96"/>
      <c r="O317" s="85"/>
      <c r="P317" s="133"/>
    </row>
    <row r="318" spans="1:16" ht="15.75" customHeight="1">
      <c r="A318" s="130"/>
      <c r="B318" s="137"/>
      <c r="C318" s="138"/>
      <c r="D318" s="139"/>
      <c r="E318" s="138"/>
      <c r="F318" s="140"/>
      <c r="G318" s="140"/>
      <c r="H318" s="139"/>
      <c r="I318" s="138"/>
      <c r="J318" s="121"/>
      <c r="K318" s="132"/>
      <c r="L318" s="121"/>
      <c r="M318" s="96"/>
      <c r="N318" s="96"/>
      <c r="O318" s="85"/>
      <c r="P318" s="133"/>
    </row>
    <row r="319" spans="1:16" ht="15.75" customHeight="1">
      <c r="A319" s="130"/>
      <c r="B319" s="137"/>
      <c r="C319" s="138"/>
      <c r="D319" s="139"/>
      <c r="E319" s="138"/>
      <c r="F319" s="140"/>
      <c r="G319" s="140"/>
      <c r="H319" s="139"/>
      <c r="I319" s="138"/>
      <c r="J319" s="121"/>
      <c r="K319" s="132"/>
      <c r="L319" s="121"/>
      <c r="M319" s="96"/>
      <c r="N319" s="96"/>
      <c r="O319" s="85"/>
      <c r="P319" s="133"/>
    </row>
    <row r="320" spans="1:16" ht="15.75" customHeight="1">
      <c r="A320" s="130"/>
      <c r="B320" s="137"/>
      <c r="C320" s="138"/>
      <c r="D320" s="139"/>
      <c r="E320" s="138"/>
      <c r="F320" s="140"/>
      <c r="G320" s="140"/>
      <c r="H320" s="139"/>
      <c r="I320" s="138"/>
      <c r="J320" s="121"/>
      <c r="K320" s="132"/>
      <c r="L320" s="121"/>
      <c r="M320" s="96"/>
      <c r="N320" s="96"/>
      <c r="O320" s="85"/>
      <c r="P320" s="133"/>
    </row>
    <row r="321" spans="1:16" ht="15.75" customHeight="1">
      <c r="A321" s="130"/>
      <c r="B321" s="137"/>
      <c r="C321" s="138"/>
      <c r="D321" s="139"/>
      <c r="E321" s="138"/>
      <c r="F321" s="140"/>
      <c r="G321" s="140"/>
      <c r="H321" s="139"/>
      <c r="I321" s="138"/>
      <c r="J321" s="121"/>
      <c r="K321" s="132"/>
      <c r="L321" s="121"/>
      <c r="M321" s="96"/>
      <c r="N321" s="96"/>
      <c r="O321" s="85"/>
      <c r="P321" s="133"/>
    </row>
    <row r="322" spans="1:16" ht="15.75" customHeight="1">
      <c r="A322" s="130"/>
      <c r="B322" s="137"/>
      <c r="C322" s="138"/>
      <c r="D322" s="139"/>
      <c r="E322" s="138"/>
      <c r="F322" s="140"/>
      <c r="G322" s="140"/>
      <c r="H322" s="139"/>
      <c r="I322" s="138"/>
      <c r="J322" s="121"/>
      <c r="K322" s="132"/>
      <c r="L322" s="121"/>
      <c r="M322" s="96"/>
      <c r="N322" s="96"/>
      <c r="O322" s="85"/>
      <c r="P322" s="133"/>
    </row>
    <row r="323" spans="1:16" ht="15.75" customHeight="1">
      <c r="A323" s="130"/>
      <c r="B323" s="137"/>
      <c r="C323" s="138"/>
      <c r="D323" s="139"/>
      <c r="E323" s="138"/>
      <c r="F323" s="140"/>
      <c r="G323" s="140"/>
      <c r="H323" s="139"/>
      <c r="I323" s="138"/>
      <c r="J323" s="121"/>
      <c r="K323" s="132"/>
      <c r="L323" s="121"/>
      <c r="M323" s="96"/>
      <c r="N323" s="96"/>
      <c r="O323" s="85"/>
      <c r="P323" s="133"/>
    </row>
    <row r="324" spans="1:16" ht="15.75" customHeight="1">
      <c r="A324" s="130"/>
      <c r="B324" s="137"/>
      <c r="C324" s="138"/>
      <c r="D324" s="139"/>
      <c r="E324" s="138"/>
      <c r="F324" s="140"/>
      <c r="G324" s="140"/>
      <c r="H324" s="139"/>
      <c r="I324" s="138"/>
      <c r="J324" s="121"/>
      <c r="K324" s="132"/>
      <c r="L324" s="121"/>
      <c r="M324" s="96"/>
      <c r="N324" s="96"/>
      <c r="O324" s="85"/>
      <c r="P324" s="133"/>
    </row>
    <row r="325" spans="1:16" ht="15.75" customHeight="1">
      <c r="A325" s="130"/>
      <c r="B325" s="137"/>
      <c r="C325" s="138"/>
      <c r="D325" s="139"/>
      <c r="E325" s="138"/>
      <c r="F325" s="140"/>
      <c r="G325" s="140"/>
      <c r="H325" s="139"/>
      <c r="I325" s="138"/>
      <c r="J325" s="121"/>
      <c r="K325" s="132"/>
      <c r="L325" s="121"/>
      <c r="M325" s="96"/>
      <c r="N325" s="96"/>
      <c r="O325" s="85"/>
      <c r="P325" s="133"/>
    </row>
    <row r="326" spans="1:16" ht="15.75" customHeight="1">
      <c r="A326" s="130"/>
      <c r="B326" s="137"/>
      <c r="C326" s="138"/>
      <c r="D326" s="139"/>
      <c r="E326" s="138"/>
      <c r="F326" s="140"/>
      <c r="G326" s="140"/>
      <c r="H326" s="139"/>
      <c r="I326" s="138"/>
      <c r="J326" s="121"/>
      <c r="K326" s="132"/>
      <c r="L326" s="121"/>
      <c r="M326" s="96"/>
      <c r="N326" s="96"/>
      <c r="O326" s="85"/>
      <c r="P326" s="133"/>
    </row>
    <row r="327" spans="1:16" ht="15.75" customHeight="1">
      <c r="A327" s="130"/>
      <c r="B327" s="137"/>
      <c r="C327" s="138"/>
      <c r="D327" s="139"/>
      <c r="E327" s="138"/>
      <c r="F327" s="140"/>
      <c r="G327" s="140"/>
      <c r="H327" s="139"/>
      <c r="I327" s="138"/>
      <c r="J327" s="121"/>
      <c r="K327" s="132"/>
      <c r="L327" s="121"/>
      <c r="M327" s="96"/>
      <c r="N327" s="96"/>
      <c r="O327" s="85"/>
      <c r="P327" s="133"/>
    </row>
    <row r="328" spans="1:16" ht="15.75" customHeight="1">
      <c r="A328" s="130"/>
      <c r="B328" s="137"/>
      <c r="C328" s="138"/>
      <c r="D328" s="139"/>
      <c r="E328" s="138"/>
      <c r="F328" s="140"/>
      <c r="G328" s="140"/>
      <c r="H328" s="139"/>
      <c r="I328" s="138"/>
      <c r="J328" s="121"/>
      <c r="K328" s="132"/>
      <c r="L328" s="121"/>
      <c r="M328" s="96"/>
      <c r="N328" s="96"/>
      <c r="O328" s="85"/>
      <c r="P328" s="133"/>
    </row>
    <row r="329" spans="1:16" ht="15.75" customHeight="1">
      <c r="A329" s="130"/>
      <c r="B329" s="137"/>
      <c r="C329" s="138"/>
      <c r="D329" s="139"/>
      <c r="E329" s="138"/>
      <c r="F329" s="140"/>
      <c r="G329" s="140"/>
      <c r="H329" s="139"/>
      <c r="I329" s="138"/>
      <c r="J329" s="121"/>
      <c r="K329" s="132"/>
      <c r="L329" s="121"/>
      <c r="M329" s="96"/>
      <c r="N329" s="96"/>
      <c r="O329" s="85"/>
      <c r="P329" s="133"/>
    </row>
    <row r="330" spans="1:16" ht="15.75" customHeight="1">
      <c r="A330" s="130"/>
      <c r="B330" s="137"/>
      <c r="C330" s="138"/>
      <c r="D330" s="139"/>
      <c r="E330" s="138"/>
      <c r="F330" s="140"/>
      <c r="G330" s="140"/>
      <c r="H330" s="139"/>
      <c r="I330" s="138"/>
      <c r="J330" s="121"/>
      <c r="K330" s="132"/>
      <c r="L330" s="121"/>
      <c r="M330" s="96"/>
      <c r="N330" s="96"/>
      <c r="O330" s="85"/>
      <c r="P330" s="133"/>
    </row>
    <row r="331" spans="1:16" ht="15.75" customHeight="1">
      <c r="A331" s="130"/>
      <c r="B331" s="137"/>
      <c r="C331" s="138"/>
      <c r="D331" s="139"/>
      <c r="E331" s="138"/>
      <c r="F331" s="140"/>
      <c r="G331" s="140"/>
      <c r="H331" s="139"/>
      <c r="I331" s="138"/>
      <c r="J331" s="121"/>
      <c r="K331" s="132"/>
      <c r="L331" s="121"/>
      <c r="M331" s="96"/>
      <c r="N331" s="96"/>
      <c r="O331" s="85"/>
      <c r="P331" s="133"/>
    </row>
    <row r="332" spans="1:16" ht="15.75" customHeight="1">
      <c r="A332" s="130"/>
      <c r="B332" s="137"/>
      <c r="C332" s="138"/>
      <c r="D332" s="139"/>
      <c r="E332" s="138"/>
      <c r="F332" s="140"/>
      <c r="G332" s="140"/>
      <c r="H332" s="139"/>
      <c r="I332" s="138"/>
      <c r="J332" s="121"/>
      <c r="K332" s="132"/>
      <c r="L332" s="121"/>
      <c r="M332" s="96"/>
      <c r="N332" s="96"/>
      <c r="O332" s="85"/>
      <c r="P332" s="133"/>
    </row>
    <row r="333" spans="1:16" ht="15.75" customHeight="1">
      <c r="A333" s="130"/>
      <c r="B333" s="137"/>
      <c r="C333" s="138"/>
      <c r="D333" s="139"/>
      <c r="E333" s="138"/>
      <c r="F333" s="140"/>
      <c r="G333" s="140"/>
      <c r="H333" s="139"/>
      <c r="I333" s="138"/>
      <c r="J333" s="121"/>
      <c r="K333" s="132"/>
      <c r="L333" s="121"/>
      <c r="M333" s="96"/>
      <c r="N333" s="96"/>
      <c r="O333" s="85"/>
      <c r="P333" s="133"/>
    </row>
    <row r="334" spans="1:16" ht="15.75" customHeight="1">
      <c r="A334" s="130"/>
      <c r="B334" s="137"/>
      <c r="C334" s="138"/>
      <c r="D334" s="139"/>
      <c r="E334" s="138"/>
      <c r="F334" s="140"/>
      <c r="G334" s="140"/>
      <c r="H334" s="139"/>
      <c r="I334" s="138"/>
      <c r="J334" s="121"/>
      <c r="K334" s="132"/>
      <c r="L334" s="121"/>
      <c r="M334" s="96"/>
      <c r="N334" s="96"/>
      <c r="O334" s="85"/>
      <c r="P334" s="133"/>
    </row>
    <row r="335" spans="1:16" ht="15.75" customHeight="1">
      <c r="A335" s="130"/>
      <c r="B335" s="137"/>
      <c r="C335" s="138"/>
      <c r="D335" s="139"/>
      <c r="E335" s="138"/>
      <c r="F335" s="140"/>
      <c r="G335" s="140"/>
      <c r="H335" s="139"/>
      <c r="I335" s="138"/>
      <c r="J335" s="121"/>
      <c r="K335" s="132"/>
      <c r="L335" s="121"/>
      <c r="M335" s="96"/>
      <c r="N335" s="96"/>
      <c r="O335" s="85"/>
      <c r="P335" s="133"/>
    </row>
    <row r="336" spans="1:16" ht="15.75" customHeight="1">
      <c r="A336" s="130"/>
      <c r="B336" s="137"/>
      <c r="C336" s="138"/>
      <c r="D336" s="139"/>
      <c r="E336" s="138"/>
      <c r="F336" s="140"/>
      <c r="G336" s="140"/>
      <c r="H336" s="139"/>
      <c r="I336" s="138"/>
      <c r="J336" s="121"/>
      <c r="K336" s="132"/>
      <c r="L336" s="121"/>
      <c r="M336" s="96"/>
      <c r="N336" s="96"/>
      <c r="O336" s="85"/>
      <c r="P336" s="133"/>
    </row>
    <row r="337" spans="1:16" ht="15.75" customHeight="1">
      <c r="A337" s="130"/>
      <c r="B337" s="137"/>
      <c r="C337" s="138"/>
      <c r="D337" s="139"/>
      <c r="E337" s="138"/>
      <c r="F337" s="140"/>
      <c r="G337" s="140"/>
      <c r="H337" s="139"/>
      <c r="I337" s="138"/>
      <c r="J337" s="121"/>
      <c r="K337" s="132"/>
      <c r="L337" s="121"/>
      <c r="M337" s="96"/>
      <c r="N337" s="96"/>
      <c r="O337" s="85"/>
      <c r="P337" s="133"/>
    </row>
    <row r="338" spans="1:16" ht="15.75" customHeight="1">
      <c r="A338" s="130"/>
      <c r="B338" s="137"/>
      <c r="C338" s="138"/>
      <c r="D338" s="139"/>
      <c r="E338" s="138"/>
      <c r="F338" s="140"/>
      <c r="G338" s="140"/>
      <c r="H338" s="139"/>
      <c r="I338" s="138"/>
      <c r="J338" s="121"/>
      <c r="K338" s="132"/>
      <c r="L338" s="121"/>
      <c r="M338" s="96"/>
      <c r="N338" s="96"/>
      <c r="O338" s="85"/>
      <c r="P338" s="133"/>
    </row>
    <row r="339" spans="1:16" ht="15.75" customHeight="1">
      <c r="A339" s="130"/>
      <c r="B339" s="137"/>
      <c r="C339" s="138"/>
      <c r="D339" s="139"/>
      <c r="E339" s="138"/>
      <c r="F339" s="140"/>
      <c r="G339" s="140"/>
      <c r="H339" s="139"/>
      <c r="I339" s="138"/>
      <c r="J339" s="121"/>
      <c r="K339" s="132"/>
      <c r="L339" s="121"/>
      <c r="M339" s="96"/>
      <c r="N339" s="96"/>
      <c r="O339" s="85"/>
      <c r="P339" s="133"/>
    </row>
    <row r="340" spans="1:16" ht="15.75" customHeight="1">
      <c r="A340" s="130"/>
      <c r="B340" s="137"/>
      <c r="C340" s="138"/>
      <c r="D340" s="139"/>
      <c r="E340" s="138"/>
      <c r="F340" s="140"/>
      <c r="G340" s="140"/>
      <c r="H340" s="139"/>
      <c r="I340" s="138"/>
      <c r="J340" s="121"/>
      <c r="K340" s="132"/>
      <c r="L340" s="121"/>
      <c r="M340" s="96"/>
      <c r="N340" s="96"/>
      <c r="O340" s="85"/>
      <c r="P340" s="133"/>
    </row>
    <row r="341" spans="1:16" ht="15.75" customHeight="1">
      <c r="A341" s="130"/>
      <c r="B341" s="137"/>
      <c r="C341" s="138"/>
      <c r="D341" s="139"/>
      <c r="E341" s="138"/>
      <c r="F341" s="140"/>
      <c r="G341" s="140"/>
      <c r="H341" s="139"/>
      <c r="I341" s="138"/>
      <c r="J341" s="121"/>
      <c r="K341" s="132"/>
      <c r="L341" s="121"/>
      <c r="M341" s="96"/>
      <c r="N341" s="96"/>
      <c r="O341" s="85"/>
      <c r="P341" s="133"/>
    </row>
    <row r="342" spans="1:16" ht="15.75" customHeight="1">
      <c r="A342" s="130"/>
      <c r="B342" s="137"/>
      <c r="C342" s="138"/>
      <c r="D342" s="139"/>
      <c r="E342" s="138"/>
      <c r="F342" s="140"/>
      <c r="G342" s="140"/>
      <c r="H342" s="139"/>
      <c r="I342" s="138"/>
      <c r="J342" s="121"/>
      <c r="K342" s="132"/>
      <c r="L342" s="121"/>
      <c r="M342" s="96"/>
      <c r="N342" s="96"/>
      <c r="O342" s="85"/>
      <c r="P342" s="133"/>
    </row>
    <row r="343" spans="1:16" ht="15.75" customHeight="1">
      <c r="A343" s="130"/>
      <c r="B343" s="137"/>
      <c r="C343" s="138"/>
      <c r="D343" s="139"/>
      <c r="E343" s="138"/>
      <c r="F343" s="140"/>
      <c r="G343" s="140"/>
      <c r="H343" s="139"/>
      <c r="I343" s="138"/>
      <c r="J343" s="121"/>
      <c r="K343" s="132"/>
      <c r="L343" s="121"/>
      <c r="M343" s="96"/>
      <c r="N343" s="96"/>
      <c r="O343" s="85"/>
      <c r="P343" s="133"/>
    </row>
    <row r="344" spans="1:16" ht="15.75" customHeight="1">
      <c r="A344" s="130"/>
      <c r="B344" s="137"/>
      <c r="C344" s="138"/>
      <c r="D344" s="139"/>
      <c r="E344" s="138"/>
      <c r="F344" s="140"/>
      <c r="G344" s="140"/>
      <c r="H344" s="139"/>
      <c r="I344" s="138"/>
      <c r="J344" s="121"/>
      <c r="K344" s="132"/>
      <c r="L344" s="121"/>
      <c r="M344" s="96"/>
      <c r="N344" s="96"/>
      <c r="O344" s="85"/>
      <c r="P344" s="133"/>
    </row>
    <row r="345" spans="1:16" ht="15.75" customHeight="1">
      <c r="A345" s="130"/>
      <c r="B345" s="137"/>
      <c r="C345" s="138"/>
      <c r="D345" s="139"/>
      <c r="E345" s="138"/>
      <c r="F345" s="140"/>
      <c r="G345" s="140"/>
      <c r="H345" s="139"/>
      <c r="I345" s="138"/>
      <c r="J345" s="121"/>
      <c r="K345" s="132"/>
      <c r="L345" s="121"/>
      <c r="M345" s="96"/>
      <c r="N345" s="96"/>
      <c r="O345" s="85"/>
      <c r="P345" s="133"/>
    </row>
    <row r="346" spans="1:16" ht="15.75" customHeight="1">
      <c r="A346" s="130"/>
      <c r="B346" s="137"/>
      <c r="C346" s="138"/>
      <c r="D346" s="139"/>
      <c r="E346" s="138"/>
      <c r="F346" s="140"/>
      <c r="G346" s="140"/>
      <c r="H346" s="139"/>
      <c r="I346" s="138"/>
      <c r="J346" s="121"/>
      <c r="K346" s="132"/>
      <c r="L346" s="121"/>
      <c r="M346" s="96"/>
      <c r="N346" s="96"/>
      <c r="O346" s="85"/>
      <c r="P346" s="133"/>
    </row>
    <row r="347" spans="1:16" ht="15.75" customHeight="1">
      <c r="A347" s="130"/>
      <c r="B347" s="137"/>
      <c r="C347" s="138"/>
      <c r="D347" s="139"/>
      <c r="E347" s="138"/>
      <c r="F347" s="140"/>
      <c r="G347" s="140"/>
      <c r="H347" s="139"/>
      <c r="I347" s="138"/>
      <c r="J347" s="121"/>
      <c r="K347" s="132"/>
      <c r="L347" s="121"/>
      <c r="M347" s="96"/>
      <c r="N347" s="96"/>
      <c r="O347" s="85"/>
      <c r="P347" s="133"/>
    </row>
    <row r="348" spans="1:16" ht="15.75" customHeight="1">
      <c r="A348" s="130"/>
      <c r="B348" s="137"/>
      <c r="C348" s="138"/>
      <c r="D348" s="139"/>
      <c r="E348" s="138"/>
      <c r="F348" s="140"/>
      <c r="G348" s="140"/>
      <c r="H348" s="139"/>
      <c r="I348" s="138"/>
      <c r="J348" s="121"/>
      <c r="K348" s="132"/>
      <c r="L348" s="121"/>
      <c r="M348" s="96"/>
      <c r="N348" s="96"/>
      <c r="O348" s="85"/>
      <c r="P348" s="133"/>
    </row>
    <row r="349" spans="1:16" ht="15.75" customHeight="1">
      <c r="A349" s="130"/>
      <c r="B349" s="137"/>
      <c r="C349" s="138"/>
      <c r="D349" s="139"/>
      <c r="E349" s="138"/>
      <c r="F349" s="140"/>
      <c r="G349" s="140"/>
      <c r="H349" s="139"/>
      <c r="I349" s="138"/>
      <c r="J349" s="121"/>
      <c r="K349" s="132"/>
      <c r="L349" s="121"/>
      <c r="M349" s="96"/>
      <c r="N349" s="96"/>
      <c r="O349" s="85"/>
      <c r="P349" s="133"/>
    </row>
    <row r="350" spans="1:16" ht="15.75" customHeight="1">
      <c r="A350" s="130"/>
      <c r="B350" s="137"/>
      <c r="C350" s="138"/>
      <c r="D350" s="139"/>
      <c r="E350" s="138"/>
      <c r="F350" s="140"/>
      <c r="G350" s="140"/>
      <c r="H350" s="139"/>
      <c r="I350" s="138"/>
      <c r="J350" s="121"/>
      <c r="K350" s="132"/>
      <c r="L350" s="121"/>
      <c r="M350" s="96"/>
      <c r="N350" s="96"/>
      <c r="O350" s="85"/>
      <c r="P350" s="133"/>
    </row>
    <row r="351" spans="1:16" ht="15.75" customHeight="1">
      <c r="A351" s="130"/>
      <c r="B351" s="137"/>
      <c r="C351" s="138"/>
      <c r="D351" s="139"/>
      <c r="E351" s="138"/>
      <c r="F351" s="140"/>
      <c r="G351" s="140"/>
      <c r="H351" s="139"/>
      <c r="I351" s="138"/>
      <c r="J351" s="121"/>
      <c r="K351" s="132"/>
      <c r="L351" s="121"/>
      <c r="M351" s="96"/>
      <c r="N351" s="96"/>
      <c r="O351" s="85"/>
      <c r="P351" s="133"/>
    </row>
    <row r="352" spans="1:16" ht="15.75" customHeight="1">
      <c r="A352" s="130"/>
      <c r="B352" s="137"/>
      <c r="C352" s="138"/>
      <c r="D352" s="139"/>
      <c r="E352" s="138"/>
      <c r="F352" s="140"/>
      <c r="G352" s="140"/>
      <c r="H352" s="139"/>
      <c r="I352" s="138"/>
      <c r="J352" s="121"/>
      <c r="K352" s="132"/>
      <c r="L352" s="121"/>
      <c r="M352" s="96"/>
      <c r="N352" s="96"/>
      <c r="O352" s="85"/>
      <c r="P352" s="133"/>
    </row>
    <row r="353" spans="1:16" ht="15.75" customHeight="1">
      <c r="A353" s="130"/>
      <c r="B353" s="137"/>
      <c r="C353" s="138"/>
      <c r="D353" s="139"/>
      <c r="E353" s="138"/>
      <c r="F353" s="140"/>
      <c r="G353" s="140"/>
      <c r="H353" s="139"/>
      <c r="I353" s="138"/>
      <c r="J353" s="121"/>
      <c r="K353" s="132"/>
      <c r="L353" s="121"/>
      <c r="M353" s="96"/>
      <c r="N353" s="96"/>
      <c r="O353" s="85"/>
      <c r="P353" s="133"/>
    </row>
    <row r="354" spans="1:16" ht="15.75" customHeight="1">
      <c r="A354" s="130"/>
      <c r="B354" s="137"/>
      <c r="C354" s="138"/>
      <c r="D354" s="139"/>
      <c r="E354" s="138"/>
      <c r="F354" s="140"/>
      <c r="G354" s="140"/>
      <c r="H354" s="139"/>
      <c r="I354" s="138"/>
      <c r="J354" s="121"/>
      <c r="K354" s="132"/>
      <c r="L354" s="121"/>
      <c r="M354" s="96"/>
      <c r="N354" s="96"/>
      <c r="O354" s="85"/>
      <c r="P354" s="133"/>
    </row>
    <row r="355" spans="1:16" ht="15.75" customHeight="1">
      <c r="A355" s="130"/>
      <c r="B355" s="137"/>
      <c r="C355" s="138"/>
      <c r="D355" s="139"/>
      <c r="E355" s="138"/>
      <c r="F355" s="140"/>
      <c r="G355" s="140"/>
      <c r="H355" s="139"/>
      <c r="I355" s="138"/>
      <c r="J355" s="121"/>
      <c r="K355" s="132"/>
      <c r="L355" s="121"/>
      <c r="M355" s="96"/>
      <c r="N355" s="96"/>
      <c r="O355" s="85"/>
      <c r="P355" s="133"/>
    </row>
    <row r="356" spans="1:16" ht="15.75" customHeight="1">
      <c r="A356" s="130"/>
      <c r="B356" s="137"/>
      <c r="C356" s="138"/>
      <c r="D356" s="139"/>
      <c r="E356" s="138"/>
      <c r="F356" s="140"/>
      <c r="G356" s="140"/>
      <c r="H356" s="139"/>
      <c r="I356" s="138"/>
      <c r="J356" s="121"/>
      <c r="K356" s="132"/>
      <c r="L356" s="121"/>
      <c r="M356" s="96"/>
      <c r="N356" s="96"/>
      <c r="O356" s="85"/>
      <c r="P356" s="133"/>
    </row>
    <row r="357" spans="1:16" ht="15.75" customHeight="1">
      <c r="A357" s="130"/>
      <c r="B357" s="137"/>
      <c r="C357" s="138"/>
      <c r="D357" s="139"/>
      <c r="E357" s="138"/>
      <c r="F357" s="140"/>
      <c r="G357" s="140"/>
      <c r="H357" s="139"/>
      <c r="I357" s="138"/>
      <c r="J357" s="121"/>
      <c r="K357" s="132"/>
      <c r="L357" s="121"/>
      <c r="M357" s="96"/>
      <c r="N357" s="96"/>
      <c r="O357" s="85"/>
      <c r="P357" s="133"/>
    </row>
    <row r="358" spans="1:16" ht="15.75" customHeight="1">
      <c r="A358" s="130"/>
      <c r="B358" s="137"/>
      <c r="C358" s="138"/>
      <c r="D358" s="139"/>
      <c r="E358" s="138"/>
      <c r="F358" s="140"/>
      <c r="G358" s="140"/>
      <c r="H358" s="139"/>
      <c r="I358" s="138"/>
      <c r="J358" s="121"/>
      <c r="K358" s="132"/>
      <c r="L358" s="121"/>
      <c r="M358" s="96"/>
      <c r="N358" s="96"/>
      <c r="O358" s="85"/>
      <c r="P358" s="133"/>
    </row>
    <row r="359" spans="1:16" ht="15.75" customHeight="1">
      <c r="A359" s="130"/>
      <c r="B359" s="137"/>
      <c r="C359" s="138"/>
      <c r="D359" s="139"/>
      <c r="E359" s="138"/>
      <c r="F359" s="140"/>
      <c r="G359" s="140"/>
      <c r="H359" s="139"/>
      <c r="I359" s="138"/>
      <c r="J359" s="121"/>
      <c r="K359" s="132"/>
      <c r="L359" s="121"/>
      <c r="M359" s="96"/>
      <c r="N359" s="96"/>
      <c r="O359" s="85"/>
      <c r="P359" s="133"/>
    </row>
    <row r="360" spans="1:16" ht="15.75" customHeight="1">
      <c r="A360" s="130"/>
      <c r="B360" s="137"/>
      <c r="C360" s="138"/>
      <c r="D360" s="139"/>
      <c r="E360" s="138"/>
      <c r="F360" s="140"/>
      <c r="G360" s="140"/>
      <c r="H360" s="139"/>
      <c r="I360" s="138"/>
      <c r="J360" s="121"/>
      <c r="K360" s="132"/>
      <c r="L360" s="121"/>
      <c r="M360" s="96"/>
      <c r="N360" s="96"/>
      <c r="O360" s="85"/>
      <c r="P360" s="133"/>
    </row>
    <row r="361" spans="1:16" ht="15.75" customHeight="1">
      <c r="A361" s="130"/>
      <c r="B361" s="137"/>
      <c r="C361" s="138"/>
      <c r="D361" s="139"/>
      <c r="E361" s="138"/>
      <c r="F361" s="140"/>
      <c r="G361" s="140"/>
      <c r="H361" s="139"/>
      <c r="I361" s="138"/>
      <c r="J361" s="121"/>
      <c r="K361" s="132"/>
      <c r="L361" s="121"/>
      <c r="M361" s="96"/>
      <c r="N361" s="96"/>
      <c r="O361" s="85"/>
      <c r="P361" s="133"/>
    </row>
    <row r="362" spans="1:16" ht="15.75" customHeight="1">
      <c r="A362" s="130"/>
      <c r="B362" s="137"/>
      <c r="C362" s="138"/>
      <c r="D362" s="139"/>
      <c r="E362" s="138"/>
      <c r="F362" s="140"/>
      <c r="G362" s="140"/>
      <c r="H362" s="139"/>
      <c r="I362" s="138"/>
      <c r="J362" s="121"/>
      <c r="K362" s="132"/>
      <c r="L362" s="121"/>
      <c r="M362" s="96"/>
      <c r="N362" s="96"/>
      <c r="O362" s="85"/>
      <c r="P362" s="133"/>
    </row>
    <row r="363" spans="1:16" ht="15.75" customHeight="1">
      <c r="A363" s="130"/>
      <c r="B363" s="137"/>
      <c r="C363" s="138"/>
      <c r="D363" s="139"/>
      <c r="E363" s="138"/>
      <c r="F363" s="140"/>
      <c r="G363" s="140"/>
      <c r="H363" s="139"/>
      <c r="I363" s="138"/>
      <c r="J363" s="121"/>
      <c r="K363" s="132"/>
      <c r="L363" s="121"/>
      <c r="M363" s="96"/>
      <c r="N363" s="96"/>
      <c r="O363" s="85"/>
      <c r="P363" s="133"/>
    </row>
    <row r="364" spans="1:16" ht="15.75" customHeight="1">
      <c r="A364" s="130"/>
      <c r="B364" s="137"/>
      <c r="C364" s="138"/>
      <c r="D364" s="139"/>
      <c r="E364" s="138"/>
      <c r="F364" s="140"/>
      <c r="G364" s="140"/>
      <c r="H364" s="139"/>
      <c r="I364" s="138"/>
      <c r="J364" s="121"/>
      <c r="K364" s="132"/>
      <c r="L364" s="121"/>
      <c r="M364" s="96"/>
      <c r="N364" s="96"/>
      <c r="O364" s="85"/>
      <c r="P364" s="133"/>
    </row>
    <row r="365" spans="1:16" ht="15.75" customHeight="1">
      <c r="A365" s="130"/>
      <c r="B365" s="137"/>
      <c r="C365" s="138"/>
      <c r="D365" s="139"/>
      <c r="E365" s="138"/>
      <c r="F365" s="140"/>
      <c r="G365" s="140"/>
      <c r="H365" s="139"/>
      <c r="I365" s="138"/>
      <c r="J365" s="121"/>
      <c r="K365" s="132"/>
      <c r="L365" s="121"/>
      <c r="M365" s="96"/>
      <c r="N365" s="96"/>
      <c r="O365" s="85"/>
      <c r="P365" s="133"/>
    </row>
    <row r="366" spans="1:16" ht="15.75" customHeight="1">
      <c r="A366" s="130"/>
      <c r="B366" s="137"/>
      <c r="C366" s="138"/>
      <c r="D366" s="139"/>
      <c r="E366" s="138"/>
      <c r="F366" s="140"/>
      <c r="G366" s="140"/>
      <c r="H366" s="139"/>
      <c r="I366" s="138"/>
      <c r="J366" s="121"/>
      <c r="K366" s="132"/>
      <c r="L366" s="121"/>
      <c r="M366" s="96"/>
      <c r="N366" s="96"/>
      <c r="O366" s="85"/>
      <c r="P366" s="133"/>
    </row>
    <row r="367" spans="1:16" ht="15.75" customHeight="1">
      <c r="A367" s="130"/>
      <c r="B367" s="137"/>
      <c r="C367" s="138"/>
      <c r="D367" s="139"/>
      <c r="E367" s="138"/>
      <c r="F367" s="140"/>
      <c r="G367" s="140"/>
      <c r="H367" s="139"/>
      <c r="I367" s="138"/>
      <c r="J367" s="121"/>
      <c r="K367" s="132"/>
      <c r="L367" s="121"/>
      <c r="M367" s="96"/>
      <c r="N367" s="96"/>
      <c r="O367" s="85"/>
      <c r="P367" s="133"/>
    </row>
    <row r="368" spans="1:16" ht="15.75" customHeight="1">
      <c r="A368" s="130"/>
      <c r="B368" s="137"/>
      <c r="C368" s="138"/>
      <c r="D368" s="139"/>
      <c r="E368" s="138"/>
      <c r="F368" s="140"/>
      <c r="G368" s="140"/>
      <c r="H368" s="139"/>
      <c r="I368" s="138"/>
      <c r="J368" s="121"/>
      <c r="K368" s="132"/>
      <c r="L368" s="121"/>
      <c r="M368" s="96"/>
      <c r="N368" s="96"/>
      <c r="O368" s="85"/>
      <c r="P368" s="133"/>
    </row>
    <row r="369" spans="1:16" ht="15.75" customHeight="1">
      <c r="A369" s="130"/>
      <c r="B369" s="137"/>
      <c r="C369" s="138"/>
      <c r="D369" s="139"/>
      <c r="E369" s="138"/>
      <c r="F369" s="140"/>
      <c r="G369" s="140"/>
      <c r="H369" s="139"/>
      <c r="I369" s="138"/>
      <c r="J369" s="121"/>
      <c r="K369" s="132"/>
      <c r="L369" s="121"/>
      <c r="M369" s="96"/>
      <c r="N369" s="96"/>
      <c r="O369" s="85"/>
      <c r="P369" s="133"/>
    </row>
    <row r="370" spans="1:16" ht="15.75" customHeight="1">
      <c r="A370" s="130"/>
      <c r="B370" s="137"/>
      <c r="C370" s="138"/>
      <c r="D370" s="139"/>
      <c r="E370" s="138"/>
      <c r="F370" s="140"/>
      <c r="G370" s="140"/>
      <c r="H370" s="139"/>
      <c r="I370" s="138"/>
      <c r="J370" s="121"/>
      <c r="K370" s="132"/>
      <c r="L370" s="121"/>
      <c r="M370" s="96"/>
      <c r="N370" s="96"/>
      <c r="O370" s="85"/>
      <c r="P370" s="133"/>
    </row>
    <row r="371" spans="1:16" ht="15.75" customHeight="1">
      <c r="A371" s="130"/>
      <c r="B371" s="137"/>
      <c r="C371" s="138"/>
      <c r="D371" s="139"/>
      <c r="E371" s="138"/>
      <c r="F371" s="140"/>
      <c r="G371" s="140"/>
      <c r="H371" s="139"/>
      <c r="I371" s="138"/>
      <c r="J371" s="121"/>
      <c r="K371" s="132"/>
      <c r="L371" s="121"/>
      <c r="M371" s="96"/>
      <c r="N371" s="96"/>
      <c r="O371" s="85"/>
      <c r="P371" s="133"/>
    </row>
    <row r="372" spans="1:16" ht="15.75" customHeight="1">
      <c r="A372" s="130"/>
      <c r="B372" s="137"/>
      <c r="C372" s="138"/>
      <c r="D372" s="139"/>
      <c r="E372" s="138"/>
      <c r="F372" s="140"/>
      <c r="G372" s="140"/>
      <c r="H372" s="139"/>
      <c r="I372" s="138"/>
      <c r="J372" s="121"/>
      <c r="K372" s="132"/>
      <c r="L372" s="121"/>
      <c r="M372" s="96"/>
      <c r="N372" s="96"/>
      <c r="O372" s="85"/>
      <c r="P372" s="133"/>
    </row>
    <row r="373" spans="1:16" ht="15.75" customHeight="1">
      <c r="A373" s="130"/>
      <c r="B373" s="137"/>
      <c r="C373" s="138"/>
      <c r="D373" s="139"/>
      <c r="E373" s="138"/>
      <c r="F373" s="140"/>
      <c r="G373" s="140"/>
      <c r="H373" s="139"/>
      <c r="I373" s="138"/>
      <c r="J373" s="121"/>
      <c r="K373" s="132"/>
      <c r="L373" s="121"/>
      <c r="M373" s="96"/>
      <c r="N373" s="96"/>
      <c r="O373" s="85"/>
      <c r="P373" s="133"/>
    </row>
    <row r="374" spans="1:16" ht="15.75" customHeight="1">
      <c r="A374" s="130"/>
      <c r="B374" s="137"/>
      <c r="C374" s="138"/>
      <c r="D374" s="139"/>
      <c r="E374" s="138"/>
      <c r="F374" s="140"/>
      <c r="G374" s="140"/>
      <c r="H374" s="139"/>
      <c r="I374" s="138"/>
      <c r="J374" s="121"/>
      <c r="K374" s="132"/>
      <c r="L374" s="121"/>
      <c r="M374" s="96"/>
      <c r="N374" s="96"/>
      <c r="O374" s="85"/>
      <c r="P374" s="133"/>
    </row>
    <row r="375" spans="1:16" ht="15.75" customHeight="1">
      <c r="A375" s="130"/>
      <c r="B375" s="137"/>
      <c r="C375" s="138"/>
      <c r="D375" s="139"/>
      <c r="E375" s="138"/>
      <c r="F375" s="140"/>
      <c r="G375" s="140"/>
      <c r="H375" s="139"/>
      <c r="I375" s="138"/>
      <c r="J375" s="121"/>
      <c r="K375" s="132"/>
      <c r="L375" s="121"/>
      <c r="M375" s="96"/>
      <c r="N375" s="96"/>
      <c r="O375" s="85"/>
      <c r="P375" s="133"/>
    </row>
    <row r="376" spans="1:16" ht="15.75" customHeight="1">
      <c r="A376" s="130"/>
      <c r="B376" s="137"/>
      <c r="C376" s="138"/>
      <c r="D376" s="139"/>
      <c r="E376" s="138"/>
      <c r="F376" s="140"/>
      <c r="G376" s="140"/>
      <c r="H376" s="139"/>
      <c r="I376" s="138"/>
      <c r="J376" s="121"/>
      <c r="K376" s="132"/>
      <c r="L376" s="121"/>
      <c r="M376" s="96"/>
      <c r="N376" s="96"/>
      <c r="O376" s="85"/>
      <c r="P376" s="133"/>
    </row>
    <row r="377" spans="1:16" ht="15.75" customHeight="1">
      <c r="A377" s="130"/>
      <c r="B377" s="137"/>
      <c r="C377" s="138"/>
      <c r="D377" s="139"/>
      <c r="E377" s="138"/>
      <c r="F377" s="140"/>
      <c r="G377" s="140"/>
      <c r="H377" s="139"/>
      <c r="I377" s="138"/>
      <c r="J377" s="121"/>
      <c r="K377" s="132"/>
      <c r="L377" s="121"/>
      <c r="M377" s="96"/>
      <c r="N377" s="96"/>
      <c r="O377" s="85"/>
      <c r="P377" s="133"/>
    </row>
    <row r="378" spans="1:16" ht="15.75" customHeight="1">
      <c r="A378" s="130"/>
      <c r="B378" s="137"/>
      <c r="C378" s="138"/>
      <c r="D378" s="139"/>
      <c r="E378" s="138"/>
      <c r="F378" s="140"/>
      <c r="G378" s="140"/>
      <c r="H378" s="139"/>
      <c r="I378" s="138"/>
      <c r="J378" s="121"/>
      <c r="K378" s="132"/>
      <c r="L378" s="121"/>
      <c r="M378" s="96"/>
      <c r="N378" s="96"/>
      <c r="O378" s="85"/>
      <c r="P378" s="133"/>
    </row>
    <row r="379" spans="1:16" ht="15.75" customHeight="1">
      <c r="A379" s="130"/>
      <c r="B379" s="137"/>
      <c r="C379" s="138"/>
      <c r="D379" s="139"/>
      <c r="E379" s="138"/>
      <c r="F379" s="140"/>
      <c r="G379" s="140"/>
      <c r="H379" s="139"/>
      <c r="I379" s="138"/>
      <c r="J379" s="121"/>
      <c r="K379" s="132"/>
      <c r="L379" s="121"/>
      <c r="M379" s="96"/>
      <c r="N379" s="96"/>
      <c r="O379" s="85"/>
      <c r="P379" s="133"/>
    </row>
    <row r="380" spans="1:16" ht="15.75" customHeight="1">
      <c r="A380" s="130"/>
      <c r="B380" s="137"/>
      <c r="C380" s="138"/>
      <c r="D380" s="139"/>
      <c r="E380" s="138"/>
      <c r="F380" s="140"/>
      <c r="G380" s="140"/>
      <c r="H380" s="139"/>
      <c r="I380" s="138"/>
      <c r="J380" s="121"/>
      <c r="K380" s="132"/>
      <c r="L380" s="121"/>
      <c r="M380" s="96"/>
      <c r="N380" s="96"/>
      <c r="O380" s="85"/>
      <c r="P380" s="133"/>
    </row>
    <row r="381" spans="1:16" ht="15.75" customHeight="1">
      <c r="A381" s="130"/>
      <c r="B381" s="137"/>
      <c r="C381" s="138"/>
      <c r="D381" s="139"/>
      <c r="E381" s="138"/>
      <c r="F381" s="140"/>
      <c r="G381" s="140"/>
      <c r="H381" s="139"/>
      <c r="I381" s="138"/>
      <c r="J381" s="121"/>
      <c r="K381" s="132"/>
      <c r="L381" s="121"/>
      <c r="M381" s="96"/>
      <c r="N381" s="96"/>
      <c r="O381" s="85"/>
      <c r="P381" s="133"/>
    </row>
    <row r="382" spans="1:16" ht="15.75" customHeight="1">
      <c r="A382" s="130"/>
      <c r="B382" s="137"/>
      <c r="C382" s="138"/>
      <c r="D382" s="139"/>
      <c r="E382" s="138"/>
      <c r="F382" s="140"/>
      <c r="G382" s="140"/>
      <c r="H382" s="139"/>
      <c r="I382" s="138"/>
      <c r="J382" s="121"/>
      <c r="K382" s="132"/>
      <c r="L382" s="121"/>
      <c r="M382" s="96"/>
      <c r="N382" s="96"/>
      <c r="O382" s="85"/>
      <c r="P382" s="133"/>
    </row>
    <row r="383" spans="1:16" ht="15.75" customHeight="1">
      <c r="A383" s="130"/>
      <c r="B383" s="137"/>
      <c r="C383" s="138"/>
      <c r="D383" s="139"/>
      <c r="E383" s="138"/>
      <c r="F383" s="140"/>
      <c r="G383" s="140"/>
      <c r="H383" s="139"/>
      <c r="I383" s="138"/>
      <c r="J383" s="121"/>
      <c r="K383" s="132"/>
      <c r="L383" s="121"/>
      <c r="M383" s="96"/>
      <c r="N383" s="96"/>
      <c r="O383" s="85"/>
      <c r="P383" s="133"/>
    </row>
    <row r="384" spans="1:16" ht="15.75" customHeight="1">
      <c r="A384" s="130"/>
      <c r="B384" s="137"/>
      <c r="C384" s="138"/>
      <c r="D384" s="139"/>
      <c r="E384" s="138"/>
      <c r="F384" s="140"/>
      <c r="G384" s="140"/>
      <c r="H384" s="139"/>
      <c r="I384" s="138"/>
      <c r="J384" s="121"/>
      <c r="K384" s="132"/>
      <c r="L384" s="121"/>
      <c r="M384" s="96"/>
      <c r="N384" s="96"/>
      <c r="O384" s="85"/>
      <c r="P384" s="133"/>
    </row>
    <row r="385" spans="1:16" ht="15.75" customHeight="1">
      <c r="A385" s="130"/>
      <c r="B385" s="137"/>
      <c r="C385" s="138"/>
      <c r="D385" s="139"/>
      <c r="E385" s="138"/>
      <c r="F385" s="140"/>
      <c r="G385" s="140"/>
      <c r="H385" s="139"/>
      <c r="I385" s="138"/>
      <c r="J385" s="121"/>
      <c r="K385" s="132"/>
      <c r="L385" s="121"/>
      <c r="M385" s="96"/>
      <c r="N385" s="96"/>
      <c r="O385" s="85"/>
      <c r="P385" s="133"/>
    </row>
    <row r="386" spans="1:16" ht="15.75" customHeight="1">
      <c r="A386" s="130"/>
      <c r="B386" s="137"/>
      <c r="C386" s="138"/>
      <c r="D386" s="139"/>
      <c r="E386" s="138"/>
      <c r="F386" s="140"/>
      <c r="G386" s="140"/>
      <c r="H386" s="139"/>
      <c r="I386" s="138"/>
      <c r="J386" s="121"/>
      <c r="K386" s="132"/>
      <c r="L386" s="121"/>
      <c r="M386" s="96"/>
      <c r="N386" s="96"/>
      <c r="O386" s="85"/>
      <c r="P386" s="133"/>
    </row>
    <row r="387" spans="1:16" ht="15.75" customHeight="1">
      <c r="A387" s="130"/>
      <c r="B387" s="137"/>
      <c r="C387" s="138"/>
      <c r="D387" s="139"/>
      <c r="E387" s="138"/>
      <c r="F387" s="140"/>
      <c r="G387" s="140"/>
      <c r="H387" s="139"/>
      <c r="I387" s="138"/>
      <c r="J387" s="121"/>
      <c r="K387" s="132"/>
      <c r="L387" s="121"/>
      <c r="M387" s="96"/>
      <c r="N387" s="96"/>
      <c r="O387" s="85"/>
      <c r="P387" s="133"/>
    </row>
    <row r="388" spans="1:16" ht="15.75" customHeight="1">
      <c r="A388" s="130"/>
      <c r="B388" s="137"/>
      <c r="C388" s="138"/>
      <c r="D388" s="139"/>
      <c r="E388" s="138"/>
      <c r="F388" s="140"/>
      <c r="G388" s="140"/>
      <c r="H388" s="139"/>
      <c r="I388" s="138"/>
      <c r="J388" s="121"/>
      <c r="K388" s="132"/>
      <c r="L388" s="121"/>
      <c r="M388" s="96"/>
      <c r="N388" s="96"/>
      <c r="O388" s="85"/>
      <c r="P388" s="133"/>
    </row>
    <row r="389" spans="1:16" ht="15.75" customHeight="1">
      <c r="A389" s="130"/>
      <c r="B389" s="137"/>
      <c r="C389" s="138"/>
      <c r="D389" s="139"/>
      <c r="E389" s="138"/>
      <c r="F389" s="140"/>
      <c r="G389" s="140"/>
      <c r="H389" s="139"/>
      <c r="I389" s="138"/>
      <c r="J389" s="121"/>
      <c r="K389" s="132"/>
      <c r="L389" s="121"/>
      <c r="M389" s="96"/>
      <c r="N389" s="96"/>
      <c r="O389" s="85"/>
      <c r="P389" s="133"/>
    </row>
    <row r="390" spans="1:16" ht="15.75" customHeight="1">
      <c r="A390" s="130"/>
      <c r="B390" s="137"/>
      <c r="C390" s="138"/>
      <c r="D390" s="139"/>
      <c r="E390" s="138"/>
      <c r="F390" s="140"/>
      <c r="G390" s="140"/>
      <c r="H390" s="139"/>
      <c r="I390" s="138"/>
      <c r="J390" s="121"/>
      <c r="K390" s="132"/>
      <c r="L390" s="121"/>
      <c r="M390" s="96"/>
      <c r="N390" s="96"/>
      <c r="O390" s="85"/>
      <c r="P390" s="133"/>
    </row>
    <row r="391" spans="1:16" ht="15.75" customHeight="1">
      <c r="A391" s="130"/>
      <c r="B391" s="137"/>
      <c r="C391" s="138"/>
      <c r="D391" s="139"/>
      <c r="E391" s="138"/>
      <c r="F391" s="140"/>
      <c r="G391" s="140"/>
      <c r="H391" s="139"/>
      <c r="I391" s="138"/>
      <c r="J391" s="121"/>
      <c r="K391" s="132"/>
      <c r="L391" s="121"/>
      <c r="M391" s="96"/>
      <c r="N391" s="96"/>
      <c r="O391" s="85"/>
      <c r="P391" s="133"/>
    </row>
    <row r="392" spans="1:16" ht="15.75" customHeight="1">
      <c r="A392" s="130"/>
      <c r="B392" s="137"/>
      <c r="C392" s="138"/>
      <c r="D392" s="139"/>
      <c r="E392" s="138"/>
      <c r="F392" s="140"/>
      <c r="G392" s="140"/>
      <c r="H392" s="139"/>
      <c r="I392" s="138"/>
      <c r="J392" s="121"/>
      <c r="K392" s="132"/>
      <c r="L392" s="121"/>
      <c r="M392" s="96"/>
      <c r="N392" s="96"/>
      <c r="O392" s="85"/>
      <c r="P392" s="133"/>
    </row>
    <row r="393" spans="1:16" ht="15.75" customHeight="1">
      <c r="A393" s="130"/>
      <c r="B393" s="137"/>
      <c r="C393" s="138"/>
      <c r="D393" s="139"/>
      <c r="E393" s="138"/>
      <c r="F393" s="140"/>
      <c r="G393" s="140"/>
      <c r="H393" s="139"/>
      <c r="I393" s="138"/>
      <c r="J393" s="121"/>
      <c r="K393" s="132"/>
      <c r="L393" s="121"/>
      <c r="M393" s="96"/>
      <c r="N393" s="96"/>
      <c r="O393" s="85"/>
      <c r="P393" s="133"/>
    </row>
    <row r="394" spans="1:16" ht="15.75" customHeight="1">
      <c r="A394" s="130"/>
      <c r="B394" s="137"/>
      <c r="C394" s="138"/>
      <c r="D394" s="139"/>
      <c r="E394" s="138"/>
      <c r="F394" s="140"/>
      <c r="G394" s="140"/>
      <c r="H394" s="139"/>
      <c r="I394" s="138"/>
      <c r="J394" s="121"/>
      <c r="K394" s="132"/>
      <c r="L394" s="121"/>
      <c r="M394" s="96"/>
      <c r="N394" s="96"/>
      <c r="O394" s="85"/>
      <c r="P394" s="133"/>
    </row>
    <row r="395" spans="1:16" ht="15.75" customHeight="1">
      <c r="A395" s="130"/>
      <c r="B395" s="137"/>
      <c r="C395" s="138"/>
      <c r="D395" s="139"/>
      <c r="E395" s="138"/>
      <c r="F395" s="140"/>
      <c r="G395" s="140"/>
      <c r="H395" s="139"/>
      <c r="I395" s="138"/>
      <c r="J395" s="121"/>
      <c r="K395" s="132"/>
      <c r="L395" s="121"/>
      <c r="M395" s="96"/>
      <c r="N395" s="96"/>
      <c r="O395" s="85"/>
      <c r="P395" s="133"/>
    </row>
    <row r="396" spans="1:16" ht="15.75" customHeight="1">
      <c r="A396" s="130"/>
      <c r="B396" s="137"/>
      <c r="C396" s="138"/>
      <c r="D396" s="139"/>
      <c r="E396" s="138"/>
      <c r="F396" s="140"/>
      <c r="G396" s="140"/>
      <c r="H396" s="139"/>
      <c r="I396" s="138"/>
      <c r="J396" s="121"/>
      <c r="K396" s="132"/>
      <c r="L396" s="121"/>
      <c r="M396" s="96"/>
      <c r="N396" s="96"/>
      <c r="O396" s="85"/>
      <c r="P396" s="133"/>
    </row>
    <row r="397" spans="1:16" ht="15.75" customHeight="1">
      <c r="A397" s="130"/>
      <c r="B397" s="137"/>
      <c r="C397" s="138"/>
      <c r="D397" s="139"/>
      <c r="E397" s="138"/>
      <c r="F397" s="140"/>
      <c r="G397" s="140"/>
      <c r="H397" s="139"/>
      <c r="I397" s="138"/>
      <c r="J397" s="121"/>
      <c r="K397" s="132"/>
      <c r="L397" s="121"/>
      <c r="M397" s="96"/>
      <c r="N397" s="96"/>
      <c r="O397" s="85"/>
      <c r="P397" s="133"/>
    </row>
    <row r="398" spans="1:16" ht="15.75" customHeight="1">
      <c r="A398" s="130"/>
      <c r="B398" s="137"/>
      <c r="C398" s="138"/>
      <c r="D398" s="139"/>
      <c r="E398" s="138"/>
      <c r="F398" s="140"/>
      <c r="G398" s="140"/>
      <c r="H398" s="139"/>
      <c r="I398" s="138"/>
      <c r="J398" s="121"/>
      <c r="K398" s="132"/>
      <c r="L398" s="121"/>
      <c r="M398" s="96"/>
      <c r="N398" s="96"/>
      <c r="O398" s="85"/>
      <c r="P398" s="133"/>
    </row>
    <row r="399" spans="1:16" ht="15.75" customHeight="1">
      <c r="A399" s="130"/>
      <c r="B399" s="137"/>
      <c r="C399" s="138"/>
      <c r="D399" s="139"/>
      <c r="E399" s="138"/>
      <c r="F399" s="140"/>
      <c r="G399" s="140"/>
      <c r="H399" s="139"/>
      <c r="I399" s="138"/>
      <c r="J399" s="121"/>
      <c r="K399" s="132"/>
      <c r="L399" s="121"/>
      <c r="M399" s="96"/>
      <c r="N399" s="96"/>
      <c r="O399" s="85"/>
      <c r="P399" s="133"/>
    </row>
    <row r="400" spans="1:16" ht="15.75" customHeight="1">
      <c r="A400" s="130"/>
      <c r="B400" s="137"/>
      <c r="C400" s="138"/>
      <c r="D400" s="139"/>
      <c r="E400" s="138"/>
      <c r="F400" s="140"/>
      <c r="G400" s="140"/>
      <c r="H400" s="139"/>
      <c r="I400" s="138"/>
      <c r="J400" s="121"/>
      <c r="K400" s="132"/>
      <c r="L400" s="121"/>
      <c r="M400" s="96"/>
      <c r="N400" s="96"/>
      <c r="O400" s="85"/>
      <c r="P400" s="133"/>
    </row>
    <row r="401" spans="1:16" ht="15.75" customHeight="1">
      <c r="A401" s="130"/>
      <c r="B401" s="137"/>
      <c r="C401" s="138"/>
      <c r="D401" s="139"/>
      <c r="E401" s="138"/>
      <c r="F401" s="140"/>
      <c r="G401" s="140"/>
      <c r="H401" s="139"/>
      <c r="I401" s="138"/>
      <c r="J401" s="121"/>
      <c r="K401" s="132"/>
      <c r="L401" s="121"/>
      <c r="M401" s="96"/>
      <c r="N401" s="96"/>
      <c r="O401" s="85"/>
      <c r="P401" s="133"/>
    </row>
    <row r="402" spans="1:16" ht="15.75" customHeight="1">
      <c r="A402" s="130"/>
      <c r="B402" s="137"/>
      <c r="C402" s="138"/>
      <c r="D402" s="139"/>
      <c r="E402" s="138"/>
      <c r="F402" s="140"/>
      <c r="G402" s="140"/>
      <c r="H402" s="139"/>
      <c r="I402" s="138"/>
      <c r="J402" s="121"/>
      <c r="K402" s="132"/>
      <c r="L402" s="121"/>
      <c r="M402" s="96"/>
      <c r="N402" s="96"/>
      <c r="O402" s="85"/>
      <c r="P402" s="133"/>
    </row>
    <row r="403" spans="1:16" ht="15.75" customHeight="1">
      <c r="A403" s="130"/>
      <c r="B403" s="137"/>
      <c r="C403" s="138"/>
      <c r="D403" s="139"/>
      <c r="E403" s="138"/>
      <c r="F403" s="140"/>
      <c r="G403" s="140"/>
      <c r="H403" s="139"/>
      <c r="I403" s="138"/>
      <c r="J403" s="121"/>
      <c r="K403" s="132"/>
      <c r="L403" s="121"/>
      <c r="M403" s="96"/>
      <c r="N403" s="96"/>
      <c r="O403" s="85"/>
      <c r="P403" s="133"/>
    </row>
    <row r="404" spans="1:16" ht="15.75" customHeight="1">
      <c r="A404" s="130"/>
      <c r="B404" s="137"/>
      <c r="C404" s="138"/>
      <c r="D404" s="139"/>
      <c r="E404" s="138"/>
      <c r="F404" s="140"/>
      <c r="G404" s="140"/>
      <c r="H404" s="139"/>
      <c r="I404" s="138"/>
      <c r="J404" s="121"/>
      <c r="K404" s="132"/>
      <c r="L404" s="121"/>
      <c r="M404" s="96"/>
      <c r="N404" s="96"/>
      <c r="O404" s="85"/>
      <c r="P404" s="133"/>
    </row>
    <row r="405" spans="1:16" ht="15.75" customHeight="1">
      <c r="A405" s="130"/>
      <c r="B405" s="137"/>
      <c r="C405" s="138"/>
      <c r="D405" s="139"/>
      <c r="E405" s="138"/>
      <c r="F405" s="140"/>
      <c r="G405" s="140"/>
      <c r="H405" s="139"/>
      <c r="I405" s="138"/>
      <c r="J405" s="121"/>
      <c r="K405" s="132"/>
      <c r="L405" s="121"/>
      <c r="M405" s="96"/>
      <c r="N405" s="96"/>
      <c r="O405" s="85"/>
      <c r="P405" s="133"/>
    </row>
    <row r="406" spans="1:16" ht="15.75" customHeight="1">
      <c r="A406" s="130"/>
      <c r="B406" s="137"/>
      <c r="C406" s="138"/>
      <c r="D406" s="139"/>
      <c r="E406" s="138"/>
      <c r="F406" s="140"/>
      <c r="G406" s="140"/>
      <c r="H406" s="139"/>
      <c r="I406" s="138"/>
      <c r="J406" s="121"/>
      <c r="K406" s="132"/>
      <c r="L406" s="121"/>
      <c r="M406" s="96"/>
      <c r="N406" s="96"/>
      <c r="O406" s="85"/>
      <c r="P406" s="133"/>
    </row>
    <row r="407" spans="1:16" ht="15.75" customHeight="1">
      <c r="A407" s="130"/>
      <c r="B407" s="137"/>
      <c r="C407" s="138"/>
      <c r="D407" s="139"/>
      <c r="E407" s="138"/>
      <c r="F407" s="140"/>
      <c r="G407" s="140"/>
      <c r="H407" s="139"/>
      <c r="I407" s="138"/>
      <c r="J407" s="121"/>
      <c r="K407" s="132"/>
      <c r="L407" s="121"/>
      <c r="M407" s="96"/>
      <c r="N407" s="96"/>
      <c r="O407" s="85"/>
      <c r="P407" s="133"/>
    </row>
    <row r="408" spans="1:16" ht="15.75" customHeight="1">
      <c r="A408" s="130"/>
      <c r="B408" s="137"/>
      <c r="C408" s="138"/>
      <c r="D408" s="139"/>
      <c r="E408" s="138"/>
      <c r="F408" s="140"/>
      <c r="G408" s="140"/>
      <c r="H408" s="139"/>
      <c r="I408" s="138"/>
      <c r="J408" s="121"/>
      <c r="K408" s="132"/>
      <c r="L408" s="121"/>
      <c r="M408" s="96"/>
      <c r="N408" s="96"/>
      <c r="O408" s="85"/>
      <c r="P408" s="133"/>
    </row>
    <row r="409" spans="1:16" ht="15.75" customHeight="1">
      <c r="A409" s="130"/>
      <c r="B409" s="137"/>
      <c r="C409" s="138"/>
      <c r="D409" s="139"/>
      <c r="E409" s="138"/>
      <c r="F409" s="140"/>
      <c r="G409" s="140"/>
      <c r="H409" s="139"/>
      <c r="I409" s="138"/>
      <c r="J409" s="121"/>
      <c r="K409" s="132"/>
      <c r="L409" s="121"/>
      <c r="M409" s="96"/>
      <c r="N409" s="96"/>
      <c r="O409" s="85"/>
      <c r="P409" s="133"/>
    </row>
    <row r="410" spans="1:16" ht="15.75" customHeight="1">
      <c r="A410" s="130"/>
      <c r="B410" s="137"/>
      <c r="C410" s="138"/>
      <c r="D410" s="139"/>
      <c r="E410" s="138"/>
      <c r="F410" s="140"/>
      <c r="G410" s="140"/>
      <c r="H410" s="139"/>
      <c r="I410" s="138"/>
      <c r="J410" s="121"/>
      <c r="K410" s="132"/>
      <c r="L410" s="121"/>
      <c r="M410" s="96"/>
      <c r="N410" s="96"/>
      <c r="O410" s="85"/>
      <c r="P410" s="133"/>
    </row>
    <row r="411" spans="1:16" ht="15.75" customHeight="1">
      <c r="A411" s="130"/>
      <c r="B411" s="137"/>
      <c r="C411" s="138"/>
      <c r="D411" s="139"/>
      <c r="E411" s="138"/>
      <c r="F411" s="140"/>
      <c r="G411" s="140"/>
      <c r="H411" s="139"/>
      <c r="I411" s="138"/>
      <c r="J411" s="121"/>
      <c r="K411" s="132"/>
      <c r="L411" s="121"/>
      <c r="M411" s="96"/>
      <c r="N411" s="96"/>
      <c r="O411" s="85"/>
      <c r="P411" s="133"/>
    </row>
    <row r="412" spans="1:16" ht="15.75" customHeight="1">
      <c r="A412" s="130"/>
      <c r="B412" s="137"/>
      <c r="C412" s="138"/>
      <c r="D412" s="139"/>
      <c r="E412" s="138"/>
      <c r="F412" s="140"/>
      <c r="G412" s="140"/>
      <c r="H412" s="139"/>
      <c r="I412" s="138"/>
      <c r="J412" s="121"/>
      <c r="K412" s="132"/>
      <c r="L412" s="121"/>
      <c r="M412" s="96"/>
      <c r="N412" s="96"/>
      <c r="O412" s="85"/>
      <c r="P412" s="133"/>
    </row>
    <row r="413" spans="1:16" ht="15.75" customHeight="1">
      <c r="A413" s="130"/>
      <c r="B413" s="137"/>
      <c r="C413" s="138"/>
      <c r="D413" s="139"/>
      <c r="E413" s="138"/>
      <c r="F413" s="140"/>
      <c r="G413" s="140"/>
      <c r="H413" s="139"/>
      <c r="I413" s="138"/>
      <c r="J413" s="121"/>
      <c r="K413" s="132"/>
      <c r="L413" s="121"/>
      <c r="M413" s="96"/>
      <c r="N413" s="96"/>
      <c r="O413" s="85"/>
      <c r="P413" s="133"/>
    </row>
    <row r="414" spans="1:16" ht="15.75" customHeight="1">
      <c r="A414" s="130"/>
      <c r="B414" s="137"/>
      <c r="C414" s="138"/>
      <c r="D414" s="139"/>
      <c r="E414" s="138"/>
      <c r="F414" s="140"/>
      <c r="G414" s="140"/>
      <c r="H414" s="139"/>
      <c r="I414" s="138"/>
      <c r="J414" s="121"/>
      <c r="K414" s="132"/>
      <c r="L414" s="121"/>
      <c r="M414" s="96"/>
      <c r="N414" s="96"/>
      <c r="O414" s="85"/>
      <c r="P414" s="133"/>
    </row>
    <row r="415" spans="1:16" ht="15.75" customHeight="1">
      <c r="A415" s="130"/>
      <c r="B415" s="137"/>
      <c r="C415" s="138"/>
      <c r="D415" s="139"/>
      <c r="E415" s="138"/>
      <c r="F415" s="140"/>
      <c r="G415" s="140"/>
      <c r="H415" s="139"/>
      <c r="I415" s="138"/>
      <c r="J415" s="121"/>
      <c r="K415" s="132"/>
      <c r="L415" s="121"/>
      <c r="M415" s="96"/>
      <c r="N415" s="96"/>
      <c r="O415" s="85"/>
      <c r="P415" s="133"/>
    </row>
    <row r="416" spans="1:16" ht="15.75" customHeight="1">
      <c r="A416" s="130"/>
      <c r="B416" s="137"/>
      <c r="C416" s="138"/>
      <c r="D416" s="139"/>
      <c r="E416" s="138"/>
      <c r="F416" s="140"/>
      <c r="G416" s="140"/>
      <c r="H416" s="139"/>
      <c r="I416" s="138"/>
      <c r="J416" s="121"/>
      <c r="K416" s="132"/>
      <c r="L416" s="121"/>
      <c r="M416" s="96"/>
      <c r="N416" s="96"/>
      <c r="O416" s="85"/>
      <c r="P416" s="133"/>
    </row>
    <row r="417" spans="1:16" ht="15.75" customHeight="1">
      <c r="A417" s="130"/>
      <c r="B417" s="137"/>
      <c r="C417" s="138"/>
      <c r="D417" s="139"/>
      <c r="E417" s="138"/>
      <c r="F417" s="140"/>
      <c r="G417" s="140"/>
      <c r="H417" s="139"/>
      <c r="I417" s="138"/>
      <c r="J417" s="121"/>
      <c r="K417" s="132"/>
      <c r="L417" s="121"/>
      <c r="M417" s="96"/>
      <c r="N417" s="96"/>
      <c r="O417" s="85"/>
      <c r="P417" s="133"/>
    </row>
    <row r="418" spans="1:16" ht="15.75" customHeight="1">
      <c r="A418" s="130"/>
      <c r="B418" s="137"/>
      <c r="C418" s="138"/>
      <c r="D418" s="139"/>
      <c r="E418" s="138"/>
      <c r="F418" s="140"/>
      <c r="G418" s="140"/>
      <c r="H418" s="139"/>
      <c r="I418" s="138"/>
      <c r="J418" s="121"/>
      <c r="K418" s="132"/>
      <c r="L418" s="121"/>
      <c r="M418" s="96"/>
      <c r="N418" s="96"/>
      <c r="O418" s="85"/>
      <c r="P418" s="133"/>
    </row>
    <row r="419" spans="1:16" ht="15.75" customHeight="1">
      <c r="A419" s="130"/>
      <c r="B419" s="137"/>
      <c r="C419" s="138"/>
      <c r="D419" s="139"/>
      <c r="E419" s="138"/>
      <c r="F419" s="140"/>
      <c r="G419" s="140"/>
      <c r="H419" s="139"/>
      <c r="I419" s="138"/>
      <c r="J419" s="121"/>
      <c r="K419" s="132"/>
      <c r="L419" s="121"/>
      <c r="M419" s="96"/>
      <c r="N419" s="96"/>
      <c r="O419" s="85"/>
      <c r="P419" s="133"/>
    </row>
    <row r="420" spans="1:16" ht="15.75" customHeight="1">
      <c r="A420" s="130"/>
      <c r="B420" s="137"/>
      <c r="C420" s="138"/>
      <c r="D420" s="139"/>
      <c r="E420" s="138"/>
      <c r="F420" s="140"/>
      <c r="G420" s="140"/>
      <c r="H420" s="139"/>
      <c r="I420" s="138"/>
      <c r="J420" s="121"/>
      <c r="K420" s="132"/>
      <c r="L420" s="121"/>
      <c r="M420" s="96"/>
      <c r="N420" s="96"/>
      <c r="O420" s="85"/>
      <c r="P420" s="133"/>
    </row>
    <row r="421" spans="1:16" ht="15.75" customHeight="1">
      <c r="A421" s="130"/>
      <c r="B421" s="137"/>
      <c r="C421" s="138"/>
      <c r="D421" s="139"/>
      <c r="E421" s="138"/>
      <c r="F421" s="140"/>
      <c r="G421" s="140"/>
      <c r="H421" s="139"/>
      <c r="I421" s="138"/>
      <c r="J421" s="121"/>
      <c r="K421" s="132"/>
      <c r="L421" s="121"/>
      <c r="M421" s="96"/>
      <c r="N421" s="96"/>
      <c r="O421" s="85"/>
      <c r="P421" s="133"/>
    </row>
    <row r="422" spans="1:16" ht="15.75" customHeight="1">
      <c r="A422" s="130"/>
      <c r="B422" s="137"/>
      <c r="C422" s="138"/>
      <c r="D422" s="139"/>
      <c r="E422" s="138"/>
      <c r="F422" s="140"/>
      <c r="G422" s="140"/>
      <c r="H422" s="139"/>
      <c r="I422" s="138"/>
      <c r="J422" s="121"/>
      <c r="K422" s="132"/>
      <c r="L422" s="121"/>
      <c r="M422" s="96"/>
      <c r="N422" s="96"/>
      <c r="O422" s="85"/>
      <c r="P422" s="133"/>
    </row>
    <row r="423" spans="1:16" ht="15.75" customHeight="1">
      <c r="A423" s="130"/>
      <c r="B423" s="137"/>
      <c r="C423" s="138"/>
      <c r="D423" s="139"/>
      <c r="E423" s="138"/>
      <c r="F423" s="140"/>
      <c r="G423" s="140"/>
      <c r="H423" s="139"/>
      <c r="I423" s="138"/>
      <c r="J423" s="121"/>
      <c r="K423" s="132"/>
      <c r="L423" s="121"/>
      <c r="M423" s="96"/>
      <c r="N423" s="96"/>
      <c r="O423" s="85"/>
      <c r="P423" s="133"/>
    </row>
    <row r="424" spans="1:16" ht="15.75" customHeight="1">
      <c r="A424" s="130"/>
      <c r="B424" s="137"/>
      <c r="C424" s="138"/>
      <c r="D424" s="139"/>
      <c r="E424" s="138"/>
      <c r="F424" s="140"/>
      <c r="G424" s="140"/>
      <c r="H424" s="139"/>
      <c r="I424" s="138"/>
      <c r="J424" s="121"/>
      <c r="K424" s="132"/>
      <c r="L424" s="121"/>
      <c r="M424" s="96"/>
      <c r="N424" s="96"/>
      <c r="O424" s="85"/>
      <c r="P424" s="133"/>
    </row>
    <row r="425" spans="1:16" ht="15.75" customHeight="1">
      <c r="A425" s="130"/>
      <c r="B425" s="137"/>
      <c r="C425" s="138"/>
      <c r="D425" s="139"/>
      <c r="E425" s="138"/>
      <c r="F425" s="140"/>
      <c r="G425" s="140"/>
      <c r="H425" s="139"/>
      <c r="I425" s="138"/>
      <c r="J425" s="121"/>
      <c r="K425" s="132"/>
      <c r="L425" s="121"/>
      <c r="M425" s="96"/>
      <c r="N425" s="96"/>
      <c r="O425" s="85"/>
      <c r="P425" s="133"/>
    </row>
    <row r="426" spans="1:16" ht="15.75" customHeight="1">
      <c r="A426" s="130"/>
      <c r="B426" s="137"/>
      <c r="C426" s="138"/>
      <c r="D426" s="139"/>
      <c r="E426" s="138"/>
      <c r="F426" s="140"/>
      <c r="G426" s="140"/>
      <c r="H426" s="139"/>
      <c r="I426" s="138"/>
      <c r="J426" s="121"/>
      <c r="K426" s="132"/>
      <c r="L426" s="121"/>
      <c r="M426" s="96"/>
      <c r="N426" s="96"/>
      <c r="O426" s="85"/>
      <c r="P426" s="133"/>
    </row>
    <row r="427" spans="1:16" ht="15.75" customHeight="1">
      <c r="A427" s="130"/>
      <c r="B427" s="137"/>
      <c r="C427" s="138"/>
      <c r="D427" s="139"/>
      <c r="E427" s="138"/>
      <c r="F427" s="140"/>
      <c r="G427" s="140"/>
      <c r="H427" s="139"/>
      <c r="I427" s="138"/>
      <c r="J427" s="121"/>
      <c r="K427" s="132"/>
      <c r="L427" s="121"/>
      <c r="M427" s="96"/>
      <c r="N427" s="96"/>
      <c r="O427" s="85"/>
      <c r="P427" s="133"/>
    </row>
    <row r="428" spans="1:16" ht="15.75" customHeight="1">
      <c r="A428" s="130"/>
      <c r="B428" s="137"/>
      <c r="C428" s="138"/>
      <c r="D428" s="139"/>
      <c r="E428" s="138"/>
      <c r="F428" s="140"/>
      <c r="G428" s="140"/>
      <c r="H428" s="139"/>
      <c r="I428" s="138"/>
      <c r="J428" s="121"/>
      <c r="K428" s="132"/>
      <c r="L428" s="121"/>
      <c r="M428" s="96"/>
      <c r="N428" s="96"/>
      <c r="O428" s="85"/>
      <c r="P428" s="133"/>
    </row>
    <row r="429" spans="1:16" ht="15.75" customHeight="1">
      <c r="A429" s="130"/>
      <c r="B429" s="137"/>
      <c r="C429" s="138"/>
      <c r="D429" s="139"/>
      <c r="E429" s="138"/>
      <c r="F429" s="140"/>
      <c r="G429" s="140"/>
      <c r="H429" s="139"/>
      <c r="I429" s="138"/>
      <c r="J429" s="121"/>
      <c r="K429" s="132"/>
      <c r="L429" s="121"/>
      <c r="M429" s="96"/>
      <c r="N429" s="96"/>
      <c r="O429" s="85"/>
      <c r="P429" s="133"/>
    </row>
    <row r="430" spans="1:16" ht="15.75" customHeight="1">
      <c r="A430" s="130"/>
      <c r="B430" s="137"/>
      <c r="C430" s="138"/>
      <c r="D430" s="139"/>
      <c r="E430" s="138"/>
      <c r="F430" s="140"/>
      <c r="G430" s="140"/>
      <c r="H430" s="139"/>
      <c r="I430" s="138"/>
      <c r="J430" s="121"/>
      <c r="K430" s="132"/>
      <c r="L430" s="121"/>
      <c r="M430" s="96"/>
      <c r="N430" s="96"/>
      <c r="O430" s="85"/>
      <c r="P430" s="133"/>
    </row>
    <row r="431" spans="1:16" ht="15.75" customHeight="1">
      <c r="A431" s="130"/>
      <c r="B431" s="137"/>
      <c r="C431" s="138"/>
      <c r="D431" s="139"/>
      <c r="E431" s="138"/>
      <c r="F431" s="140"/>
      <c r="G431" s="140"/>
      <c r="H431" s="139"/>
      <c r="I431" s="138"/>
      <c r="J431" s="121"/>
      <c r="K431" s="132"/>
      <c r="L431" s="121"/>
      <c r="M431" s="96"/>
      <c r="N431" s="96"/>
      <c r="O431" s="85"/>
      <c r="P431" s="133"/>
    </row>
    <row r="432" spans="1:16" ht="15.75" customHeight="1">
      <c r="A432" s="130"/>
      <c r="B432" s="137"/>
      <c r="C432" s="138"/>
      <c r="D432" s="139"/>
      <c r="E432" s="138"/>
      <c r="F432" s="140"/>
      <c r="G432" s="140"/>
      <c r="H432" s="139"/>
      <c r="I432" s="138"/>
      <c r="J432" s="121"/>
      <c r="K432" s="132"/>
      <c r="L432" s="121"/>
      <c r="M432" s="96"/>
      <c r="N432" s="96"/>
      <c r="O432" s="85"/>
      <c r="P432" s="133"/>
    </row>
    <row r="433" spans="1:16" ht="15.75" customHeight="1">
      <c r="A433" s="130"/>
      <c r="B433" s="137"/>
      <c r="C433" s="138"/>
      <c r="D433" s="139"/>
      <c r="E433" s="138"/>
      <c r="F433" s="140"/>
      <c r="G433" s="140"/>
      <c r="H433" s="139"/>
      <c r="I433" s="138"/>
      <c r="J433" s="121"/>
      <c r="K433" s="132"/>
      <c r="L433" s="121"/>
      <c r="M433" s="96"/>
      <c r="N433" s="96"/>
      <c r="O433" s="85"/>
      <c r="P433" s="133"/>
    </row>
    <row r="434" spans="1:16" ht="15.75" customHeight="1">
      <c r="A434" s="130"/>
      <c r="B434" s="137"/>
      <c r="C434" s="138"/>
      <c r="D434" s="139"/>
      <c r="E434" s="138"/>
      <c r="F434" s="140"/>
      <c r="G434" s="140"/>
      <c r="H434" s="139"/>
      <c r="I434" s="138"/>
      <c r="J434" s="121"/>
      <c r="K434" s="132"/>
      <c r="L434" s="121"/>
      <c r="M434" s="96"/>
      <c r="N434" s="96"/>
      <c r="O434" s="85"/>
      <c r="P434" s="133"/>
    </row>
    <row r="435" spans="1:16" ht="15.75" customHeight="1">
      <c r="A435" s="130"/>
      <c r="B435" s="137"/>
      <c r="C435" s="138"/>
      <c r="D435" s="139"/>
      <c r="E435" s="138"/>
      <c r="F435" s="140"/>
      <c r="G435" s="140"/>
      <c r="H435" s="139"/>
      <c r="I435" s="138"/>
      <c r="J435" s="121"/>
      <c r="K435" s="132"/>
      <c r="L435" s="121"/>
      <c r="M435" s="96"/>
      <c r="N435" s="96"/>
      <c r="O435" s="85"/>
      <c r="P435" s="133"/>
    </row>
    <row r="436" spans="1:16" ht="15.75" customHeight="1">
      <c r="A436" s="130"/>
      <c r="B436" s="137"/>
      <c r="C436" s="138"/>
      <c r="D436" s="139"/>
      <c r="E436" s="138"/>
      <c r="F436" s="140"/>
      <c r="G436" s="140"/>
      <c r="H436" s="139"/>
      <c r="I436" s="138"/>
      <c r="J436" s="121"/>
      <c r="K436" s="132"/>
      <c r="L436" s="121"/>
      <c r="M436" s="96"/>
      <c r="N436" s="96"/>
      <c r="O436" s="85"/>
      <c r="P436" s="133"/>
    </row>
    <row r="437" spans="1:16" ht="15.75" customHeight="1">
      <c r="A437" s="130"/>
      <c r="B437" s="137"/>
      <c r="C437" s="138"/>
      <c r="D437" s="139"/>
      <c r="E437" s="138"/>
      <c r="F437" s="140"/>
      <c r="G437" s="140"/>
      <c r="H437" s="139"/>
      <c r="I437" s="138"/>
      <c r="J437" s="121"/>
      <c r="K437" s="132"/>
      <c r="L437" s="121"/>
      <c r="M437" s="96"/>
      <c r="N437" s="96"/>
      <c r="O437" s="85"/>
      <c r="P437" s="133"/>
    </row>
    <row r="438" spans="1:16" ht="15.75" customHeight="1">
      <c r="A438" s="130"/>
      <c r="B438" s="137"/>
      <c r="C438" s="138"/>
      <c r="D438" s="139"/>
      <c r="E438" s="138"/>
      <c r="F438" s="140"/>
      <c r="G438" s="140"/>
      <c r="H438" s="139"/>
      <c r="I438" s="138"/>
      <c r="J438" s="121"/>
      <c r="K438" s="132"/>
      <c r="L438" s="121"/>
      <c r="M438" s="96"/>
      <c r="N438" s="96"/>
      <c r="O438" s="85"/>
      <c r="P438" s="133"/>
    </row>
    <row r="439" spans="1:16" ht="15.75" customHeight="1">
      <c r="A439" s="130"/>
      <c r="B439" s="137"/>
      <c r="C439" s="138"/>
      <c r="D439" s="139"/>
      <c r="E439" s="138"/>
      <c r="F439" s="140"/>
      <c r="G439" s="140"/>
      <c r="H439" s="139"/>
      <c r="I439" s="138"/>
      <c r="J439" s="121"/>
      <c r="K439" s="132"/>
      <c r="L439" s="121"/>
      <c r="M439" s="96"/>
      <c r="N439" s="96"/>
      <c r="O439" s="85"/>
      <c r="P439" s="133"/>
    </row>
    <row r="440" spans="1:16" ht="15.75" customHeight="1">
      <c r="A440" s="130"/>
      <c r="B440" s="137"/>
      <c r="C440" s="138"/>
      <c r="D440" s="139"/>
      <c r="E440" s="138"/>
      <c r="F440" s="140"/>
      <c r="G440" s="140"/>
      <c r="H440" s="139"/>
      <c r="I440" s="138"/>
      <c r="J440" s="121"/>
      <c r="K440" s="132"/>
      <c r="L440" s="121"/>
      <c r="M440" s="96"/>
      <c r="N440" s="96"/>
      <c r="O440" s="85"/>
      <c r="P440" s="133"/>
    </row>
    <row r="441" spans="1:16" ht="15.75" customHeight="1">
      <c r="A441" s="130"/>
      <c r="B441" s="137"/>
      <c r="C441" s="138"/>
      <c r="D441" s="139"/>
      <c r="E441" s="138"/>
      <c r="F441" s="140"/>
      <c r="G441" s="140"/>
      <c r="H441" s="139"/>
      <c r="I441" s="138"/>
      <c r="J441" s="121"/>
      <c r="K441" s="132"/>
      <c r="L441" s="121"/>
      <c r="M441" s="96"/>
      <c r="N441" s="96"/>
      <c r="O441" s="85"/>
      <c r="P441" s="133"/>
    </row>
    <row r="442" spans="1:16" ht="15.75" customHeight="1">
      <c r="A442" s="130"/>
      <c r="B442" s="137"/>
      <c r="C442" s="138"/>
      <c r="D442" s="139"/>
      <c r="E442" s="138"/>
      <c r="F442" s="140"/>
      <c r="G442" s="140"/>
      <c r="H442" s="139"/>
      <c r="I442" s="138"/>
      <c r="J442" s="121"/>
      <c r="K442" s="132"/>
      <c r="L442" s="121"/>
      <c r="M442" s="96"/>
      <c r="N442" s="96"/>
      <c r="O442" s="85"/>
      <c r="P442" s="133"/>
    </row>
    <row r="443" spans="1:16" ht="15.75" customHeight="1">
      <c r="A443" s="130"/>
      <c r="B443" s="137"/>
      <c r="C443" s="138"/>
      <c r="D443" s="139"/>
      <c r="E443" s="138"/>
      <c r="F443" s="140"/>
      <c r="G443" s="140"/>
      <c r="H443" s="139"/>
      <c r="I443" s="138"/>
      <c r="J443" s="121"/>
      <c r="K443" s="132"/>
      <c r="L443" s="121"/>
      <c r="M443" s="96"/>
      <c r="N443" s="96"/>
      <c r="O443" s="85"/>
      <c r="P443" s="133"/>
    </row>
    <row r="444" spans="1:16" ht="15.75" customHeight="1">
      <c r="A444" s="130"/>
      <c r="B444" s="137"/>
      <c r="C444" s="138"/>
      <c r="D444" s="139"/>
      <c r="E444" s="138"/>
      <c r="F444" s="140"/>
      <c r="G444" s="140"/>
      <c r="H444" s="139"/>
      <c r="I444" s="138"/>
      <c r="J444" s="121"/>
      <c r="K444" s="132"/>
      <c r="L444" s="121"/>
      <c r="M444" s="96"/>
      <c r="N444" s="96"/>
      <c r="O444" s="85"/>
      <c r="P444" s="133"/>
    </row>
    <row r="445" spans="1:16" ht="15.75" customHeight="1">
      <c r="A445" s="130"/>
      <c r="B445" s="137"/>
      <c r="C445" s="138"/>
      <c r="D445" s="139"/>
      <c r="E445" s="138"/>
      <c r="F445" s="140"/>
      <c r="G445" s="140"/>
      <c r="H445" s="139"/>
      <c r="I445" s="138"/>
      <c r="J445" s="121"/>
      <c r="K445" s="132"/>
      <c r="L445" s="121"/>
      <c r="M445" s="96"/>
      <c r="N445" s="96"/>
      <c r="O445" s="85"/>
      <c r="P445" s="133"/>
    </row>
    <row r="446" spans="1:16" ht="15.75" customHeight="1">
      <c r="A446" s="130"/>
      <c r="B446" s="137"/>
      <c r="C446" s="138"/>
      <c r="D446" s="139"/>
      <c r="E446" s="138"/>
      <c r="F446" s="140"/>
      <c r="G446" s="140"/>
      <c r="H446" s="139"/>
      <c r="I446" s="138"/>
      <c r="J446" s="121"/>
      <c r="K446" s="132"/>
      <c r="L446" s="121"/>
      <c r="M446" s="96"/>
      <c r="N446" s="96"/>
      <c r="O446" s="85"/>
      <c r="P446" s="133"/>
    </row>
    <row r="447" spans="1:16" ht="15.75" customHeight="1">
      <c r="A447" s="130"/>
      <c r="B447" s="137"/>
      <c r="C447" s="138"/>
      <c r="D447" s="139"/>
      <c r="E447" s="138"/>
      <c r="F447" s="140"/>
      <c r="G447" s="140"/>
      <c r="H447" s="139"/>
      <c r="I447" s="138"/>
      <c r="J447" s="121"/>
      <c r="K447" s="132"/>
      <c r="L447" s="121"/>
      <c r="M447" s="96"/>
      <c r="N447" s="96"/>
      <c r="O447" s="85"/>
      <c r="P447" s="133"/>
    </row>
    <row r="448" spans="1:16" ht="15.75" customHeight="1">
      <c r="A448" s="130"/>
      <c r="B448" s="137"/>
      <c r="C448" s="138"/>
      <c r="D448" s="139"/>
      <c r="E448" s="138"/>
      <c r="F448" s="140"/>
      <c r="G448" s="140"/>
      <c r="H448" s="139"/>
      <c r="I448" s="138"/>
      <c r="J448" s="121"/>
      <c r="K448" s="132"/>
      <c r="L448" s="121"/>
      <c r="M448" s="96"/>
      <c r="N448" s="96"/>
      <c r="O448" s="85"/>
      <c r="P448" s="133"/>
    </row>
    <row r="449" spans="1:16" ht="15.75" customHeight="1">
      <c r="A449" s="130"/>
      <c r="B449" s="137"/>
      <c r="C449" s="138"/>
      <c r="D449" s="139"/>
      <c r="E449" s="138"/>
      <c r="F449" s="140"/>
      <c r="G449" s="140"/>
      <c r="H449" s="139"/>
      <c r="I449" s="138"/>
      <c r="J449" s="121"/>
      <c r="K449" s="132"/>
      <c r="L449" s="121"/>
      <c r="M449" s="96"/>
      <c r="N449" s="96"/>
      <c r="O449" s="85"/>
      <c r="P449" s="133"/>
    </row>
    <row r="450" spans="1:16" ht="15.75" customHeight="1">
      <c r="A450" s="130"/>
      <c r="B450" s="137"/>
      <c r="C450" s="138"/>
      <c r="D450" s="139"/>
      <c r="E450" s="138"/>
      <c r="F450" s="140"/>
      <c r="G450" s="140"/>
      <c r="H450" s="139"/>
      <c r="I450" s="138"/>
      <c r="J450" s="121"/>
      <c r="K450" s="132"/>
      <c r="L450" s="121"/>
      <c r="M450" s="96"/>
      <c r="N450" s="96"/>
      <c r="O450" s="85"/>
      <c r="P450" s="133"/>
    </row>
    <row r="451" spans="1:16" ht="15.75" customHeight="1">
      <c r="A451" s="130"/>
      <c r="B451" s="137"/>
      <c r="C451" s="138"/>
      <c r="D451" s="139"/>
      <c r="E451" s="138"/>
      <c r="F451" s="140"/>
      <c r="G451" s="140"/>
      <c r="H451" s="139"/>
      <c r="I451" s="138"/>
      <c r="J451" s="121"/>
      <c r="K451" s="132"/>
      <c r="L451" s="121"/>
      <c r="M451" s="96"/>
      <c r="N451" s="96"/>
      <c r="O451" s="85"/>
      <c r="P451" s="133"/>
    </row>
    <row r="452" spans="1:16" ht="15.75" customHeight="1">
      <c r="A452" s="130"/>
      <c r="B452" s="137"/>
      <c r="C452" s="138"/>
      <c r="D452" s="139"/>
      <c r="E452" s="138"/>
      <c r="F452" s="140"/>
      <c r="G452" s="140"/>
      <c r="H452" s="139"/>
      <c r="I452" s="138"/>
      <c r="J452" s="121"/>
      <c r="K452" s="132"/>
      <c r="L452" s="121"/>
      <c r="M452" s="96"/>
      <c r="N452" s="96"/>
      <c r="O452" s="85"/>
      <c r="P452" s="133"/>
    </row>
    <row r="453" spans="1:16" ht="15.75" customHeight="1">
      <c r="A453" s="130"/>
      <c r="B453" s="137"/>
      <c r="C453" s="138"/>
      <c r="D453" s="139"/>
      <c r="E453" s="138"/>
      <c r="F453" s="140"/>
      <c r="G453" s="140"/>
      <c r="H453" s="139"/>
      <c r="I453" s="138"/>
      <c r="J453" s="121"/>
      <c r="K453" s="132"/>
      <c r="L453" s="121"/>
      <c r="M453" s="96"/>
      <c r="N453" s="96"/>
      <c r="O453" s="85"/>
      <c r="P453" s="133"/>
    </row>
    <row r="454" spans="1:16" ht="15.75" customHeight="1">
      <c r="A454" s="130"/>
      <c r="B454" s="137"/>
      <c r="C454" s="138"/>
      <c r="D454" s="139"/>
      <c r="E454" s="138"/>
      <c r="F454" s="140"/>
      <c r="G454" s="140"/>
      <c r="H454" s="139"/>
      <c r="I454" s="138"/>
      <c r="J454" s="121"/>
      <c r="K454" s="132"/>
      <c r="L454" s="121"/>
      <c r="M454" s="96"/>
      <c r="N454" s="96"/>
      <c r="O454" s="85"/>
      <c r="P454" s="133"/>
    </row>
    <row r="455" spans="1:16" ht="15.75" customHeight="1">
      <c r="A455" s="130"/>
      <c r="B455" s="137"/>
      <c r="C455" s="138"/>
      <c r="D455" s="139"/>
      <c r="E455" s="138"/>
      <c r="F455" s="140"/>
      <c r="G455" s="140"/>
      <c r="H455" s="139"/>
      <c r="I455" s="138"/>
      <c r="J455" s="121"/>
      <c r="K455" s="132"/>
      <c r="L455" s="121"/>
      <c r="M455" s="96"/>
      <c r="N455" s="96"/>
      <c r="O455" s="85"/>
      <c r="P455" s="133"/>
    </row>
    <row r="456" spans="1:16" ht="15.75" customHeight="1">
      <c r="A456" s="130"/>
      <c r="B456" s="137"/>
      <c r="C456" s="138"/>
      <c r="D456" s="139"/>
      <c r="E456" s="138"/>
      <c r="F456" s="140"/>
      <c r="G456" s="140"/>
      <c r="H456" s="139"/>
      <c r="I456" s="138"/>
      <c r="J456" s="121"/>
      <c r="K456" s="132"/>
      <c r="L456" s="121"/>
      <c r="M456" s="96"/>
      <c r="N456" s="96"/>
      <c r="O456" s="85"/>
      <c r="P456" s="133"/>
    </row>
    <row r="457" spans="1:16" ht="15.75" customHeight="1">
      <c r="A457" s="130"/>
      <c r="B457" s="137"/>
      <c r="C457" s="138"/>
      <c r="D457" s="139"/>
      <c r="E457" s="138"/>
      <c r="F457" s="140"/>
      <c r="G457" s="140"/>
      <c r="H457" s="139"/>
      <c r="I457" s="138"/>
      <c r="J457" s="121"/>
      <c r="K457" s="132"/>
      <c r="L457" s="121"/>
      <c r="M457" s="96"/>
      <c r="N457" s="96"/>
      <c r="O457" s="85"/>
      <c r="P457" s="133"/>
    </row>
    <row r="458" spans="1:16" ht="15.75" customHeight="1">
      <c r="A458" s="130"/>
      <c r="B458" s="137"/>
      <c r="C458" s="138"/>
      <c r="D458" s="139"/>
      <c r="E458" s="138"/>
      <c r="F458" s="140"/>
      <c r="G458" s="140"/>
      <c r="H458" s="139"/>
      <c r="I458" s="138"/>
      <c r="J458" s="121"/>
      <c r="K458" s="132"/>
      <c r="L458" s="121"/>
      <c r="M458" s="96"/>
      <c r="N458" s="96"/>
      <c r="O458" s="85"/>
      <c r="P458" s="133"/>
    </row>
    <row r="459" spans="1:16" ht="15.75" customHeight="1">
      <c r="A459" s="130"/>
      <c r="B459" s="137"/>
      <c r="C459" s="138"/>
      <c r="D459" s="139"/>
      <c r="E459" s="138"/>
      <c r="F459" s="140"/>
      <c r="G459" s="140"/>
      <c r="H459" s="139"/>
      <c r="I459" s="138"/>
      <c r="J459" s="121"/>
      <c r="K459" s="132"/>
      <c r="L459" s="121"/>
      <c r="M459" s="96"/>
      <c r="N459" s="96"/>
      <c r="O459" s="85"/>
      <c r="P459" s="133"/>
    </row>
    <row r="460" spans="1:16" ht="15.75" customHeight="1">
      <c r="A460" s="130"/>
      <c r="B460" s="137"/>
      <c r="C460" s="138"/>
      <c r="D460" s="139"/>
      <c r="E460" s="138"/>
      <c r="F460" s="140"/>
      <c r="G460" s="140"/>
      <c r="H460" s="139"/>
      <c r="I460" s="138"/>
      <c r="J460" s="121"/>
      <c r="K460" s="132"/>
      <c r="L460" s="121"/>
      <c r="M460" s="96"/>
      <c r="N460" s="96"/>
      <c r="O460" s="85"/>
      <c r="P460" s="133"/>
    </row>
    <row r="461" spans="1:16" ht="15.75" customHeight="1">
      <c r="A461" s="130"/>
      <c r="B461" s="137"/>
      <c r="C461" s="138"/>
      <c r="D461" s="139"/>
      <c r="E461" s="138"/>
      <c r="F461" s="140"/>
      <c r="G461" s="140"/>
      <c r="H461" s="139"/>
      <c r="I461" s="138"/>
      <c r="J461" s="121"/>
      <c r="K461" s="132"/>
      <c r="L461" s="121"/>
      <c r="M461" s="96"/>
      <c r="N461" s="96"/>
      <c r="O461" s="85"/>
      <c r="P461" s="133"/>
    </row>
    <row r="462" spans="1:16" ht="15.75" customHeight="1">
      <c r="A462" s="130"/>
      <c r="B462" s="137"/>
      <c r="C462" s="138"/>
      <c r="D462" s="139"/>
      <c r="E462" s="138"/>
      <c r="F462" s="140"/>
      <c r="G462" s="140"/>
      <c r="H462" s="139"/>
      <c r="I462" s="138"/>
      <c r="J462" s="121"/>
      <c r="K462" s="132"/>
      <c r="L462" s="121"/>
      <c r="M462" s="96"/>
      <c r="N462" s="96"/>
      <c r="O462" s="85"/>
      <c r="P462" s="133"/>
    </row>
    <row r="463" spans="1:16" ht="15.75" customHeight="1">
      <c r="A463" s="130"/>
      <c r="B463" s="137"/>
      <c r="C463" s="138"/>
      <c r="D463" s="139"/>
      <c r="E463" s="138"/>
      <c r="F463" s="140"/>
      <c r="G463" s="140"/>
      <c r="H463" s="139"/>
      <c r="I463" s="138"/>
      <c r="J463" s="121"/>
      <c r="K463" s="132"/>
      <c r="L463" s="121"/>
      <c r="M463" s="96"/>
      <c r="N463" s="96"/>
      <c r="O463" s="85"/>
      <c r="P463" s="133"/>
    </row>
    <row r="464" spans="1:16" ht="15.75" customHeight="1">
      <c r="A464" s="130"/>
      <c r="B464" s="137"/>
      <c r="C464" s="138"/>
      <c r="D464" s="139"/>
      <c r="E464" s="138"/>
      <c r="F464" s="140"/>
      <c r="G464" s="140"/>
      <c r="H464" s="139"/>
      <c r="I464" s="138"/>
      <c r="J464" s="121"/>
      <c r="K464" s="132"/>
      <c r="L464" s="121"/>
      <c r="M464" s="96"/>
      <c r="N464" s="96"/>
      <c r="O464" s="85"/>
      <c r="P464" s="133"/>
    </row>
    <row r="465" spans="1:16" ht="15.75" customHeight="1">
      <c r="A465" s="130"/>
      <c r="B465" s="137"/>
      <c r="C465" s="138"/>
      <c r="D465" s="139"/>
      <c r="E465" s="138"/>
      <c r="F465" s="140"/>
      <c r="G465" s="140"/>
      <c r="H465" s="139"/>
      <c r="I465" s="138"/>
      <c r="J465" s="121"/>
      <c r="K465" s="132"/>
      <c r="L465" s="121"/>
      <c r="M465" s="96"/>
      <c r="N465" s="96"/>
      <c r="O465" s="85"/>
      <c r="P465" s="133"/>
    </row>
    <row r="466" spans="1:16" ht="15.75" customHeight="1">
      <c r="A466" s="130"/>
      <c r="B466" s="137"/>
      <c r="C466" s="138"/>
      <c r="D466" s="139"/>
      <c r="E466" s="138"/>
      <c r="F466" s="140"/>
      <c r="G466" s="140"/>
      <c r="H466" s="139"/>
      <c r="I466" s="138"/>
      <c r="J466" s="121"/>
      <c r="K466" s="132"/>
      <c r="L466" s="121"/>
      <c r="M466" s="96"/>
      <c r="N466" s="96"/>
      <c r="O466" s="85"/>
      <c r="P466" s="133"/>
    </row>
    <row r="467" spans="1:16" ht="15.75" customHeight="1">
      <c r="A467" s="130"/>
      <c r="B467" s="137"/>
      <c r="C467" s="138"/>
      <c r="D467" s="139"/>
      <c r="E467" s="138"/>
      <c r="F467" s="140"/>
      <c r="G467" s="140"/>
      <c r="H467" s="139"/>
      <c r="I467" s="138"/>
      <c r="J467" s="121"/>
      <c r="K467" s="132"/>
      <c r="L467" s="121"/>
      <c r="M467" s="96"/>
      <c r="N467" s="96"/>
      <c r="O467" s="85"/>
      <c r="P467" s="133"/>
    </row>
    <row r="468" spans="1:16" ht="15.75" customHeight="1">
      <c r="A468" s="130"/>
      <c r="B468" s="137"/>
      <c r="C468" s="138"/>
      <c r="D468" s="139"/>
      <c r="E468" s="138"/>
      <c r="F468" s="140"/>
      <c r="G468" s="140"/>
      <c r="H468" s="139"/>
      <c r="I468" s="138"/>
      <c r="J468" s="121"/>
      <c r="K468" s="132"/>
      <c r="L468" s="121"/>
      <c r="M468" s="96"/>
      <c r="N468" s="96"/>
      <c r="O468" s="85"/>
      <c r="P468" s="133"/>
    </row>
    <row r="469" spans="1:16" ht="15.75" customHeight="1">
      <c r="A469" s="130"/>
      <c r="B469" s="137"/>
      <c r="C469" s="138"/>
      <c r="D469" s="139"/>
      <c r="E469" s="138"/>
      <c r="F469" s="140"/>
      <c r="G469" s="140"/>
      <c r="H469" s="139"/>
      <c r="I469" s="138"/>
      <c r="J469" s="121"/>
      <c r="K469" s="132"/>
      <c r="L469" s="121"/>
      <c r="M469" s="96"/>
      <c r="N469" s="96"/>
      <c r="O469" s="85"/>
      <c r="P469" s="133"/>
    </row>
    <row r="470" spans="1:16" ht="15.75" customHeight="1">
      <c r="A470" s="130"/>
      <c r="B470" s="137"/>
      <c r="C470" s="138"/>
      <c r="D470" s="139"/>
      <c r="E470" s="138"/>
      <c r="F470" s="140"/>
      <c r="G470" s="140"/>
      <c r="H470" s="139"/>
      <c r="I470" s="138"/>
      <c r="J470" s="121"/>
      <c r="K470" s="132"/>
      <c r="L470" s="121"/>
      <c r="M470" s="96"/>
      <c r="N470" s="96"/>
      <c r="O470" s="85"/>
      <c r="P470" s="133"/>
    </row>
    <row r="471" spans="1:16" ht="15.75" customHeight="1">
      <c r="A471" s="130"/>
      <c r="B471" s="137"/>
      <c r="C471" s="138"/>
      <c r="D471" s="139"/>
      <c r="E471" s="138"/>
      <c r="F471" s="140"/>
      <c r="G471" s="140"/>
      <c r="H471" s="139"/>
      <c r="I471" s="138"/>
      <c r="J471" s="121"/>
      <c r="K471" s="132"/>
      <c r="L471" s="121"/>
      <c r="M471" s="96"/>
      <c r="N471" s="96"/>
      <c r="O471" s="85"/>
      <c r="P471" s="133"/>
    </row>
    <row r="472" spans="1:16" ht="15.75" customHeight="1">
      <c r="A472" s="130"/>
      <c r="B472" s="137"/>
      <c r="C472" s="138"/>
      <c r="D472" s="139"/>
      <c r="E472" s="138"/>
      <c r="F472" s="140"/>
      <c r="G472" s="140"/>
      <c r="H472" s="139"/>
      <c r="I472" s="138"/>
      <c r="J472" s="121"/>
      <c r="K472" s="132"/>
      <c r="L472" s="121"/>
      <c r="M472" s="96"/>
      <c r="N472" s="96"/>
      <c r="O472" s="85"/>
      <c r="P472" s="133"/>
    </row>
    <row r="473" spans="1:16" ht="15.75" customHeight="1">
      <c r="A473" s="130"/>
      <c r="B473" s="137"/>
      <c r="C473" s="138"/>
      <c r="D473" s="139"/>
      <c r="E473" s="138"/>
      <c r="F473" s="140"/>
      <c r="G473" s="140"/>
      <c r="H473" s="139"/>
      <c r="I473" s="138"/>
      <c r="J473" s="121"/>
      <c r="K473" s="132"/>
      <c r="L473" s="121"/>
      <c r="M473" s="96"/>
      <c r="N473" s="96"/>
      <c r="O473" s="85"/>
      <c r="P473" s="133"/>
    </row>
    <row r="474" spans="1:16" ht="15.75" customHeight="1">
      <c r="A474" s="130"/>
      <c r="B474" s="137"/>
      <c r="C474" s="138"/>
      <c r="D474" s="139"/>
      <c r="E474" s="138"/>
      <c r="F474" s="140"/>
      <c r="G474" s="140"/>
      <c r="H474" s="139"/>
      <c r="I474" s="138"/>
      <c r="J474" s="121"/>
      <c r="K474" s="132"/>
      <c r="L474" s="121"/>
      <c r="M474" s="96"/>
      <c r="N474" s="96"/>
      <c r="O474" s="85"/>
      <c r="P474" s="133"/>
    </row>
    <row r="475" spans="1:16" ht="15.75" customHeight="1">
      <c r="A475" s="130"/>
      <c r="B475" s="137"/>
      <c r="C475" s="138"/>
      <c r="D475" s="139"/>
      <c r="E475" s="138"/>
      <c r="F475" s="140"/>
      <c r="G475" s="140"/>
      <c r="H475" s="139"/>
      <c r="I475" s="138"/>
      <c r="J475" s="121"/>
      <c r="K475" s="132"/>
      <c r="L475" s="121"/>
      <c r="M475" s="96"/>
      <c r="N475" s="96"/>
      <c r="O475" s="85"/>
      <c r="P475" s="133"/>
    </row>
    <row r="476" spans="1:16" ht="15.75" customHeight="1">
      <c r="A476" s="130"/>
      <c r="B476" s="137"/>
      <c r="C476" s="138"/>
      <c r="D476" s="139"/>
      <c r="E476" s="138"/>
      <c r="F476" s="140"/>
      <c r="G476" s="140"/>
      <c r="H476" s="139"/>
      <c r="I476" s="138"/>
      <c r="J476" s="121"/>
      <c r="K476" s="132"/>
      <c r="L476" s="121"/>
      <c r="M476" s="96"/>
      <c r="N476" s="96"/>
      <c r="O476" s="85"/>
      <c r="P476" s="133"/>
    </row>
    <row r="477" spans="1:16" ht="15.75" customHeight="1">
      <c r="A477" s="130"/>
      <c r="B477" s="137"/>
      <c r="C477" s="138"/>
      <c r="D477" s="139"/>
      <c r="E477" s="138"/>
      <c r="F477" s="140"/>
      <c r="G477" s="140"/>
      <c r="H477" s="139"/>
      <c r="I477" s="138"/>
      <c r="J477" s="121"/>
      <c r="K477" s="132"/>
      <c r="L477" s="121"/>
      <c r="M477" s="96"/>
      <c r="N477" s="96"/>
      <c r="O477" s="85"/>
      <c r="P477" s="133"/>
    </row>
    <row r="478" spans="1:16" ht="15.75" customHeight="1">
      <c r="A478" s="130"/>
      <c r="B478" s="137"/>
      <c r="C478" s="138"/>
      <c r="D478" s="139"/>
      <c r="E478" s="138"/>
      <c r="F478" s="140"/>
      <c r="G478" s="140"/>
      <c r="H478" s="139"/>
      <c r="I478" s="138"/>
      <c r="J478" s="121"/>
      <c r="K478" s="132"/>
      <c r="L478" s="121"/>
      <c r="M478" s="96"/>
      <c r="N478" s="96"/>
      <c r="O478" s="85"/>
      <c r="P478" s="133"/>
    </row>
    <row r="479" spans="1:16" ht="15.75" customHeight="1">
      <c r="A479" s="130"/>
      <c r="B479" s="137"/>
      <c r="C479" s="138"/>
      <c r="D479" s="139"/>
      <c r="E479" s="138"/>
      <c r="F479" s="140"/>
      <c r="G479" s="140"/>
      <c r="H479" s="139"/>
      <c r="I479" s="138"/>
      <c r="J479" s="121"/>
      <c r="K479" s="132"/>
      <c r="L479" s="121"/>
      <c r="M479" s="96"/>
      <c r="N479" s="96"/>
      <c r="O479" s="85"/>
      <c r="P479" s="133"/>
    </row>
    <row r="480" spans="1:16" ht="15.75" customHeight="1">
      <c r="A480" s="130"/>
      <c r="B480" s="137"/>
      <c r="C480" s="138"/>
      <c r="D480" s="139"/>
      <c r="E480" s="138"/>
      <c r="F480" s="140"/>
      <c r="G480" s="140"/>
      <c r="H480" s="139"/>
      <c r="I480" s="138"/>
      <c r="J480" s="121"/>
      <c r="K480" s="132"/>
      <c r="L480" s="121"/>
      <c r="M480" s="96"/>
      <c r="N480" s="96"/>
      <c r="O480" s="85"/>
      <c r="P480" s="133"/>
    </row>
    <row r="481" spans="1:16" ht="15.75" customHeight="1">
      <c r="A481" s="130"/>
      <c r="B481" s="137"/>
      <c r="C481" s="138"/>
      <c r="D481" s="139"/>
      <c r="E481" s="138"/>
      <c r="F481" s="140"/>
      <c r="G481" s="140"/>
      <c r="H481" s="139"/>
      <c r="I481" s="138"/>
      <c r="J481" s="121"/>
      <c r="K481" s="132"/>
      <c r="L481" s="121"/>
      <c r="M481" s="96"/>
      <c r="N481" s="96"/>
      <c r="O481" s="85"/>
      <c r="P481" s="133"/>
    </row>
    <row r="482" spans="1:16" ht="15.75" customHeight="1">
      <c r="A482" s="130"/>
      <c r="B482" s="137"/>
      <c r="C482" s="138"/>
      <c r="D482" s="139"/>
      <c r="E482" s="138"/>
      <c r="F482" s="140"/>
      <c r="G482" s="140"/>
      <c r="H482" s="139"/>
      <c r="I482" s="138"/>
      <c r="J482" s="121"/>
      <c r="K482" s="132"/>
      <c r="L482" s="121"/>
      <c r="M482" s="96"/>
      <c r="N482" s="96"/>
      <c r="O482" s="85"/>
      <c r="P482" s="133"/>
    </row>
    <row r="483" spans="1:16" ht="15.75" customHeight="1">
      <c r="A483" s="130"/>
      <c r="B483" s="137"/>
      <c r="C483" s="138"/>
      <c r="D483" s="139"/>
      <c r="E483" s="138"/>
      <c r="F483" s="140"/>
      <c r="G483" s="140"/>
      <c r="H483" s="139"/>
      <c r="I483" s="138"/>
      <c r="J483" s="121"/>
      <c r="K483" s="132"/>
      <c r="L483" s="121"/>
      <c r="M483" s="96"/>
      <c r="N483" s="96"/>
      <c r="O483" s="85"/>
      <c r="P483" s="133"/>
    </row>
    <row r="484" spans="1:16" ht="15.75" customHeight="1">
      <c r="A484" s="130"/>
      <c r="B484" s="137"/>
      <c r="C484" s="138"/>
      <c r="D484" s="139"/>
      <c r="E484" s="138"/>
      <c r="F484" s="140"/>
      <c r="G484" s="140"/>
      <c r="H484" s="139"/>
      <c r="I484" s="138"/>
      <c r="J484" s="121"/>
      <c r="K484" s="132"/>
      <c r="L484" s="121"/>
      <c r="M484" s="96"/>
      <c r="N484" s="96"/>
      <c r="O484" s="85"/>
      <c r="P484" s="133"/>
    </row>
    <row r="485" spans="1:16" ht="15.75" customHeight="1">
      <c r="A485" s="130"/>
      <c r="B485" s="137"/>
      <c r="C485" s="138"/>
      <c r="D485" s="139"/>
      <c r="E485" s="138"/>
      <c r="F485" s="140"/>
      <c r="G485" s="140"/>
      <c r="H485" s="139"/>
      <c r="I485" s="138"/>
      <c r="J485" s="121"/>
      <c r="K485" s="132"/>
      <c r="L485" s="121"/>
      <c r="M485" s="96"/>
      <c r="N485" s="96"/>
      <c r="O485" s="85"/>
      <c r="P485" s="133"/>
    </row>
    <row r="486" spans="1:16" ht="15.75" customHeight="1">
      <c r="A486" s="130"/>
      <c r="B486" s="137"/>
      <c r="C486" s="138"/>
      <c r="D486" s="139"/>
      <c r="E486" s="138"/>
      <c r="F486" s="140"/>
      <c r="G486" s="140"/>
      <c r="H486" s="139"/>
      <c r="I486" s="138"/>
      <c r="J486" s="121"/>
      <c r="K486" s="132"/>
      <c r="L486" s="121"/>
      <c r="M486" s="96"/>
      <c r="N486" s="96"/>
      <c r="O486" s="85"/>
      <c r="P486" s="133"/>
    </row>
    <row r="487" spans="1:16" ht="15.75" customHeight="1">
      <c r="A487" s="130"/>
      <c r="B487" s="137"/>
      <c r="C487" s="138"/>
      <c r="D487" s="139"/>
      <c r="E487" s="138"/>
      <c r="F487" s="140"/>
      <c r="G487" s="140"/>
      <c r="H487" s="139"/>
      <c r="I487" s="138"/>
      <c r="J487" s="121"/>
      <c r="K487" s="132"/>
      <c r="L487" s="121"/>
      <c r="M487" s="96"/>
      <c r="N487" s="96"/>
      <c r="O487" s="85"/>
      <c r="P487" s="133"/>
    </row>
    <row r="488" spans="1:16" ht="15.75" customHeight="1">
      <c r="A488" s="130"/>
      <c r="B488" s="137"/>
      <c r="C488" s="138"/>
      <c r="D488" s="139"/>
      <c r="E488" s="138"/>
      <c r="F488" s="140"/>
      <c r="G488" s="140"/>
      <c r="H488" s="139"/>
      <c r="I488" s="138"/>
      <c r="J488" s="121"/>
      <c r="K488" s="132"/>
      <c r="L488" s="121"/>
      <c r="M488" s="96"/>
      <c r="N488" s="96"/>
      <c r="O488" s="85"/>
      <c r="P488" s="133"/>
    </row>
    <row r="489" spans="1:16" ht="15.75" customHeight="1">
      <c r="A489" s="130"/>
      <c r="B489" s="137"/>
      <c r="C489" s="138"/>
      <c r="D489" s="139"/>
      <c r="E489" s="138"/>
      <c r="F489" s="140"/>
      <c r="G489" s="140"/>
      <c r="H489" s="139"/>
      <c r="I489" s="138"/>
      <c r="J489" s="121"/>
      <c r="K489" s="132"/>
      <c r="L489" s="121"/>
      <c r="M489" s="96"/>
      <c r="N489" s="96"/>
      <c r="O489" s="85"/>
      <c r="P489" s="133"/>
    </row>
    <row r="490" spans="1:16" ht="15.75" customHeight="1">
      <c r="A490" s="130"/>
      <c r="B490" s="137"/>
      <c r="C490" s="138"/>
      <c r="D490" s="139"/>
      <c r="E490" s="138"/>
      <c r="F490" s="140"/>
      <c r="G490" s="140"/>
      <c r="H490" s="139"/>
      <c r="I490" s="138"/>
      <c r="J490" s="121"/>
      <c r="K490" s="132"/>
      <c r="L490" s="121"/>
      <c r="M490" s="96"/>
      <c r="N490" s="96"/>
      <c r="O490" s="85"/>
      <c r="P490" s="133"/>
    </row>
    <row r="491" spans="1:16" ht="15.75" customHeight="1">
      <c r="A491" s="130"/>
      <c r="B491" s="137"/>
      <c r="C491" s="138"/>
      <c r="D491" s="139"/>
      <c r="E491" s="138"/>
      <c r="F491" s="140"/>
      <c r="G491" s="140"/>
      <c r="H491" s="139"/>
      <c r="I491" s="138"/>
      <c r="J491" s="121"/>
      <c r="K491" s="132"/>
      <c r="L491" s="121"/>
      <c r="M491" s="96"/>
      <c r="N491" s="96"/>
      <c r="O491" s="85"/>
      <c r="P491" s="133"/>
    </row>
    <row r="492" spans="1:16" ht="15.75" customHeight="1">
      <c r="A492" s="130"/>
      <c r="B492" s="137"/>
      <c r="C492" s="138"/>
      <c r="D492" s="139"/>
      <c r="E492" s="138"/>
      <c r="F492" s="140"/>
      <c r="G492" s="140"/>
      <c r="H492" s="139"/>
      <c r="I492" s="138"/>
      <c r="J492" s="121"/>
      <c r="K492" s="132"/>
      <c r="L492" s="121"/>
      <c r="M492" s="96"/>
      <c r="N492" s="96"/>
      <c r="O492" s="85"/>
      <c r="P492" s="133"/>
    </row>
    <row r="493" spans="1:16" ht="15.75" customHeight="1">
      <c r="A493" s="130"/>
      <c r="B493" s="137"/>
      <c r="C493" s="138"/>
      <c r="D493" s="139"/>
      <c r="E493" s="138"/>
      <c r="F493" s="140"/>
      <c r="G493" s="140"/>
      <c r="H493" s="139"/>
      <c r="I493" s="138"/>
      <c r="J493" s="121"/>
      <c r="K493" s="132"/>
      <c r="L493" s="121"/>
      <c r="M493" s="96"/>
      <c r="N493" s="96"/>
      <c r="O493" s="85"/>
      <c r="P493" s="133"/>
    </row>
    <row r="494" spans="1:16" ht="15.75" customHeight="1">
      <c r="A494" s="130"/>
      <c r="B494" s="137"/>
      <c r="C494" s="138"/>
      <c r="D494" s="139"/>
      <c r="E494" s="138"/>
      <c r="F494" s="140"/>
      <c r="G494" s="140"/>
      <c r="H494" s="139"/>
      <c r="I494" s="138"/>
      <c r="J494" s="121"/>
      <c r="K494" s="132"/>
      <c r="L494" s="121"/>
      <c r="M494" s="96"/>
      <c r="N494" s="96"/>
      <c r="O494" s="85"/>
      <c r="P494" s="133"/>
    </row>
    <row r="495" spans="1:16" ht="15.75" customHeight="1">
      <c r="A495" s="130"/>
      <c r="B495" s="137"/>
      <c r="C495" s="138"/>
      <c r="D495" s="139"/>
      <c r="E495" s="138"/>
      <c r="F495" s="140"/>
      <c r="G495" s="140"/>
      <c r="H495" s="139"/>
      <c r="I495" s="138"/>
      <c r="J495" s="121"/>
      <c r="K495" s="132"/>
      <c r="L495" s="121"/>
      <c r="M495" s="96"/>
      <c r="N495" s="96"/>
      <c r="O495" s="85"/>
      <c r="P495" s="133"/>
    </row>
    <row r="496" spans="1:16" ht="15.75" customHeight="1">
      <c r="A496" s="130"/>
      <c r="B496" s="137"/>
      <c r="C496" s="138"/>
      <c r="D496" s="139"/>
      <c r="E496" s="138"/>
      <c r="F496" s="140"/>
      <c r="G496" s="140"/>
      <c r="H496" s="139"/>
      <c r="I496" s="138"/>
      <c r="J496" s="121"/>
      <c r="K496" s="132"/>
      <c r="L496" s="121"/>
      <c r="M496" s="96"/>
      <c r="N496" s="96"/>
      <c r="O496" s="85"/>
      <c r="P496" s="133"/>
    </row>
    <row r="497" spans="1:16" ht="15.75" customHeight="1">
      <c r="A497" s="130"/>
      <c r="B497" s="137"/>
      <c r="C497" s="138"/>
      <c r="D497" s="139"/>
      <c r="E497" s="138"/>
      <c r="F497" s="140"/>
      <c r="G497" s="140"/>
      <c r="H497" s="139"/>
      <c r="I497" s="138"/>
      <c r="J497" s="121"/>
      <c r="K497" s="132"/>
      <c r="L497" s="121"/>
      <c r="M497" s="96"/>
      <c r="N497" s="96"/>
      <c r="O497" s="85"/>
      <c r="P497" s="133"/>
    </row>
    <row r="498" spans="1:16" ht="15.75" customHeight="1">
      <c r="A498" s="130"/>
      <c r="B498" s="137"/>
      <c r="C498" s="138"/>
      <c r="D498" s="139"/>
      <c r="E498" s="138"/>
      <c r="F498" s="140"/>
      <c r="G498" s="140"/>
      <c r="H498" s="139"/>
      <c r="I498" s="138"/>
      <c r="J498" s="121"/>
      <c r="K498" s="132"/>
      <c r="L498" s="121"/>
      <c r="M498" s="96"/>
      <c r="N498" s="96"/>
      <c r="O498" s="85"/>
      <c r="P498" s="133"/>
    </row>
    <row r="499" spans="1:16" ht="15.75" customHeight="1">
      <c r="A499" s="130"/>
      <c r="B499" s="137"/>
      <c r="C499" s="138"/>
      <c r="D499" s="139"/>
      <c r="E499" s="138"/>
      <c r="F499" s="140"/>
      <c r="G499" s="140"/>
      <c r="H499" s="139"/>
      <c r="I499" s="138"/>
      <c r="J499" s="121"/>
      <c r="K499" s="132"/>
      <c r="L499" s="121"/>
      <c r="M499" s="96"/>
      <c r="N499" s="96"/>
      <c r="O499" s="85"/>
      <c r="P499" s="133"/>
    </row>
    <row r="500" spans="1:16" ht="15.75" customHeight="1">
      <c r="A500" s="130"/>
      <c r="B500" s="137"/>
      <c r="C500" s="138"/>
      <c r="D500" s="139"/>
      <c r="E500" s="138"/>
      <c r="F500" s="140"/>
      <c r="G500" s="140"/>
      <c r="H500" s="139"/>
      <c r="I500" s="138"/>
      <c r="J500" s="121"/>
      <c r="K500" s="132"/>
      <c r="L500" s="121"/>
      <c r="M500" s="96"/>
      <c r="N500" s="96"/>
      <c r="O500" s="85"/>
      <c r="P500" s="133"/>
    </row>
    <row r="501" spans="1:16" ht="15.75" customHeight="1">
      <c r="A501" s="130"/>
      <c r="B501" s="137"/>
      <c r="C501" s="138"/>
      <c r="D501" s="139"/>
      <c r="E501" s="138"/>
      <c r="F501" s="140"/>
      <c r="G501" s="140"/>
      <c r="H501" s="139"/>
      <c r="I501" s="138"/>
      <c r="J501" s="121"/>
      <c r="K501" s="132"/>
      <c r="L501" s="121"/>
      <c r="M501" s="96"/>
      <c r="N501" s="96"/>
      <c r="O501" s="85"/>
      <c r="P501" s="133"/>
    </row>
    <row r="502" spans="1:16" ht="15.75" customHeight="1">
      <c r="A502" s="130"/>
      <c r="B502" s="137"/>
      <c r="C502" s="138"/>
      <c r="D502" s="139"/>
      <c r="E502" s="138"/>
      <c r="F502" s="140"/>
      <c r="G502" s="140"/>
      <c r="H502" s="139"/>
      <c r="I502" s="138"/>
      <c r="J502" s="121"/>
      <c r="K502" s="132"/>
      <c r="L502" s="121"/>
      <c r="M502" s="96"/>
      <c r="N502" s="96"/>
      <c r="O502" s="85"/>
      <c r="P502" s="133"/>
    </row>
    <row r="503" spans="1:16" ht="15.75" customHeight="1">
      <c r="A503" s="130"/>
      <c r="B503" s="137"/>
      <c r="C503" s="138"/>
      <c r="D503" s="139"/>
      <c r="E503" s="138"/>
      <c r="F503" s="140"/>
      <c r="G503" s="140"/>
      <c r="H503" s="139"/>
      <c r="I503" s="138"/>
      <c r="J503" s="121"/>
      <c r="K503" s="132"/>
      <c r="L503" s="121"/>
      <c r="M503" s="96"/>
      <c r="N503" s="96"/>
      <c r="O503" s="85"/>
      <c r="P503" s="133"/>
    </row>
    <row r="504" spans="1:16" ht="15.75" customHeight="1">
      <c r="A504" s="130"/>
      <c r="B504" s="137"/>
      <c r="C504" s="138"/>
      <c r="D504" s="139"/>
      <c r="E504" s="138"/>
      <c r="F504" s="140"/>
      <c r="G504" s="140"/>
      <c r="H504" s="139"/>
      <c r="I504" s="138"/>
      <c r="J504" s="121"/>
      <c r="K504" s="132"/>
      <c r="L504" s="121"/>
      <c r="M504" s="96"/>
      <c r="N504" s="96"/>
      <c r="O504" s="85"/>
      <c r="P504" s="133"/>
    </row>
    <row r="505" spans="1:16" ht="15.75" customHeight="1">
      <c r="A505" s="130"/>
      <c r="B505" s="137"/>
      <c r="C505" s="138"/>
      <c r="D505" s="139"/>
      <c r="E505" s="138"/>
      <c r="F505" s="140"/>
      <c r="G505" s="140"/>
      <c r="H505" s="139"/>
      <c r="I505" s="138"/>
      <c r="J505" s="121"/>
      <c r="K505" s="132"/>
      <c r="L505" s="121"/>
      <c r="M505" s="96"/>
      <c r="N505" s="96"/>
      <c r="O505" s="85"/>
      <c r="P505" s="133"/>
    </row>
    <row r="506" spans="1:16" ht="15.75" customHeight="1">
      <c r="A506" s="130"/>
      <c r="B506" s="137"/>
      <c r="C506" s="138"/>
      <c r="D506" s="139"/>
      <c r="E506" s="138"/>
      <c r="F506" s="140"/>
      <c r="G506" s="140"/>
      <c r="H506" s="139"/>
      <c r="I506" s="138"/>
      <c r="J506" s="121"/>
      <c r="K506" s="132"/>
      <c r="L506" s="121"/>
      <c r="M506" s="96"/>
      <c r="N506" s="96"/>
      <c r="O506" s="85"/>
      <c r="P506" s="133"/>
    </row>
    <row r="507" spans="1:16" ht="15.75" customHeight="1">
      <c r="A507" s="130"/>
      <c r="B507" s="137"/>
      <c r="C507" s="138"/>
      <c r="D507" s="139"/>
      <c r="E507" s="138"/>
      <c r="F507" s="140"/>
      <c r="G507" s="140"/>
      <c r="H507" s="139"/>
      <c r="I507" s="138"/>
      <c r="J507" s="121"/>
      <c r="K507" s="132"/>
      <c r="L507" s="121"/>
      <c r="M507" s="96"/>
      <c r="N507" s="96"/>
      <c r="O507" s="85"/>
      <c r="P507" s="133"/>
    </row>
    <row r="508" spans="1:16" ht="15.75" customHeight="1">
      <c r="A508" s="130"/>
      <c r="B508" s="137"/>
      <c r="C508" s="138"/>
      <c r="D508" s="139"/>
      <c r="E508" s="138"/>
      <c r="F508" s="140"/>
      <c r="G508" s="140"/>
      <c r="H508" s="139"/>
      <c r="I508" s="138"/>
      <c r="J508" s="121"/>
      <c r="K508" s="132"/>
      <c r="L508" s="121"/>
      <c r="M508" s="96"/>
      <c r="N508" s="96"/>
      <c r="O508" s="85"/>
      <c r="P508" s="133"/>
    </row>
    <row r="509" spans="1:16" ht="15.75" customHeight="1">
      <c r="A509" s="130"/>
      <c r="B509" s="137"/>
      <c r="C509" s="138"/>
      <c r="D509" s="139"/>
      <c r="E509" s="138"/>
      <c r="F509" s="140"/>
      <c r="G509" s="140"/>
      <c r="H509" s="139"/>
      <c r="I509" s="138"/>
      <c r="J509" s="121"/>
      <c r="K509" s="132"/>
      <c r="L509" s="121"/>
      <c r="M509" s="96"/>
      <c r="N509" s="96"/>
      <c r="O509" s="85"/>
      <c r="P509" s="133"/>
    </row>
    <row r="510" spans="1:16" ht="15.75" customHeight="1">
      <c r="A510" s="130"/>
      <c r="B510" s="137"/>
      <c r="C510" s="138"/>
      <c r="D510" s="139"/>
      <c r="E510" s="138"/>
      <c r="F510" s="140"/>
      <c r="G510" s="140"/>
      <c r="H510" s="139"/>
      <c r="I510" s="138"/>
      <c r="J510" s="121"/>
      <c r="K510" s="132"/>
      <c r="L510" s="121"/>
      <c r="M510" s="96"/>
      <c r="N510" s="96"/>
      <c r="O510" s="85"/>
      <c r="P510" s="133"/>
    </row>
    <row r="511" spans="1:16" ht="15.75" customHeight="1">
      <c r="A511" s="130"/>
      <c r="B511" s="137"/>
      <c r="C511" s="138"/>
      <c r="D511" s="139"/>
      <c r="E511" s="138"/>
      <c r="F511" s="140"/>
      <c r="G511" s="140"/>
      <c r="H511" s="139"/>
      <c r="I511" s="138"/>
      <c r="J511" s="121"/>
      <c r="K511" s="132"/>
      <c r="L511" s="121"/>
      <c r="M511" s="96"/>
      <c r="N511" s="96"/>
      <c r="O511" s="85"/>
      <c r="P511" s="133"/>
    </row>
    <row r="512" spans="1:16" ht="15.75" customHeight="1">
      <c r="A512" s="130"/>
      <c r="B512" s="137"/>
      <c r="C512" s="138"/>
      <c r="D512" s="139"/>
      <c r="E512" s="138"/>
      <c r="F512" s="140"/>
      <c r="G512" s="140"/>
      <c r="H512" s="139"/>
      <c r="I512" s="138"/>
      <c r="J512" s="121"/>
      <c r="K512" s="132"/>
      <c r="L512" s="121"/>
      <c r="M512" s="96"/>
      <c r="N512" s="96"/>
      <c r="O512" s="85"/>
      <c r="P512" s="133"/>
    </row>
    <row r="513" spans="1:16" ht="15.75" customHeight="1">
      <c r="A513" s="130"/>
      <c r="B513" s="137"/>
      <c r="C513" s="138"/>
      <c r="D513" s="139"/>
      <c r="E513" s="138"/>
      <c r="F513" s="140"/>
      <c r="G513" s="140"/>
      <c r="H513" s="139"/>
      <c r="I513" s="138"/>
      <c r="J513" s="121"/>
      <c r="K513" s="132"/>
      <c r="L513" s="121"/>
      <c r="M513" s="96"/>
      <c r="N513" s="96"/>
      <c r="O513" s="85"/>
      <c r="P513" s="133"/>
    </row>
    <row r="514" spans="1:16" ht="15.75" customHeight="1">
      <c r="A514" s="130"/>
      <c r="B514" s="137"/>
      <c r="C514" s="138"/>
      <c r="D514" s="139"/>
      <c r="E514" s="138"/>
      <c r="F514" s="140"/>
      <c r="G514" s="140"/>
      <c r="H514" s="139"/>
      <c r="I514" s="138"/>
      <c r="J514" s="121"/>
      <c r="K514" s="132"/>
      <c r="L514" s="121"/>
      <c r="M514" s="96"/>
      <c r="N514" s="96"/>
      <c r="O514" s="85"/>
      <c r="P514" s="133"/>
    </row>
    <row r="515" spans="1:16" ht="15.75" customHeight="1">
      <c r="A515" s="130"/>
      <c r="B515" s="137"/>
      <c r="C515" s="138"/>
      <c r="D515" s="139"/>
      <c r="E515" s="138"/>
      <c r="F515" s="140"/>
      <c r="G515" s="140"/>
      <c r="H515" s="139"/>
      <c r="I515" s="138"/>
      <c r="J515" s="121"/>
      <c r="K515" s="132"/>
      <c r="L515" s="121"/>
      <c r="M515" s="96"/>
      <c r="N515" s="96"/>
      <c r="O515" s="85"/>
      <c r="P515" s="133"/>
    </row>
    <row r="516" spans="1:16" ht="15.75" customHeight="1">
      <c r="A516" s="130"/>
      <c r="B516" s="137"/>
      <c r="C516" s="138"/>
      <c r="D516" s="139"/>
      <c r="E516" s="138"/>
      <c r="F516" s="140"/>
      <c r="G516" s="140"/>
      <c r="H516" s="139"/>
      <c r="I516" s="138"/>
      <c r="J516" s="121"/>
      <c r="K516" s="132"/>
      <c r="L516" s="121"/>
      <c r="M516" s="96"/>
      <c r="N516" s="96"/>
      <c r="O516" s="85"/>
      <c r="P516" s="133"/>
    </row>
    <row r="517" spans="1:16" ht="15.75" customHeight="1">
      <c r="A517" s="130"/>
      <c r="B517" s="137"/>
      <c r="C517" s="138"/>
      <c r="D517" s="139"/>
      <c r="E517" s="138"/>
      <c r="F517" s="140"/>
      <c r="G517" s="140"/>
      <c r="H517" s="139"/>
      <c r="I517" s="138"/>
      <c r="J517" s="121"/>
      <c r="K517" s="132"/>
      <c r="L517" s="121"/>
      <c r="M517" s="96"/>
      <c r="N517" s="96"/>
      <c r="O517" s="85"/>
      <c r="P517" s="133"/>
    </row>
    <row r="518" spans="1:16" ht="15.75" customHeight="1">
      <c r="A518" s="130"/>
      <c r="B518" s="137"/>
      <c r="C518" s="138"/>
      <c r="D518" s="139"/>
      <c r="E518" s="138"/>
      <c r="F518" s="140"/>
      <c r="G518" s="140"/>
      <c r="H518" s="139"/>
      <c r="I518" s="138"/>
      <c r="J518" s="121"/>
      <c r="K518" s="132"/>
      <c r="L518" s="121"/>
      <c r="M518" s="96"/>
      <c r="N518" s="96"/>
      <c r="O518" s="85"/>
      <c r="P518" s="133"/>
    </row>
    <row r="519" spans="1:16" ht="15.75" customHeight="1">
      <c r="A519" s="130"/>
      <c r="B519" s="137"/>
      <c r="C519" s="138"/>
      <c r="D519" s="139"/>
      <c r="E519" s="138"/>
      <c r="F519" s="140"/>
      <c r="G519" s="140"/>
      <c r="H519" s="139"/>
      <c r="I519" s="138"/>
      <c r="J519" s="121"/>
      <c r="K519" s="132"/>
      <c r="L519" s="121"/>
      <c r="M519" s="96"/>
      <c r="N519" s="96"/>
      <c r="O519" s="85"/>
      <c r="P519" s="133"/>
    </row>
    <row r="520" spans="1:16" ht="15.75" customHeight="1">
      <c r="A520" s="130"/>
      <c r="B520" s="137"/>
      <c r="C520" s="138"/>
      <c r="D520" s="139"/>
      <c r="E520" s="138"/>
      <c r="F520" s="140"/>
      <c r="G520" s="140"/>
      <c r="H520" s="139"/>
      <c r="I520" s="138"/>
      <c r="J520" s="121"/>
      <c r="K520" s="132"/>
      <c r="L520" s="121"/>
      <c r="M520" s="96"/>
      <c r="N520" s="96"/>
      <c r="O520" s="85"/>
      <c r="P520" s="133"/>
    </row>
    <row r="521" spans="1:16" ht="15.75" customHeight="1">
      <c r="A521" s="130"/>
      <c r="B521" s="137"/>
      <c r="C521" s="138"/>
      <c r="D521" s="139"/>
      <c r="E521" s="138"/>
      <c r="F521" s="140"/>
      <c r="G521" s="140"/>
      <c r="H521" s="139"/>
      <c r="I521" s="138"/>
      <c r="J521" s="121"/>
      <c r="K521" s="132"/>
      <c r="L521" s="121"/>
      <c r="M521" s="96"/>
      <c r="N521" s="96"/>
      <c r="O521" s="85"/>
      <c r="P521" s="133"/>
    </row>
    <row r="522" spans="1:16" ht="15.75" customHeight="1">
      <c r="A522" s="130"/>
      <c r="B522" s="137"/>
      <c r="C522" s="138"/>
      <c r="D522" s="139"/>
      <c r="E522" s="138"/>
      <c r="F522" s="140"/>
      <c r="G522" s="140"/>
      <c r="H522" s="139"/>
      <c r="I522" s="138"/>
      <c r="J522" s="121"/>
      <c r="K522" s="132"/>
      <c r="L522" s="121"/>
      <c r="M522" s="96"/>
      <c r="N522" s="96"/>
      <c r="O522" s="85"/>
      <c r="P522" s="133"/>
    </row>
    <row r="523" spans="1:16" ht="15.75" customHeight="1">
      <c r="A523" s="130"/>
      <c r="B523" s="137"/>
      <c r="C523" s="138"/>
      <c r="D523" s="139"/>
      <c r="E523" s="138"/>
      <c r="F523" s="140"/>
      <c r="G523" s="140"/>
      <c r="H523" s="139"/>
      <c r="I523" s="138"/>
      <c r="J523" s="121"/>
      <c r="K523" s="132"/>
      <c r="L523" s="121"/>
      <c r="M523" s="96"/>
      <c r="N523" s="96"/>
      <c r="O523" s="85"/>
      <c r="P523" s="133"/>
    </row>
    <row r="524" spans="1:16" ht="15.75" customHeight="1">
      <c r="A524" s="130"/>
      <c r="B524" s="137"/>
      <c r="C524" s="138"/>
      <c r="D524" s="139"/>
      <c r="E524" s="138"/>
      <c r="F524" s="140"/>
      <c r="G524" s="140"/>
      <c r="H524" s="139"/>
      <c r="I524" s="138"/>
      <c r="J524" s="121"/>
      <c r="K524" s="132"/>
      <c r="L524" s="121"/>
      <c r="M524" s="96"/>
      <c r="N524" s="96"/>
      <c r="O524" s="85"/>
      <c r="P524" s="133"/>
    </row>
    <row r="525" spans="1:16" ht="15.75" customHeight="1">
      <c r="A525" s="130"/>
      <c r="B525" s="137"/>
      <c r="C525" s="138"/>
      <c r="D525" s="139"/>
      <c r="E525" s="138"/>
      <c r="F525" s="140"/>
      <c r="G525" s="140"/>
      <c r="H525" s="139"/>
      <c r="I525" s="138"/>
      <c r="J525" s="121"/>
      <c r="K525" s="132"/>
      <c r="L525" s="121"/>
      <c r="M525" s="96"/>
      <c r="N525" s="96"/>
      <c r="O525" s="85"/>
      <c r="P525" s="133"/>
    </row>
    <row r="526" spans="1:16" ht="15.75" customHeight="1">
      <c r="A526" s="130"/>
      <c r="B526" s="137"/>
      <c r="C526" s="138"/>
      <c r="D526" s="139"/>
      <c r="E526" s="138"/>
      <c r="F526" s="140"/>
      <c r="G526" s="140"/>
      <c r="H526" s="139"/>
      <c r="I526" s="138"/>
      <c r="J526" s="121"/>
      <c r="K526" s="132"/>
      <c r="L526" s="121"/>
      <c r="M526" s="96"/>
      <c r="N526" s="96"/>
      <c r="O526" s="85"/>
      <c r="P526" s="133"/>
    </row>
    <row r="527" spans="1:16" ht="15.75" customHeight="1">
      <c r="A527" s="130"/>
      <c r="B527" s="137"/>
      <c r="C527" s="138"/>
      <c r="D527" s="139"/>
      <c r="E527" s="138"/>
      <c r="F527" s="140"/>
      <c r="G527" s="140"/>
      <c r="H527" s="139"/>
      <c r="I527" s="138"/>
      <c r="J527" s="121"/>
      <c r="K527" s="132"/>
      <c r="L527" s="121"/>
      <c r="M527" s="96"/>
      <c r="N527" s="96"/>
      <c r="O527" s="85"/>
      <c r="P527" s="133"/>
    </row>
    <row r="528" spans="1:16" ht="15.75" customHeight="1">
      <c r="A528" s="130"/>
      <c r="B528" s="137"/>
      <c r="C528" s="138"/>
      <c r="D528" s="139"/>
      <c r="E528" s="138"/>
      <c r="F528" s="140"/>
      <c r="G528" s="140"/>
      <c r="H528" s="139"/>
      <c r="I528" s="138"/>
      <c r="J528" s="121"/>
      <c r="K528" s="132"/>
      <c r="L528" s="121"/>
      <c r="M528" s="96"/>
      <c r="N528" s="96"/>
      <c r="O528" s="85"/>
      <c r="P528" s="133"/>
    </row>
    <row r="529" spans="1:16" ht="15.75" customHeight="1">
      <c r="A529" s="130"/>
      <c r="B529" s="137"/>
      <c r="C529" s="138"/>
      <c r="D529" s="139"/>
      <c r="E529" s="138"/>
      <c r="F529" s="140"/>
      <c r="G529" s="140"/>
      <c r="H529" s="139"/>
      <c r="I529" s="138"/>
      <c r="J529" s="121"/>
      <c r="K529" s="132"/>
      <c r="L529" s="121"/>
      <c r="M529" s="96"/>
      <c r="N529" s="96"/>
      <c r="O529" s="85"/>
      <c r="P529" s="133"/>
    </row>
    <row r="530" spans="1:16" ht="15.75" customHeight="1">
      <c r="A530" s="130"/>
      <c r="B530" s="137"/>
      <c r="C530" s="138"/>
      <c r="D530" s="139"/>
      <c r="E530" s="138"/>
      <c r="F530" s="140"/>
      <c r="G530" s="140"/>
      <c r="H530" s="139"/>
      <c r="I530" s="138"/>
      <c r="J530" s="121"/>
      <c r="K530" s="132"/>
      <c r="L530" s="121"/>
      <c r="M530" s="96"/>
      <c r="N530" s="96"/>
      <c r="O530" s="85"/>
      <c r="P530" s="133"/>
    </row>
    <row r="531" spans="1:16" ht="15.75" customHeight="1">
      <c r="A531" s="130"/>
      <c r="B531" s="137"/>
      <c r="C531" s="138"/>
      <c r="D531" s="139"/>
      <c r="E531" s="138"/>
      <c r="F531" s="140"/>
      <c r="G531" s="140"/>
      <c r="H531" s="139"/>
      <c r="I531" s="138"/>
      <c r="J531" s="121"/>
      <c r="K531" s="132"/>
      <c r="L531" s="121"/>
      <c r="M531" s="96"/>
      <c r="N531" s="96"/>
      <c r="O531" s="85"/>
      <c r="P531" s="133"/>
    </row>
    <row r="532" spans="1:16" ht="15.75" customHeight="1">
      <c r="A532" s="130"/>
      <c r="B532" s="137"/>
      <c r="C532" s="138"/>
      <c r="D532" s="139"/>
      <c r="E532" s="138"/>
      <c r="F532" s="140"/>
      <c r="G532" s="140"/>
      <c r="H532" s="139"/>
      <c r="I532" s="138"/>
      <c r="J532" s="121"/>
      <c r="K532" s="132"/>
      <c r="L532" s="121"/>
      <c r="M532" s="96"/>
      <c r="N532" s="96"/>
      <c r="O532" s="85"/>
      <c r="P532" s="133"/>
    </row>
    <row r="533" spans="1:16" ht="15.75" customHeight="1">
      <c r="A533" s="130"/>
      <c r="B533" s="137"/>
      <c r="C533" s="138"/>
      <c r="D533" s="139"/>
      <c r="E533" s="138"/>
      <c r="F533" s="140"/>
      <c r="G533" s="140"/>
      <c r="H533" s="139"/>
      <c r="I533" s="138"/>
      <c r="J533" s="121"/>
      <c r="K533" s="132"/>
      <c r="L533" s="121"/>
      <c r="M533" s="96"/>
      <c r="N533" s="96"/>
      <c r="O533" s="85"/>
      <c r="P533" s="133"/>
    </row>
    <row r="534" spans="1:16" ht="15.75" customHeight="1">
      <c r="A534" s="130"/>
      <c r="B534" s="137"/>
      <c r="C534" s="138"/>
      <c r="D534" s="139"/>
      <c r="E534" s="138"/>
      <c r="F534" s="140"/>
      <c r="G534" s="140"/>
      <c r="H534" s="139"/>
      <c r="I534" s="138"/>
      <c r="J534" s="121"/>
      <c r="K534" s="132"/>
      <c r="L534" s="121"/>
      <c r="M534" s="96"/>
      <c r="N534" s="96"/>
      <c r="O534" s="85"/>
      <c r="P534" s="133"/>
    </row>
    <row r="535" spans="1:16" ht="15.75" customHeight="1">
      <c r="A535" s="130"/>
      <c r="B535" s="137"/>
      <c r="C535" s="138"/>
      <c r="D535" s="139"/>
      <c r="E535" s="138"/>
      <c r="F535" s="140"/>
      <c r="G535" s="140"/>
      <c r="H535" s="139"/>
      <c r="I535" s="138"/>
      <c r="J535" s="121"/>
      <c r="K535" s="132"/>
      <c r="L535" s="121"/>
      <c r="M535" s="96"/>
      <c r="N535" s="96"/>
      <c r="O535" s="85"/>
      <c r="P535" s="133"/>
    </row>
    <row r="536" spans="1:16" ht="15.75" customHeight="1">
      <c r="A536" s="130"/>
      <c r="B536" s="137"/>
      <c r="C536" s="138"/>
      <c r="D536" s="139"/>
      <c r="E536" s="138"/>
      <c r="F536" s="140"/>
      <c r="G536" s="140"/>
      <c r="H536" s="139"/>
      <c r="I536" s="138"/>
      <c r="J536" s="121"/>
      <c r="K536" s="132"/>
      <c r="L536" s="121"/>
      <c r="M536" s="96"/>
      <c r="N536" s="96"/>
      <c r="O536" s="85"/>
      <c r="P536" s="133"/>
    </row>
    <row r="537" spans="1:16" ht="15.75" customHeight="1">
      <c r="A537" s="130"/>
      <c r="B537" s="137"/>
      <c r="C537" s="138"/>
      <c r="D537" s="139"/>
      <c r="E537" s="138"/>
      <c r="F537" s="140"/>
      <c r="G537" s="140"/>
      <c r="H537" s="139"/>
      <c r="I537" s="138"/>
      <c r="J537" s="121"/>
      <c r="K537" s="132"/>
      <c r="L537" s="121"/>
      <c r="M537" s="96"/>
      <c r="N537" s="96"/>
      <c r="O537" s="85"/>
      <c r="P537" s="133"/>
    </row>
    <row r="538" spans="1:16" ht="15.75" customHeight="1">
      <c r="A538" s="130"/>
      <c r="B538" s="137"/>
      <c r="C538" s="138"/>
      <c r="D538" s="139"/>
      <c r="E538" s="138"/>
      <c r="F538" s="140"/>
      <c r="G538" s="140"/>
      <c r="H538" s="139"/>
      <c r="I538" s="138"/>
      <c r="J538" s="121"/>
      <c r="K538" s="132"/>
      <c r="L538" s="121"/>
      <c r="M538" s="96"/>
      <c r="N538" s="96"/>
      <c r="O538" s="85"/>
      <c r="P538" s="133"/>
    </row>
    <row r="539" spans="1:16" ht="15.75" customHeight="1">
      <c r="A539" s="130"/>
      <c r="B539" s="137"/>
      <c r="C539" s="138"/>
      <c r="D539" s="139"/>
      <c r="E539" s="138"/>
      <c r="F539" s="140"/>
      <c r="G539" s="140"/>
      <c r="H539" s="139"/>
      <c r="I539" s="138"/>
      <c r="J539" s="121"/>
      <c r="K539" s="132"/>
      <c r="L539" s="121"/>
      <c r="M539" s="96"/>
      <c r="N539" s="96"/>
      <c r="O539" s="85"/>
      <c r="P539" s="133"/>
    </row>
    <row r="540" spans="1:16" ht="15.75" customHeight="1">
      <c r="A540" s="130"/>
      <c r="B540" s="137"/>
      <c r="C540" s="138"/>
      <c r="D540" s="139"/>
      <c r="E540" s="138"/>
      <c r="F540" s="140"/>
      <c r="G540" s="140"/>
      <c r="H540" s="139"/>
      <c r="I540" s="138"/>
      <c r="J540" s="121"/>
      <c r="K540" s="132"/>
      <c r="L540" s="121"/>
      <c r="M540" s="96"/>
      <c r="N540" s="96"/>
      <c r="O540" s="85"/>
      <c r="P540" s="133"/>
    </row>
    <row r="541" spans="1:16" ht="15.75" customHeight="1">
      <c r="A541" s="130"/>
      <c r="B541" s="137"/>
      <c r="C541" s="138"/>
      <c r="D541" s="139"/>
      <c r="E541" s="138"/>
      <c r="F541" s="140"/>
      <c r="G541" s="140"/>
      <c r="H541" s="139"/>
      <c r="I541" s="138"/>
      <c r="J541" s="121"/>
      <c r="K541" s="132"/>
      <c r="L541" s="121"/>
      <c r="M541" s="96"/>
      <c r="N541" s="96"/>
      <c r="O541" s="85"/>
      <c r="P541" s="133"/>
    </row>
    <row r="542" spans="1:16" ht="15.75" customHeight="1">
      <c r="A542" s="130"/>
      <c r="B542" s="137"/>
      <c r="C542" s="138"/>
      <c r="D542" s="139"/>
      <c r="E542" s="138"/>
      <c r="F542" s="140"/>
      <c r="G542" s="140"/>
      <c r="H542" s="139"/>
      <c r="I542" s="138"/>
      <c r="J542" s="121"/>
      <c r="K542" s="132"/>
      <c r="L542" s="121"/>
      <c r="M542" s="96"/>
      <c r="N542" s="96"/>
      <c r="O542" s="85"/>
      <c r="P542" s="133"/>
    </row>
    <row r="543" spans="1:16" ht="15.75" customHeight="1">
      <c r="A543" s="130"/>
      <c r="B543" s="137"/>
      <c r="C543" s="138"/>
      <c r="D543" s="139"/>
      <c r="E543" s="138"/>
      <c r="F543" s="140"/>
      <c r="G543" s="140"/>
      <c r="H543" s="139"/>
      <c r="I543" s="138"/>
      <c r="J543" s="121"/>
      <c r="K543" s="132"/>
      <c r="L543" s="121"/>
      <c r="M543" s="96"/>
      <c r="N543" s="96"/>
      <c r="O543" s="85"/>
      <c r="P543" s="133"/>
    </row>
    <row r="544" spans="1:16" ht="15.75" customHeight="1">
      <c r="A544" s="130"/>
      <c r="B544" s="137"/>
      <c r="C544" s="138"/>
      <c r="D544" s="139"/>
      <c r="E544" s="138"/>
      <c r="F544" s="140"/>
      <c r="G544" s="140"/>
      <c r="H544" s="139"/>
      <c r="I544" s="138"/>
      <c r="J544" s="121"/>
      <c r="K544" s="132"/>
      <c r="L544" s="121"/>
      <c r="M544" s="96"/>
      <c r="N544" s="96"/>
      <c r="O544" s="85"/>
      <c r="P544" s="133"/>
    </row>
    <row r="545" spans="1:16" ht="15.75" customHeight="1">
      <c r="A545" s="130"/>
      <c r="B545" s="137"/>
      <c r="C545" s="138"/>
      <c r="D545" s="139"/>
      <c r="E545" s="138"/>
      <c r="F545" s="140"/>
      <c r="G545" s="140"/>
      <c r="H545" s="139"/>
      <c r="I545" s="138"/>
      <c r="J545" s="121"/>
      <c r="K545" s="132"/>
      <c r="L545" s="121"/>
      <c r="M545" s="96"/>
      <c r="N545" s="96"/>
      <c r="O545" s="85"/>
      <c r="P545" s="133"/>
    </row>
    <row r="546" spans="1:16" ht="15.75" customHeight="1">
      <c r="A546" s="130"/>
      <c r="B546" s="137"/>
      <c r="C546" s="138"/>
      <c r="D546" s="139"/>
      <c r="E546" s="138"/>
      <c r="F546" s="140"/>
      <c r="G546" s="140"/>
      <c r="H546" s="139"/>
      <c r="I546" s="138"/>
      <c r="J546" s="121"/>
      <c r="K546" s="132"/>
      <c r="L546" s="121"/>
      <c r="M546" s="96"/>
      <c r="N546" s="96"/>
      <c r="O546" s="85"/>
      <c r="P546" s="133"/>
    </row>
    <row r="547" spans="1:16" ht="15.75" customHeight="1">
      <c r="A547" s="130"/>
      <c r="B547" s="137"/>
      <c r="C547" s="138"/>
      <c r="D547" s="139"/>
      <c r="E547" s="138"/>
      <c r="F547" s="140"/>
      <c r="G547" s="140"/>
      <c r="H547" s="139"/>
      <c r="I547" s="138"/>
      <c r="J547" s="121"/>
      <c r="K547" s="132"/>
      <c r="L547" s="121"/>
      <c r="M547" s="96"/>
      <c r="N547" s="96"/>
      <c r="O547" s="85"/>
      <c r="P547" s="133"/>
    </row>
    <row r="548" spans="1:16" ht="15.75" customHeight="1">
      <c r="A548" s="130"/>
      <c r="B548" s="137"/>
      <c r="C548" s="138"/>
      <c r="D548" s="139"/>
      <c r="E548" s="138"/>
      <c r="F548" s="140"/>
      <c r="G548" s="140"/>
      <c r="H548" s="139"/>
      <c r="I548" s="138"/>
      <c r="J548" s="121"/>
      <c r="K548" s="132"/>
      <c r="L548" s="121"/>
      <c r="M548" s="96"/>
      <c r="N548" s="96"/>
      <c r="O548" s="85"/>
      <c r="P548" s="133"/>
    </row>
    <row r="549" spans="1:16" ht="15.75" customHeight="1">
      <c r="A549" s="130"/>
      <c r="B549" s="137"/>
      <c r="C549" s="138"/>
      <c r="D549" s="139"/>
      <c r="E549" s="138"/>
      <c r="F549" s="140"/>
      <c r="G549" s="140"/>
      <c r="H549" s="139"/>
      <c r="I549" s="138"/>
      <c r="J549" s="121"/>
      <c r="K549" s="132"/>
      <c r="L549" s="121"/>
      <c r="M549" s="96"/>
      <c r="N549" s="96"/>
      <c r="O549" s="85"/>
      <c r="P549" s="133"/>
    </row>
    <row r="550" spans="1:16" ht="15.75" customHeight="1">
      <c r="A550" s="130"/>
      <c r="B550" s="137"/>
      <c r="C550" s="138"/>
      <c r="D550" s="139"/>
      <c r="E550" s="138"/>
      <c r="F550" s="140"/>
      <c r="G550" s="140"/>
      <c r="H550" s="139"/>
      <c r="I550" s="138"/>
      <c r="J550" s="121"/>
      <c r="K550" s="132"/>
      <c r="L550" s="121"/>
      <c r="M550" s="96"/>
      <c r="N550" s="96"/>
      <c r="O550" s="85"/>
      <c r="P550" s="133"/>
    </row>
    <row r="551" spans="1:16" ht="15.75" customHeight="1">
      <c r="A551" s="130"/>
      <c r="B551" s="137"/>
      <c r="C551" s="138"/>
      <c r="D551" s="139"/>
      <c r="E551" s="138"/>
      <c r="F551" s="140"/>
      <c r="G551" s="140"/>
      <c r="H551" s="139"/>
      <c r="I551" s="138"/>
      <c r="J551" s="121"/>
      <c r="K551" s="132"/>
      <c r="L551" s="121"/>
      <c r="M551" s="96"/>
      <c r="N551" s="96"/>
      <c r="O551" s="85"/>
      <c r="P551" s="133"/>
    </row>
    <row r="552" spans="1:16" ht="15.75" customHeight="1">
      <c r="A552" s="130"/>
      <c r="B552" s="137"/>
      <c r="C552" s="138"/>
      <c r="D552" s="139"/>
      <c r="E552" s="138"/>
      <c r="F552" s="140"/>
      <c r="G552" s="140"/>
      <c r="H552" s="139"/>
      <c r="I552" s="138"/>
      <c r="J552" s="121"/>
      <c r="K552" s="132"/>
      <c r="L552" s="121"/>
      <c r="M552" s="96"/>
      <c r="N552" s="96"/>
      <c r="O552" s="85"/>
      <c r="P552" s="133"/>
    </row>
    <row r="553" spans="1:16" ht="15.75" customHeight="1">
      <c r="A553" s="130"/>
      <c r="B553" s="137"/>
      <c r="C553" s="138"/>
      <c r="D553" s="139"/>
      <c r="E553" s="138"/>
      <c r="F553" s="140"/>
      <c r="G553" s="140"/>
      <c r="H553" s="139"/>
      <c r="I553" s="138"/>
      <c r="J553" s="121"/>
      <c r="K553" s="132"/>
      <c r="L553" s="121"/>
      <c r="M553" s="96"/>
      <c r="N553" s="96"/>
      <c r="O553" s="85"/>
      <c r="P553" s="133"/>
    </row>
    <row r="554" spans="1:16" ht="15.75" customHeight="1">
      <c r="A554" s="130"/>
      <c r="B554" s="137"/>
      <c r="C554" s="138"/>
      <c r="D554" s="139"/>
      <c r="E554" s="138"/>
      <c r="F554" s="140"/>
      <c r="G554" s="140"/>
      <c r="H554" s="139"/>
      <c r="I554" s="138"/>
      <c r="J554" s="121"/>
      <c r="K554" s="132"/>
      <c r="L554" s="121"/>
      <c r="M554" s="96"/>
      <c r="N554" s="96"/>
      <c r="O554" s="85"/>
      <c r="P554" s="133"/>
    </row>
    <row r="555" spans="1:16" ht="15.75" customHeight="1">
      <c r="A555" s="130"/>
      <c r="B555" s="137"/>
      <c r="C555" s="138"/>
      <c r="D555" s="139"/>
      <c r="E555" s="138"/>
      <c r="F555" s="140"/>
      <c r="G555" s="140"/>
      <c r="H555" s="139"/>
      <c r="I555" s="138"/>
      <c r="J555" s="121"/>
      <c r="K555" s="132"/>
      <c r="L555" s="121"/>
      <c r="M555" s="96"/>
      <c r="N555" s="96"/>
      <c r="O555" s="85"/>
      <c r="P555" s="133"/>
    </row>
    <row r="556" spans="1:16" ht="15.75" customHeight="1">
      <c r="A556" s="130"/>
      <c r="B556" s="137"/>
      <c r="C556" s="138"/>
      <c r="D556" s="139"/>
      <c r="E556" s="138"/>
      <c r="F556" s="140"/>
      <c r="G556" s="140"/>
      <c r="H556" s="139"/>
      <c r="I556" s="138"/>
      <c r="J556" s="121"/>
      <c r="K556" s="132"/>
      <c r="L556" s="121"/>
      <c r="M556" s="96"/>
      <c r="N556" s="96"/>
      <c r="O556" s="85"/>
      <c r="P556" s="133"/>
    </row>
    <row r="557" spans="1:16" ht="15.75" customHeight="1">
      <c r="A557" s="130"/>
      <c r="B557" s="137"/>
      <c r="C557" s="138"/>
      <c r="D557" s="139"/>
      <c r="E557" s="138"/>
      <c r="F557" s="140"/>
      <c r="G557" s="140"/>
      <c r="H557" s="139"/>
      <c r="I557" s="138"/>
      <c r="J557" s="121"/>
      <c r="K557" s="132"/>
      <c r="L557" s="121"/>
      <c r="M557" s="96"/>
      <c r="N557" s="96"/>
      <c r="O557" s="85"/>
      <c r="P557" s="133"/>
    </row>
    <row r="558" spans="1:16" ht="15.75" customHeight="1">
      <c r="A558" s="130"/>
      <c r="B558" s="137"/>
      <c r="C558" s="138"/>
      <c r="D558" s="139"/>
      <c r="E558" s="138"/>
      <c r="F558" s="140"/>
      <c r="G558" s="140"/>
      <c r="H558" s="139"/>
      <c r="I558" s="138"/>
      <c r="J558" s="121"/>
      <c r="K558" s="132"/>
      <c r="L558" s="121"/>
      <c r="M558" s="96"/>
      <c r="N558" s="96"/>
      <c r="O558" s="85"/>
      <c r="P558" s="133"/>
    </row>
    <row r="559" spans="1:16" ht="15.75" customHeight="1">
      <c r="A559" s="130"/>
      <c r="B559" s="137"/>
      <c r="C559" s="138"/>
      <c r="D559" s="139"/>
      <c r="E559" s="138"/>
      <c r="F559" s="140"/>
      <c r="G559" s="140"/>
      <c r="H559" s="139"/>
      <c r="I559" s="138"/>
      <c r="J559" s="121"/>
      <c r="K559" s="132"/>
      <c r="L559" s="121"/>
      <c r="M559" s="96"/>
      <c r="N559" s="96"/>
      <c r="O559" s="85"/>
      <c r="P559" s="133"/>
    </row>
    <row r="560" spans="1:16" ht="15.75" customHeight="1">
      <c r="A560" s="130"/>
      <c r="B560" s="137"/>
      <c r="C560" s="138"/>
      <c r="D560" s="139"/>
      <c r="E560" s="138"/>
      <c r="F560" s="140"/>
      <c r="G560" s="140"/>
      <c r="H560" s="139"/>
      <c r="I560" s="138"/>
      <c r="J560" s="121"/>
      <c r="K560" s="132"/>
      <c r="L560" s="121"/>
      <c r="M560" s="96"/>
      <c r="N560" s="96"/>
      <c r="O560" s="85"/>
      <c r="P560" s="133"/>
    </row>
    <row r="561" spans="1:16" ht="15.75" customHeight="1">
      <c r="A561" s="130"/>
      <c r="B561" s="137"/>
      <c r="C561" s="138"/>
      <c r="D561" s="139"/>
      <c r="E561" s="138"/>
      <c r="F561" s="140"/>
      <c r="G561" s="140"/>
      <c r="H561" s="139"/>
      <c r="I561" s="138"/>
      <c r="J561" s="121"/>
      <c r="K561" s="132"/>
      <c r="L561" s="121"/>
      <c r="M561" s="96"/>
      <c r="N561" s="96"/>
      <c r="O561" s="85"/>
      <c r="P561" s="133"/>
    </row>
    <row r="562" spans="1:16" ht="15.75" customHeight="1">
      <c r="A562" s="130"/>
      <c r="B562" s="137"/>
      <c r="C562" s="138"/>
      <c r="D562" s="139"/>
      <c r="E562" s="138"/>
      <c r="F562" s="140"/>
      <c r="G562" s="140"/>
      <c r="H562" s="139"/>
      <c r="I562" s="138"/>
      <c r="J562" s="121"/>
      <c r="K562" s="132"/>
      <c r="L562" s="121"/>
      <c r="M562" s="96"/>
      <c r="N562" s="96"/>
      <c r="O562" s="85"/>
      <c r="P562" s="133"/>
    </row>
    <row r="563" spans="1:16" ht="15.75" customHeight="1">
      <c r="A563" s="130"/>
      <c r="B563" s="137"/>
      <c r="C563" s="138"/>
      <c r="D563" s="139"/>
      <c r="E563" s="138"/>
      <c r="F563" s="140"/>
      <c r="G563" s="140"/>
      <c r="H563" s="139"/>
      <c r="I563" s="138"/>
      <c r="J563" s="121"/>
      <c r="K563" s="132"/>
      <c r="L563" s="121"/>
      <c r="M563" s="96"/>
      <c r="N563" s="96"/>
      <c r="O563" s="85"/>
      <c r="P563" s="133"/>
    </row>
    <row r="564" spans="1:16" ht="15.75" customHeight="1">
      <c r="A564" s="130"/>
      <c r="B564" s="137"/>
      <c r="C564" s="138"/>
      <c r="D564" s="139"/>
      <c r="E564" s="138"/>
      <c r="F564" s="140"/>
      <c r="G564" s="140"/>
      <c r="H564" s="139"/>
      <c r="I564" s="138"/>
      <c r="J564" s="121"/>
      <c r="K564" s="132"/>
      <c r="L564" s="121"/>
      <c r="M564" s="96"/>
      <c r="N564" s="96"/>
      <c r="O564" s="85"/>
      <c r="P564" s="133"/>
    </row>
    <row r="565" spans="1:16" ht="15.75" customHeight="1">
      <c r="A565" s="130"/>
      <c r="B565" s="137"/>
      <c r="C565" s="138"/>
      <c r="D565" s="139"/>
      <c r="E565" s="138"/>
      <c r="F565" s="140"/>
      <c r="G565" s="140"/>
      <c r="H565" s="139"/>
      <c r="I565" s="138"/>
      <c r="J565" s="121"/>
      <c r="K565" s="132"/>
      <c r="L565" s="121"/>
      <c r="M565" s="96"/>
      <c r="N565" s="96"/>
      <c r="O565" s="85"/>
      <c r="P565" s="133"/>
    </row>
    <row r="566" spans="1:16" ht="15.75" customHeight="1">
      <c r="A566" s="130"/>
      <c r="B566" s="137"/>
      <c r="C566" s="138"/>
      <c r="D566" s="139"/>
      <c r="E566" s="138"/>
      <c r="F566" s="140"/>
      <c r="G566" s="140"/>
      <c r="H566" s="139"/>
      <c r="I566" s="138"/>
      <c r="J566" s="121"/>
      <c r="K566" s="132"/>
      <c r="L566" s="121"/>
      <c r="M566" s="96"/>
      <c r="N566" s="96"/>
      <c r="O566" s="85"/>
      <c r="P566" s="133"/>
    </row>
    <row r="567" spans="1:16" ht="15.75" customHeight="1">
      <c r="A567" s="130"/>
      <c r="B567" s="137"/>
      <c r="C567" s="138"/>
      <c r="D567" s="139"/>
      <c r="E567" s="138"/>
      <c r="F567" s="140"/>
      <c r="G567" s="140"/>
      <c r="H567" s="139"/>
      <c r="I567" s="138"/>
      <c r="J567" s="121"/>
      <c r="K567" s="132"/>
      <c r="L567" s="121"/>
      <c r="M567" s="96"/>
      <c r="N567" s="96"/>
      <c r="O567" s="85"/>
      <c r="P567" s="133"/>
    </row>
    <row r="568" spans="1:16" ht="15.75" customHeight="1">
      <c r="A568" s="130"/>
      <c r="B568" s="137"/>
      <c r="C568" s="138"/>
      <c r="D568" s="139"/>
      <c r="E568" s="138"/>
      <c r="F568" s="140"/>
      <c r="G568" s="140"/>
      <c r="H568" s="139"/>
      <c r="I568" s="138"/>
      <c r="J568" s="121"/>
      <c r="K568" s="132"/>
      <c r="L568" s="121"/>
      <c r="M568" s="96"/>
      <c r="N568" s="96"/>
      <c r="O568" s="85"/>
      <c r="P568" s="133"/>
    </row>
    <row r="569" spans="1:16" ht="15.75" customHeight="1">
      <c r="A569" s="130"/>
      <c r="B569" s="137"/>
      <c r="C569" s="138"/>
      <c r="D569" s="139"/>
      <c r="E569" s="138"/>
      <c r="F569" s="140"/>
      <c r="G569" s="140"/>
      <c r="H569" s="139"/>
      <c r="I569" s="138"/>
      <c r="J569" s="121"/>
      <c r="K569" s="132"/>
      <c r="L569" s="121"/>
      <c r="M569" s="96"/>
      <c r="N569" s="96"/>
      <c r="O569" s="85"/>
      <c r="P569" s="133"/>
    </row>
    <row r="570" spans="1:16" ht="15.75" customHeight="1">
      <c r="A570" s="130"/>
      <c r="B570" s="137"/>
      <c r="C570" s="138"/>
      <c r="D570" s="139"/>
      <c r="E570" s="138"/>
      <c r="F570" s="140"/>
      <c r="G570" s="140"/>
      <c r="H570" s="139"/>
      <c r="I570" s="138"/>
      <c r="J570" s="121"/>
      <c r="K570" s="132"/>
      <c r="L570" s="121"/>
      <c r="M570" s="96"/>
      <c r="N570" s="96"/>
      <c r="O570" s="85"/>
      <c r="P570" s="133"/>
    </row>
    <row r="571" spans="1:16" ht="15.75" customHeight="1">
      <c r="A571" s="130"/>
      <c r="B571" s="137"/>
      <c r="C571" s="138"/>
      <c r="D571" s="139"/>
      <c r="E571" s="138"/>
      <c r="F571" s="140"/>
      <c r="G571" s="140"/>
      <c r="H571" s="139"/>
      <c r="I571" s="138"/>
      <c r="J571" s="121"/>
      <c r="K571" s="132"/>
      <c r="L571" s="121"/>
      <c r="M571" s="96"/>
      <c r="N571" s="96"/>
      <c r="O571" s="85"/>
      <c r="P571" s="133"/>
    </row>
    <row r="572" spans="1:16" ht="15.75" customHeight="1">
      <c r="A572" s="130"/>
      <c r="B572" s="137"/>
      <c r="C572" s="138"/>
      <c r="D572" s="139"/>
      <c r="E572" s="138"/>
      <c r="F572" s="140"/>
      <c r="G572" s="140"/>
      <c r="H572" s="139"/>
      <c r="I572" s="138"/>
      <c r="J572" s="121"/>
      <c r="K572" s="132"/>
      <c r="L572" s="121"/>
      <c r="M572" s="96"/>
      <c r="N572" s="96"/>
      <c r="O572" s="85"/>
      <c r="P572" s="133"/>
    </row>
    <row r="573" spans="1:16" ht="15.75" customHeight="1">
      <c r="A573" s="130"/>
      <c r="B573" s="137"/>
      <c r="C573" s="138"/>
      <c r="D573" s="139"/>
      <c r="E573" s="138"/>
      <c r="F573" s="140"/>
      <c r="G573" s="140"/>
      <c r="H573" s="139"/>
      <c r="I573" s="138"/>
      <c r="J573" s="121"/>
      <c r="K573" s="132"/>
      <c r="L573" s="121"/>
      <c r="M573" s="96"/>
      <c r="N573" s="96"/>
      <c r="O573" s="85"/>
      <c r="P573" s="133"/>
    </row>
    <row r="574" spans="1:16" ht="15.75" customHeight="1">
      <c r="A574" s="130"/>
      <c r="B574" s="137"/>
      <c r="C574" s="138"/>
      <c r="D574" s="139"/>
      <c r="E574" s="138"/>
      <c r="F574" s="140"/>
      <c r="G574" s="140"/>
      <c r="H574" s="139"/>
      <c r="I574" s="138"/>
      <c r="J574" s="121"/>
      <c r="K574" s="132"/>
      <c r="L574" s="121"/>
      <c r="M574" s="96"/>
      <c r="N574" s="96"/>
      <c r="O574" s="85"/>
      <c r="P574" s="133"/>
    </row>
    <row r="575" spans="1:16" ht="15.75" customHeight="1">
      <c r="A575" s="130"/>
      <c r="B575" s="137"/>
      <c r="C575" s="138"/>
      <c r="D575" s="139"/>
      <c r="E575" s="138"/>
      <c r="F575" s="140"/>
      <c r="G575" s="140"/>
      <c r="H575" s="139"/>
      <c r="I575" s="138"/>
      <c r="J575" s="121"/>
      <c r="K575" s="132"/>
      <c r="L575" s="121"/>
      <c r="M575" s="96"/>
      <c r="N575" s="96"/>
      <c r="O575" s="85"/>
      <c r="P575" s="133"/>
    </row>
    <row r="576" spans="1:16" ht="15.75" customHeight="1">
      <c r="A576" s="130"/>
      <c r="B576" s="137"/>
      <c r="C576" s="138"/>
      <c r="D576" s="139"/>
      <c r="E576" s="138"/>
      <c r="F576" s="140"/>
      <c r="G576" s="140"/>
      <c r="H576" s="139"/>
      <c r="I576" s="138"/>
      <c r="J576" s="121"/>
      <c r="K576" s="132"/>
      <c r="L576" s="121"/>
      <c r="M576" s="96"/>
      <c r="N576" s="96"/>
      <c r="O576" s="85"/>
      <c r="P576" s="133"/>
    </row>
    <row r="577" spans="1:16" ht="15.75" customHeight="1">
      <c r="A577" s="130"/>
      <c r="B577" s="137"/>
      <c r="C577" s="138"/>
      <c r="D577" s="139"/>
      <c r="E577" s="138"/>
      <c r="F577" s="140"/>
      <c r="G577" s="140"/>
      <c r="H577" s="139"/>
      <c r="I577" s="138"/>
      <c r="J577" s="121"/>
      <c r="K577" s="132"/>
      <c r="L577" s="121"/>
      <c r="M577" s="96"/>
      <c r="N577" s="96"/>
      <c r="O577" s="85"/>
      <c r="P577" s="133"/>
    </row>
    <row r="578" spans="1:16" ht="15.75" customHeight="1">
      <c r="A578" s="130"/>
      <c r="B578" s="137"/>
      <c r="C578" s="138"/>
      <c r="D578" s="139"/>
      <c r="E578" s="138"/>
      <c r="F578" s="140"/>
      <c r="G578" s="140"/>
      <c r="H578" s="139"/>
      <c r="I578" s="138"/>
      <c r="J578" s="121"/>
      <c r="K578" s="132"/>
      <c r="L578" s="121"/>
      <c r="M578" s="96"/>
      <c r="N578" s="96"/>
      <c r="O578" s="85"/>
      <c r="P578" s="133"/>
    </row>
    <row r="579" spans="1:16" ht="15.75" customHeight="1">
      <c r="A579" s="130"/>
      <c r="B579" s="137"/>
      <c r="C579" s="138"/>
      <c r="D579" s="139"/>
      <c r="E579" s="138"/>
      <c r="F579" s="140"/>
      <c r="G579" s="140"/>
      <c r="H579" s="139"/>
      <c r="I579" s="138"/>
      <c r="J579" s="121"/>
      <c r="K579" s="132"/>
      <c r="L579" s="121"/>
      <c r="M579" s="96"/>
      <c r="N579" s="96"/>
      <c r="O579" s="85"/>
      <c r="P579" s="133"/>
    </row>
    <row r="580" spans="1:16" ht="15.75" customHeight="1">
      <c r="A580" s="130"/>
      <c r="B580" s="137"/>
      <c r="C580" s="138"/>
      <c r="D580" s="139"/>
      <c r="E580" s="138"/>
      <c r="F580" s="140"/>
      <c r="G580" s="140"/>
      <c r="H580" s="139"/>
      <c r="I580" s="138"/>
      <c r="J580" s="121"/>
      <c r="K580" s="132"/>
      <c r="L580" s="121"/>
      <c r="M580" s="96"/>
      <c r="N580" s="96"/>
      <c r="O580" s="85"/>
      <c r="P580" s="133"/>
    </row>
    <row r="581" spans="1:16" ht="15.75" customHeight="1">
      <c r="A581" s="130"/>
      <c r="B581" s="137"/>
      <c r="C581" s="138"/>
      <c r="D581" s="139"/>
      <c r="E581" s="138"/>
      <c r="F581" s="140"/>
      <c r="G581" s="140"/>
      <c r="H581" s="139"/>
      <c r="I581" s="138"/>
      <c r="J581" s="121"/>
      <c r="K581" s="132"/>
      <c r="L581" s="121"/>
      <c r="M581" s="96"/>
      <c r="N581" s="96"/>
      <c r="O581" s="85"/>
      <c r="P581" s="133"/>
    </row>
    <row r="582" spans="1:16" ht="15.75" customHeight="1">
      <c r="A582" s="130"/>
      <c r="B582" s="137"/>
      <c r="C582" s="138"/>
      <c r="D582" s="139"/>
      <c r="E582" s="138"/>
      <c r="F582" s="140"/>
      <c r="G582" s="140"/>
      <c r="H582" s="139"/>
      <c r="I582" s="138"/>
      <c r="J582" s="121"/>
      <c r="K582" s="132"/>
      <c r="L582" s="121"/>
      <c r="M582" s="96"/>
      <c r="N582" s="96"/>
      <c r="O582" s="85"/>
      <c r="P582" s="133"/>
    </row>
    <row r="583" spans="1:16" ht="15.75" customHeight="1">
      <c r="A583" s="130"/>
      <c r="B583" s="137"/>
      <c r="C583" s="138"/>
      <c r="D583" s="139"/>
      <c r="E583" s="138"/>
      <c r="F583" s="140"/>
      <c r="G583" s="140"/>
      <c r="H583" s="139"/>
      <c r="I583" s="138"/>
      <c r="J583" s="121"/>
      <c r="K583" s="132"/>
      <c r="L583" s="121"/>
      <c r="M583" s="96"/>
      <c r="N583" s="96"/>
      <c r="O583" s="85"/>
      <c r="P583" s="133"/>
    </row>
    <row r="584" spans="1:16" ht="15.75" customHeight="1">
      <c r="A584" s="130"/>
      <c r="B584" s="137"/>
      <c r="C584" s="138"/>
      <c r="D584" s="139"/>
      <c r="E584" s="138"/>
      <c r="F584" s="140"/>
      <c r="G584" s="140"/>
      <c r="H584" s="139"/>
      <c r="I584" s="138"/>
      <c r="J584" s="121"/>
      <c r="K584" s="132"/>
      <c r="L584" s="121"/>
      <c r="M584" s="96"/>
      <c r="N584" s="96"/>
      <c r="O584" s="85"/>
      <c r="P584" s="133"/>
    </row>
    <row r="585" spans="1:16" ht="15.75" customHeight="1">
      <c r="A585" s="130"/>
      <c r="B585" s="137"/>
      <c r="C585" s="138"/>
      <c r="D585" s="139"/>
      <c r="E585" s="138"/>
      <c r="F585" s="140"/>
      <c r="G585" s="140"/>
      <c r="H585" s="139"/>
      <c r="I585" s="138"/>
      <c r="J585" s="121"/>
      <c r="K585" s="132"/>
      <c r="L585" s="121"/>
      <c r="M585" s="96"/>
      <c r="N585" s="96"/>
      <c r="O585" s="85"/>
      <c r="P585" s="133"/>
    </row>
    <row r="586" spans="1:16" ht="15.75" customHeight="1">
      <c r="A586" s="130"/>
      <c r="B586" s="137"/>
      <c r="C586" s="138"/>
      <c r="D586" s="139"/>
      <c r="E586" s="138"/>
      <c r="F586" s="140"/>
      <c r="G586" s="140"/>
      <c r="H586" s="139"/>
      <c r="I586" s="138"/>
      <c r="J586" s="121"/>
      <c r="K586" s="132"/>
      <c r="L586" s="121"/>
      <c r="M586" s="96"/>
      <c r="N586" s="96"/>
      <c r="O586" s="85"/>
      <c r="P586" s="133"/>
    </row>
    <row r="587" spans="1:16" ht="15.75" customHeight="1">
      <c r="A587" s="130"/>
      <c r="B587" s="137"/>
      <c r="C587" s="138"/>
      <c r="D587" s="139"/>
      <c r="E587" s="138"/>
      <c r="F587" s="140"/>
      <c r="G587" s="140"/>
      <c r="H587" s="139"/>
      <c r="I587" s="138"/>
      <c r="J587" s="121"/>
      <c r="K587" s="132"/>
      <c r="L587" s="121"/>
      <c r="M587" s="96"/>
      <c r="N587" s="96"/>
      <c r="O587" s="85"/>
      <c r="P587" s="133"/>
    </row>
    <row r="588" spans="1:16" ht="15.75" customHeight="1">
      <c r="A588" s="130"/>
      <c r="B588" s="137"/>
      <c r="C588" s="138"/>
      <c r="D588" s="139"/>
      <c r="E588" s="138"/>
      <c r="F588" s="140"/>
      <c r="G588" s="140"/>
      <c r="H588" s="139"/>
      <c r="I588" s="138"/>
      <c r="J588" s="121"/>
      <c r="K588" s="132"/>
      <c r="L588" s="121"/>
      <c r="M588" s="96"/>
      <c r="N588" s="96"/>
      <c r="O588" s="85"/>
      <c r="P588" s="133"/>
    </row>
    <row r="589" spans="1:16" ht="15.75" customHeight="1">
      <c r="A589" s="130"/>
      <c r="B589" s="137"/>
      <c r="C589" s="138"/>
      <c r="D589" s="139"/>
      <c r="E589" s="138"/>
      <c r="F589" s="140"/>
      <c r="G589" s="140"/>
      <c r="H589" s="139"/>
      <c r="I589" s="138"/>
      <c r="J589" s="121"/>
      <c r="K589" s="132"/>
      <c r="L589" s="121"/>
      <c r="M589" s="96"/>
      <c r="N589" s="96"/>
      <c r="O589" s="85"/>
      <c r="P589" s="133"/>
    </row>
    <row r="590" spans="1:16" ht="15.75" customHeight="1">
      <c r="A590" s="130"/>
      <c r="B590" s="137"/>
      <c r="C590" s="138"/>
      <c r="D590" s="139"/>
      <c r="E590" s="138"/>
      <c r="F590" s="140"/>
      <c r="G590" s="140"/>
      <c r="H590" s="139"/>
      <c r="I590" s="138"/>
      <c r="J590" s="121"/>
      <c r="K590" s="132"/>
      <c r="L590" s="121"/>
      <c r="M590" s="96"/>
      <c r="N590" s="96"/>
      <c r="O590" s="85"/>
      <c r="P590" s="133"/>
    </row>
    <row r="591" spans="1:16" ht="15.75" customHeight="1">
      <c r="A591" s="130"/>
      <c r="B591" s="137"/>
      <c r="C591" s="138"/>
      <c r="D591" s="139"/>
      <c r="E591" s="138"/>
      <c r="F591" s="140"/>
      <c r="G591" s="140"/>
      <c r="H591" s="139"/>
      <c r="I591" s="138"/>
      <c r="J591" s="121"/>
      <c r="K591" s="132"/>
      <c r="L591" s="121"/>
      <c r="M591" s="96"/>
      <c r="N591" s="96"/>
      <c r="O591" s="85"/>
      <c r="P591" s="133"/>
    </row>
    <row r="592" spans="1:16" ht="15.75" customHeight="1">
      <c r="A592" s="130"/>
      <c r="B592" s="137"/>
      <c r="C592" s="138"/>
      <c r="D592" s="139"/>
      <c r="E592" s="138"/>
      <c r="F592" s="140"/>
      <c r="G592" s="140"/>
      <c r="H592" s="139"/>
      <c r="I592" s="138"/>
      <c r="J592" s="121"/>
      <c r="K592" s="132"/>
      <c r="L592" s="121"/>
      <c r="M592" s="96"/>
      <c r="N592" s="96"/>
      <c r="O592" s="85"/>
      <c r="P592" s="133"/>
    </row>
    <row r="593" spans="1:16" ht="15.75" customHeight="1">
      <c r="A593" s="130"/>
      <c r="B593" s="137"/>
      <c r="C593" s="138"/>
      <c r="D593" s="139"/>
      <c r="E593" s="138"/>
      <c r="F593" s="140"/>
      <c r="G593" s="140"/>
      <c r="H593" s="139"/>
      <c r="I593" s="138"/>
      <c r="J593" s="121"/>
      <c r="K593" s="132"/>
      <c r="L593" s="121"/>
      <c r="M593" s="96"/>
      <c r="N593" s="96"/>
      <c r="O593" s="85"/>
      <c r="P593" s="133"/>
    </row>
    <row r="594" spans="1:16" ht="15.75" customHeight="1">
      <c r="A594" s="130"/>
      <c r="B594" s="137"/>
      <c r="C594" s="138"/>
      <c r="D594" s="139"/>
      <c r="E594" s="138"/>
      <c r="F594" s="140"/>
      <c r="G594" s="140"/>
      <c r="H594" s="139"/>
      <c r="I594" s="138"/>
      <c r="J594" s="121"/>
      <c r="K594" s="132"/>
      <c r="L594" s="121"/>
      <c r="M594" s="96"/>
      <c r="N594" s="96"/>
      <c r="O594" s="85"/>
      <c r="P594" s="133"/>
    </row>
    <row r="595" spans="1:16" ht="15.75" customHeight="1">
      <c r="A595" s="130"/>
      <c r="B595" s="137"/>
      <c r="C595" s="138"/>
      <c r="D595" s="139"/>
      <c r="E595" s="138"/>
      <c r="F595" s="140"/>
      <c r="G595" s="140"/>
      <c r="H595" s="139"/>
      <c r="I595" s="138"/>
      <c r="J595" s="121"/>
      <c r="K595" s="132"/>
      <c r="L595" s="121"/>
      <c r="M595" s="96"/>
      <c r="N595" s="96"/>
      <c r="O595" s="85"/>
      <c r="P595" s="133"/>
    </row>
    <row r="596" spans="1:16" ht="15.75" customHeight="1">
      <c r="A596" s="130"/>
      <c r="B596" s="137"/>
      <c r="C596" s="138"/>
      <c r="D596" s="139"/>
      <c r="E596" s="138"/>
      <c r="F596" s="140"/>
      <c r="G596" s="140"/>
      <c r="H596" s="139"/>
      <c r="I596" s="138"/>
      <c r="J596" s="121"/>
      <c r="K596" s="132"/>
      <c r="L596" s="121"/>
      <c r="M596" s="96"/>
      <c r="N596" s="96"/>
      <c r="O596" s="85"/>
      <c r="P596" s="133"/>
    </row>
    <row r="597" spans="1:16" ht="15.75" customHeight="1">
      <c r="A597" s="130"/>
      <c r="B597" s="137"/>
      <c r="C597" s="138"/>
      <c r="D597" s="139"/>
      <c r="E597" s="138"/>
      <c r="F597" s="140"/>
      <c r="G597" s="140"/>
      <c r="H597" s="139"/>
      <c r="I597" s="138"/>
      <c r="J597" s="121"/>
      <c r="K597" s="132"/>
      <c r="L597" s="121"/>
      <c r="M597" s="96"/>
      <c r="N597" s="96"/>
      <c r="O597" s="85"/>
      <c r="P597" s="133"/>
    </row>
    <row r="598" spans="1:16" ht="15.75" customHeight="1">
      <c r="A598" s="130"/>
      <c r="B598" s="137"/>
      <c r="C598" s="138"/>
      <c r="D598" s="139"/>
      <c r="E598" s="138"/>
      <c r="F598" s="140"/>
      <c r="G598" s="140"/>
      <c r="H598" s="139"/>
      <c r="I598" s="138"/>
      <c r="J598" s="121"/>
      <c r="K598" s="132"/>
      <c r="L598" s="121"/>
      <c r="M598" s="96"/>
      <c r="N598" s="96"/>
      <c r="O598" s="85"/>
      <c r="P598" s="133"/>
    </row>
    <row r="599" spans="1:16" ht="15.75" customHeight="1">
      <c r="A599" s="130"/>
      <c r="B599" s="137"/>
      <c r="C599" s="138"/>
      <c r="D599" s="139"/>
      <c r="E599" s="138"/>
      <c r="F599" s="140"/>
      <c r="G599" s="140"/>
      <c r="H599" s="139"/>
      <c r="I599" s="138"/>
      <c r="J599" s="121"/>
      <c r="K599" s="132"/>
      <c r="L599" s="121"/>
      <c r="M599" s="96"/>
      <c r="N599" s="96"/>
      <c r="O599" s="85"/>
      <c r="P599" s="133"/>
    </row>
    <row r="600" spans="1:16" ht="15.75" customHeight="1">
      <c r="A600" s="130"/>
      <c r="B600" s="137"/>
      <c r="C600" s="138"/>
      <c r="D600" s="139"/>
      <c r="E600" s="138"/>
      <c r="F600" s="140"/>
      <c r="G600" s="140"/>
      <c r="H600" s="139"/>
      <c r="I600" s="138"/>
      <c r="J600" s="121"/>
      <c r="K600" s="132"/>
      <c r="L600" s="121"/>
      <c r="M600" s="96"/>
      <c r="N600" s="96"/>
      <c r="O600" s="85"/>
      <c r="P600" s="133"/>
    </row>
    <row r="601" spans="1:16" ht="15.75" customHeight="1">
      <c r="A601" s="130"/>
      <c r="B601" s="137"/>
      <c r="C601" s="138"/>
      <c r="D601" s="139"/>
      <c r="E601" s="138"/>
      <c r="F601" s="140"/>
      <c r="G601" s="140"/>
      <c r="H601" s="139"/>
      <c r="I601" s="138"/>
      <c r="J601" s="121"/>
      <c r="K601" s="132"/>
      <c r="L601" s="121"/>
      <c r="M601" s="96"/>
      <c r="N601" s="96"/>
      <c r="O601" s="85"/>
      <c r="P601" s="133"/>
    </row>
    <row r="602" spans="1:16" ht="15.75" customHeight="1">
      <c r="A602" s="130"/>
      <c r="B602" s="137"/>
      <c r="C602" s="138"/>
      <c r="D602" s="139"/>
      <c r="E602" s="138"/>
      <c r="F602" s="140"/>
      <c r="G602" s="140"/>
      <c r="H602" s="139"/>
      <c r="I602" s="138"/>
      <c r="J602" s="121"/>
      <c r="K602" s="132"/>
      <c r="L602" s="121"/>
      <c r="M602" s="96"/>
      <c r="N602" s="96"/>
      <c r="O602" s="85"/>
      <c r="P602" s="133"/>
    </row>
    <row r="603" spans="1:16" ht="15.75" customHeight="1">
      <c r="A603" s="130"/>
      <c r="B603" s="137"/>
      <c r="C603" s="138"/>
      <c r="D603" s="139"/>
      <c r="E603" s="138"/>
      <c r="F603" s="140"/>
      <c r="G603" s="140"/>
      <c r="H603" s="139"/>
      <c r="I603" s="138"/>
      <c r="J603" s="121"/>
      <c r="K603" s="132"/>
      <c r="L603" s="121"/>
      <c r="M603" s="96"/>
      <c r="N603" s="96"/>
      <c r="O603" s="85"/>
      <c r="P603" s="133"/>
    </row>
    <row r="604" spans="1:16" ht="15.75" customHeight="1">
      <c r="A604" s="130"/>
      <c r="B604" s="137"/>
      <c r="C604" s="138"/>
      <c r="D604" s="139"/>
      <c r="E604" s="138"/>
      <c r="F604" s="140"/>
      <c r="G604" s="140"/>
      <c r="H604" s="139"/>
      <c r="I604" s="138"/>
      <c r="J604" s="121"/>
      <c r="K604" s="132"/>
      <c r="L604" s="121"/>
      <c r="M604" s="96"/>
      <c r="N604" s="96"/>
      <c r="O604" s="85"/>
      <c r="P604" s="133"/>
    </row>
    <row r="605" spans="1:16" ht="15.75" customHeight="1">
      <c r="A605" s="130"/>
      <c r="B605" s="137"/>
      <c r="C605" s="138"/>
      <c r="D605" s="139"/>
      <c r="E605" s="138"/>
      <c r="F605" s="140"/>
      <c r="G605" s="140"/>
      <c r="H605" s="139"/>
      <c r="I605" s="138"/>
      <c r="J605" s="121"/>
      <c r="K605" s="132"/>
      <c r="L605" s="121"/>
      <c r="M605" s="96"/>
      <c r="N605" s="96"/>
      <c r="O605" s="85"/>
      <c r="P605" s="133"/>
    </row>
    <row r="606" spans="1:16" ht="15.75" customHeight="1">
      <c r="A606" s="130"/>
      <c r="B606" s="137"/>
      <c r="C606" s="138"/>
      <c r="D606" s="139"/>
      <c r="E606" s="138"/>
      <c r="F606" s="140"/>
      <c r="G606" s="140"/>
      <c r="H606" s="139"/>
      <c r="I606" s="138"/>
      <c r="J606" s="121"/>
      <c r="K606" s="132"/>
      <c r="L606" s="121"/>
      <c r="M606" s="96"/>
      <c r="N606" s="96"/>
      <c r="O606" s="85"/>
      <c r="P606" s="133"/>
    </row>
    <row r="607" spans="1:16" ht="15.75" customHeight="1">
      <c r="A607" s="130"/>
      <c r="B607" s="137"/>
      <c r="C607" s="138"/>
      <c r="D607" s="139"/>
      <c r="E607" s="138"/>
      <c r="F607" s="140"/>
      <c r="G607" s="140"/>
      <c r="H607" s="139"/>
      <c r="I607" s="138"/>
      <c r="J607" s="121"/>
      <c r="K607" s="132"/>
      <c r="L607" s="121"/>
      <c r="M607" s="96"/>
      <c r="N607" s="96"/>
      <c r="O607" s="85"/>
      <c r="P607" s="133"/>
    </row>
    <row r="608" spans="1:16" ht="15.75" customHeight="1">
      <c r="A608" s="130"/>
      <c r="B608" s="137"/>
      <c r="C608" s="138"/>
      <c r="D608" s="139"/>
      <c r="E608" s="138"/>
      <c r="F608" s="140"/>
      <c r="G608" s="140"/>
      <c r="H608" s="139"/>
      <c r="I608" s="138"/>
      <c r="J608" s="121"/>
      <c r="K608" s="132"/>
      <c r="L608" s="121"/>
      <c r="M608" s="96"/>
      <c r="N608" s="96"/>
      <c r="O608" s="85"/>
      <c r="P608" s="133"/>
    </row>
    <row r="609" spans="1:16" ht="15.75" customHeight="1">
      <c r="A609" s="130"/>
      <c r="B609" s="137"/>
      <c r="C609" s="138"/>
      <c r="D609" s="139"/>
      <c r="E609" s="138"/>
      <c r="F609" s="140"/>
      <c r="G609" s="140"/>
      <c r="H609" s="139"/>
      <c r="I609" s="138"/>
      <c r="J609" s="121"/>
      <c r="K609" s="132"/>
      <c r="L609" s="121"/>
      <c r="M609" s="96"/>
      <c r="N609" s="96"/>
      <c r="O609" s="85"/>
      <c r="P609" s="133"/>
    </row>
    <row r="610" spans="1:16" ht="15.75" customHeight="1">
      <c r="A610" s="130"/>
      <c r="B610" s="137"/>
      <c r="C610" s="138"/>
      <c r="D610" s="139"/>
      <c r="E610" s="138"/>
      <c r="F610" s="140"/>
      <c r="G610" s="140"/>
      <c r="H610" s="139"/>
      <c r="I610" s="138"/>
      <c r="J610" s="121"/>
      <c r="K610" s="132"/>
      <c r="L610" s="121"/>
      <c r="M610" s="96"/>
      <c r="N610" s="96"/>
      <c r="O610" s="85"/>
      <c r="P610" s="133"/>
    </row>
    <row r="611" spans="1:16" ht="15.75" customHeight="1">
      <c r="A611" s="130"/>
      <c r="B611" s="137"/>
      <c r="C611" s="138"/>
      <c r="D611" s="139"/>
      <c r="E611" s="138"/>
      <c r="F611" s="140"/>
      <c r="G611" s="140"/>
      <c r="H611" s="139"/>
      <c r="I611" s="138"/>
      <c r="J611" s="121"/>
      <c r="K611" s="132"/>
      <c r="L611" s="121"/>
      <c r="M611" s="96"/>
      <c r="N611" s="96"/>
      <c r="O611" s="85"/>
      <c r="P611" s="133"/>
    </row>
    <row r="612" spans="1:16" ht="15.75" customHeight="1">
      <c r="A612" s="130"/>
      <c r="B612" s="137"/>
      <c r="C612" s="138"/>
      <c r="D612" s="139"/>
      <c r="E612" s="138"/>
      <c r="F612" s="140"/>
      <c r="G612" s="140"/>
      <c r="H612" s="139"/>
      <c r="I612" s="138"/>
      <c r="J612" s="121"/>
      <c r="K612" s="132"/>
      <c r="L612" s="121"/>
      <c r="M612" s="96"/>
      <c r="N612" s="96"/>
      <c r="O612" s="85"/>
      <c r="P612" s="133"/>
    </row>
    <row r="613" spans="1:16" ht="15.75" customHeight="1">
      <c r="A613" s="130"/>
      <c r="B613" s="137"/>
      <c r="C613" s="138"/>
      <c r="D613" s="139"/>
      <c r="E613" s="138"/>
      <c r="F613" s="140"/>
      <c r="G613" s="140"/>
      <c r="H613" s="139"/>
      <c r="I613" s="138"/>
      <c r="J613" s="121"/>
      <c r="K613" s="132"/>
      <c r="L613" s="121"/>
      <c r="M613" s="96"/>
      <c r="N613" s="96"/>
      <c r="O613" s="85"/>
      <c r="P613" s="133"/>
    </row>
    <row r="614" spans="1:16" ht="15.75" customHeight="1">
      <c r="A614" s="130"/>
      <c r="B614" s="137"/>
      <c r="C614" s="138"/>
      <c r="D614" s="139"/>
      <c r="E614" s="138"/>
      <c r="F614" s="140"/>
      <c r="G614" s="140"/>
      <c r="H614" s="139"/>
      <c r="I614" s="138"/>
      <c r="J614" s="121"/>
      <c r="K614" s="132"/>
      <c r="L614" s="121"/>
      <c r="M614" s="96"/>
      <c r="N614" s="96"/>
      <c r="O614" s="85"/>
      <c r="P614" s="133"/>
    </row>
    <row r="615" spans="1:16" ht="15.75" customHeight="1">
      <c r="A615" s="130"/>
      <c r="B615" s="137"/>
      <c r="C615" s="138"/>
      <c r="D615" s="139"/>
      <c r="E615" s="138"/>
      <c r="F615" s="140"/>
      <c r="G615" s="140"/>
      <c r="H615" s="139"/>
      <c r="I615" s="138"/>
      <c r="J615" s="121"/>
      <c r="K615" s="132"/>
      <c r="L615" s="121"/>
      <c r="M615" s="96"/>
      <c r="N615" s="96"/>
      <c r="O615" s="85"/>
      <c r="P615" s="133"/>
    </row>
    <row r="616" spans="1:16" ht="15.75" customHeight="1">
      <c r="A616" s="130"/>
      <c r="B616" s="137"/>
      <c r="C616" s="138"/>
      <c r="D616" s="139"/>
      <c r="E616" s="138"/>
      <c r="F616" s="140"/>
      <c r="G616" s="140"/>
      <c r="H616" s="139"/>
      <c r="I616" s="138"/>
      <c r="J616" s="121"/>
      <c r="K616" s="132"/>
      <c r="L616" s="121"/>
      <c r="M616" s="96"/>
      <c r="N616" s="96"/>
      <c r="O616" s="85"/>
      <c r="P616" s="133"/>
    </row>
    <row r="617" spans="1:16" ht="15.75" customHeight="1">
      <c r="A617" s="130"/>
      <c r="B617" s="137"/>
      <c r="C617" s="138"/>
      <c r="D617" s="139"/>
      <c r="E617" s="138"/>
      <c r="F617" s="140"/>
      <c r="G617" s="140"/>
      <c r="H617" s="139"/>
      <c r="I617" s="138"/>
      <c r="J617" s="121"/>
      <c r="K617" s="132"/>
      <c r="L617" s="121"/>
      <c r="M617" s="96"/>
      <c r="N617" s="96"/>
      <c r="O617" s="85"/>
      <c r="P617" s="133"/>
    </row>
    <row r="618" spans="1:16" ht="15.75" customHeight="1">
      <c r="A618" s="130"/>
      <c r="B618" s="137"/>
      <c r="C618" s="138"/>
      <c r="D618" s="139"/>
      <c r="E618" s="138"/>
      <c r="F618" s="140"/>
      <c r="G618" s="140"/>
      <c r="H618" s="139"/>
      <c r="I618" s="138"/>
      <c r="J618" s="121"/>
      <c r="K618" s="132"/>
      <c r="L618" s="121"/>
      <c r="M618" s="96"/>
      <c r="N618" s="96"/>
      <c r="O618" s="85"/>
      <c r="P618" s="133"/>
    </row>
    <row r="619" spans="1:16" ht="15.75" customHeight="1">
      <c r="A619" s="130"/>
      <c r="B619" s="137"/>
      <c r="C619" s="138"/>
      <c r="D619" s="139"/>
      <c r="E619" s="138"/>
      <c r="F619" s="140"/>
      <c r="G619" s="140"/>
      <c r="H619" s="139"/>
      <c r="I619" s="138"/>
      <c r="J619" s="121"/>
      <c r="K619" s="132"/>
      <c r="L619" s="121"/>
      <c r="M619" s="96"/>
      <c r="N619" s="96"/>
      <c r="O619" s="85"/>
      <c r="P619" s="133"/>
    </row>
    <row r="620" spans="1:16" ht="15.75" customHeight="1">
      <c r="A620" s="130"/>
      <c r="B620" s="137"/>
      <c r="C620" s="138"/>
      <c r="D620" s="139"/>
      <c r="E620" s="138"/>
      <c r="F620" s="140"/>
      <c r="G620" s="140"/>
      <c r="H620" s="139"/>
      <c r="I620" s="138"/>
      <c r="J620" s="121"/>
      <c r="K620" s="132"/>
      <c r="L620" s="121"/>
      <c r="M620" s="96"/>
      <c r="N620" s="96"/>
      <c r="O620" s="85"/>
      <c r="P620" s="133"/>
    </row>
    <row r="621" spans="1:16" ht="15.75" customHeight="1">
      <c r="A621" s="130"/>
      <c r="B621" s="137"/>
      <c r="C621" s="138"/>
      <c r="D621" s="139"/>
      <c r="E621" s="138"/>
      <c r="F621" s="140"/>
      <c r="G621" s="140"/>
      <c r="H621" s="139"/>
      <c r="I621" s="138"/>
      <c r="J621" s="121"/>
      <c r="K621" s="132"/>
      <c r="L621" s="121"/>
      <c r="M621" s="96"/>
      <c r="N621" s="96"/>
      <c r="O621" s="85"/>
      <c r="P621" s="133"/>
    </row>
    <row r="622" spans="1:16" ht="15.75" customHeight="1">
      <c r="A622" s="130"/>
      <c r="B622" s="137"/>
      <c r="C622" s="138"/>
      <c r="D622" s="139"/>
      <c r="E622" s="138"/>
      <c r="F622" s="140"/>
      <c r="G622" s="140"/>
      <c r="H622" s="139"/>
      <c r="I622" s="138"/>
      <c r="J622" s="121"/>
      <c r="K622" s="132"/>
      <c r="L622" s="121"/>
      <c r="M622" s="96"/>
      <c r="N622" s="96"/>
      <c r="O622" s="85"/>
      <c r="P622" s="133"/>
    </row>
    <row r="623" spans="1:16" ht="15.75" customHeight="1">
      <c r="A623" s="130"/>
      <c r="B623" s="137"/>
      <c r="C623" s="138"/>
      <c r="D623" s="139"/>
      <c r="E623" s="138"/>
      <c r="F623" s="140"/>
      <c r="G623" s="140"/>
      <c r="H623" s="139"/>
      <c r="I623" s="138"/>
      <c r="J623" s="121"/>
      <c r="K623" s="132"/>
      <c r="L623" s="121"/>
      <c r="M623" s="96"/>
      <c r="N623" s="96"/>
      <c r="O623" s="85"/>
      <c r="P623" s="133"/>
    </row>
    <row r="624" spans="1:16" ht="15.75" customHeight="1">
      <c r="A624" s="130"/>
      <c r="B624" s="137"/>
      <c r="C624" s="138"/>
      <c r="D624" s="139"/>
      <c r="E624" s="138"/>
      <c r="F624" s="140"/>
      <c r="G624" s="140"/>
      <c r="H624" s="139"/>
      <c r="I624" s="138"/>
      <c r="J624" s="121"/>
      <c r="K624" s="132"/>
      <c r="L624" s="121"/>
      <c r="M624" s="96"/>
      <c r="N624" s="96"/>
      <c r="O624" s="85"/>
      <c r="P624" s="133"/>
    </row>
    <row r="625" spans="1:16" ht="15.75" customHeight="1">
      <c r="A625" s="130"/>
      <c r="B625" s="137"/>
      <c r="C625" s="138"/>
      <c r="D625" s="139"/>
      <c r="E625" s="138"/>
      <c r="F625" s="140"/>
      <c r="G625" s="140"/>
      <c r="H625" s="139"/>
      <c r="I625" s="138"/>
      <c r="J625" s="121"/>
      <c r="K625" s="132"/>
      <c r="L625" s="121"/>
      <c r="M625" s="96"/>
      <c r="N625" s="96"/>
      <c r="O625" s="85"/>
      <c r="P625" s="133"/>
    </row>
    <row r="626" spans="1:16" ht="15.75" customHeight="1">
      <c r="A626" s="130"/>
      <c r="B626" s="137"/>
      <c r="C626" s="138"/>
      <c r="D626" s="139"/>
      <c r="E626" s="138"/>
      <c r="F626" s="140"/>
      <c r="G626" s="140"/>
      <c r="H626" s="139"/>
      <c r="I626" s="138"/>
      <c r="J626" s="121"/>
      <c r="K626" s="132"/>
      <c r="L626" s="121"/>
      <c r="M626" s="96"/>
      <c r="N626" s="96"/>
      <c r="O626" s="85"/>
      <c r="P626" s="133"/>
    </row>
    <row r="627" spans="1:16" ht="15.75" customHeight="1">
      <c r="A627" s="130"/>
      <c r="B627" s="137"/>
      <c r="C627" s="138"/>
      <c r="D627" s="139"/>
      <c r="E627" s="138"/>
      <c r="F627" s="140"/>
      <c r="G627" s="140"/>
      <c r="H627" s="139"/>
      <c r="I627" s="138"/>
      <c r="J627" s="121"/>
      <c r="K627" s="132"/>
      <c r="L627" s="121"/>
      <c r="M627" s="96"/>
      <c r="N627" s="96"/>
      <c r="O627" s="85"/>
      <c r="P627" s="133"/>
    </row>
    <row r="628" spans="1:16" ht="15.75" customHeight="1">
      <c r="A628" s="130"/>
      <c r="B628" s="137"/>
      <c r="C628" s="138"/>
      <c r="D628" s="139"/>
      <c r="E628" s="138"/>
      <c r="F628" s="140"/>
      <c r="G628" s="140"/>
      <c r="H628" s="139"/>
      <c r="I628" s="138"/>
      <c r="J628" s="121"/>
      <c r="K628" s="132"/>
      <c r="L628" s="121"/>
      <c r="M628" s="96"/>
      <c r="N628" s="96"/>
      <c r="O628" s="85"/>
      <c r="P628" s="133"/>
    </row>
    <row r="629" spans="1:16" ht="15.75" customHeight="1">
      <c r="A629" s="130"/>
      <c r="B629" s="137"/>
      <c r="C629" s="138"/>
      <c r="D629" s="139"/>
      <c r="E629" s="138"/>
      <c r="F629" s="140"/>
      <c r="G629" s="140"/>
      <c r="H629" s="139"/>
      <c r="I629" s="138"/>
      <c r="J629" s="121"/>
      <c r="K629" s="132"/>
      <c r="L629" s="121"/>
      <c r="M629" s="96"/>
      <c r="N629" s="96"/>
      <c r="O629" s="85"/>
      <c r="P629" s="133"/>
    </row>
    <row r="630" spans="1:16" ht="15.75" customHeight="1">
      <c r="A630" s="130"/>
      <c r="B630" s="137"/>
      <c r="C630" s="138"/>
      <c r="D630" s="139"/>
      <c r="E630" s="138"/>
      <c r="F630" s="140"/>
      <c r="G630" s="140"/>
      <c r="H630" s="139"/>
      <c r="I630" s="138"/>
      <c r="J630" s="121"/>
      <c r="K630" s="132"/>
      <c r="L630" s="121"/>
      <c r="M630" s="96"/>
      <c r="N630" s="96"/>
      <c r="O630" s="85"/>
      <c r="P630" s="133"/>
    </row>
    <row r="631" spans="1:16" ht="15.75" customHeight="1">
      <c r="A631" s="130"/>
      <c r="B631" s="137"/>
      <c r="C631" s="138"/>
      <c r="D631" s="139"/>
      <c r="E631" s="138"/>
      <c r="F631" s="140"/>
      <c r="G631" s="140"/>
      <c r="H631" s="139"/>
      <c r="I631" s="138"/>
      <c r="J631" s="121"/>
      <c r="K631" s="132"/>
      <c r="L631" s="121"/>
      <c r="M631" s="96"/>
      <c r="N631" s="96"/>
      <c r="O631" s="85"/>
      <c r="P631" s="133"/>
    </row>
    <row r="632" spans="1:16" ht="15.75" customHeight="1">
      <c r="A632" s="130"/>
      <c r="B632" s="137"/>
      <c r="C632" s="138"/>
      <c r="D632" s="139"/>
      <c r="E632" s="138"/>
      <c r="F632" s="140"/>
      <c r="G632" s="140"/>
      <c r="H632" s="139"/>
      <c r="I632" s="138"/>
      <c r="J632" s="121"/>
      <c r="K632" s="132"/>
      <c r="L632" s="121"/>
      <c r="M632" s="96"/>
      <c r="N632" s="96"/>
      <c r="O632" s="85"/>
      <c r="P632" s="133"/>
    </row>
    <row r="633" spans="1:16" ht="15.75" customHeight="1">
      <c r="A633" s="130"/>
      <c r="B633" s="137"/>
      <c r="C633" s="138"/>
      <c r="D633" s="139"/>
      <c r="E633" s="138"/>
      <c r="F633" s="140"/>
      <c r="G633" s="140"/>
      <c r="H633" s="139"/>
      <c r="I633" s="138"/>
      <c r="J633" s="121"/>
      <c r="K633" s="132"/>
      <c r="L633" s="121"/>
      <c r="M633" s="96"/>
      <c r="N633" s="96"/>
      <c r="O633" s="85"/>
      <c r="P633" s="133"/>
    </row>
    <row r="634" spans="1:16" ht="15.75" customHeight="1">
      <c r="A634" s="130"/>
      <c r="B634" s="137"/>
      <c r="C634" s="138"/>
      <c r="D634" s="139"/>
      <c r="E634" s="138"/>
      <c r="F634" s="140"/>
      <c r="G634" s="140"/>
      <c r="H634" s="139"/>
      <c r="I634" s="138"/>
      <c r="J634" s="121"/>
      <c r="K634" s="132"/>
      <c r="L634" s="121"/>
      <c r="M634" s="96"/>
      <c r="N634" s="96"/>
      <c r="O634" s="85"/>
      <c r="P634" s="133"/>
    </row>
    <row r="635" spans="1:16" ht="15.75" customHeight="1">
      <c r="A635" s="130"/>
      <c r="B635" s="137"/>
      <c r="C635" s="138"/>
      <c r="D635" s="139"/>
      <c r="E635" s="138"/>
      <c r="F635" s="140"/>
      <c r="G635" s="140"/>
      <c r="H635" s="139"/>
      <c r="I635" s="138"/>
      <c r="J635" s="121"/>
      <c r="K635" s="132"/>
      <c r="L635" s="121"/>
      <c r="M635" s="96"/>
      <c r="N635" s="96"/>
      <c r="O635" s="85"/>
      <c r="P635" s="133"/>
    </row>
    <row r="636" spans="1:16" ht="15.75" customHeight="1">
      <c r="A636" s="130"/>
      <c r="B636" s="137"/>
      <c r="C636" s="138"/>
      <c r="D636" s="139"/>
      <c r="E636" s="138"/>
      <c r="F636" s="140"/>
      <c r="G636" s="140"/>
      <c r="H636" s="139"/>
      <c r="I636" s="138"/>
      <c r="J636" s="121"/>
      <c r="K636" s="132"/>
      <c r="L636" s="121"/>
      <c r="M636" s="96"/>
      <c r="N636" s="96"/>
      <c r="O636" s="85"/>
      <c r="P636" s="133"/>
    </row>
    <row r="637" spans="1:16" ht="15.75" customHeight="1">
      <c r="A637" s="130"/>
      <c r="B637" s="137"/>
      <c r="C637" s="138"/>
      <c r="D637" s="139"/>
      <c r="E637" s="138"/>
      <c r="F637" s="140"/>
      <c r="G637" s="140"/>
      <c r="H637" s="139"/>
      <c r="I637" s="138"/>
      <c r="J637" s="121"/>
      <c r="K637" s="132"/>
      <c r="L637" s="121"/>
      <c r="M637" s="96"/>
      <c r="N637" s="96"/>
      <c r="O637" s="85"/>
      <c r="P637" s="133"/>
    </row>
    <row r="638" spans="1:16" ht="15.75" customHeight="1">
      <c r="A638" s="130"/>
      <c r="B638" s="137"/>
      <c r="C638" s="138"/>
      <c r="D638" s="139"/>
      <c r="E638" s="138"/>
      <c r="F638" s="140"/>
      <c r="G638" s="140"/>
      <c r="H638" s="139"/>
      <c r="I638" s="138"/>
      <c r="J638" s="121"/>
      <c r="K638" s="132"/>
      <c r="L638" s="121"/>
      <c r="M638" s="96"/>
      <c r="N638" s="96"/>
      <c r="O638" s="85"/>
      <c r="P638" s="133"/>
    </row>
    <row r="639" spans="1:16" ht="15.75" customHeight="1">
      <c r="A639" s="130"/>
      <c r="B639" s="137"/>
      <c r="C639" s="138"/>
      <c r="D639" s="139"/>
      <c r="E639" s="138"/>
      <c r="F639" s="140"/>
      <c r="G639" s="140"/>
      <c r="H639" s="139"/>
      <c r="I639" s="138"/>
      <c r="J639" s="121"/>
      <c r="K639" s="132"/>
      <c r="L639" s="121"/>
      <c r="M639" s="96"/>
      <c r="N639" s="96"/>
      <c r="O639" s="85"/>
      <c r="P639" s="133"/>
    </row>
    <row r="640" spans="1:16" ht="15.75" customHeight="1">
      <c r="A640" s="130"/>
      <c r="B640" s="137"/>
      <c r="C640" s="138"/>
      <c r="D640" s="139"/>
      <c r="E640" s="138"/>
      <c r="F640" s="140"/>
      <c r="G640" s="140"/>
      <c r="H640" s="139"/>
      <c r="I640" s="138"/>
      <c r="J640" s="121"/>
      <c r="K640" s="132"/>
      <c r="L640" s="121"/>
      <c r="M640" s="96"/>
      <c r="N640" s="96"/>
      <c r="O640" s="85"/>
      <c r="P640" s="133"/>
    </row>
    <row r="641" spans="1:16" ht="15.75" customHeight="1">
      <c r="A641" s="130"/>
      <c r="B641" s="137"/>
      <c r="C641" s="138"/>
      <c r="D641" s="139"/>
      <c r="E641" s="138"/>
      <c r="F641" s="140"/>
      <c r="G641" s="140"/>
      <c r="H641" s="139"/>
      <c r="I641" s="138"/>
      <c r="J641" s="121"/>
      <c r="K641" s="132"/>
      <c r="L641" s="121"/>
      <c r="M641" s="96"/>
      <c r="N641" s="96"/>
      <c r="O641" s="85"/>
      <c r="P641" s="133"/>
    </row>
    <row r="642" spans="1:16" ht="15.75" customHeight="1">
      <c r="A642" s="130"/>
      <c r="B642" s="137"/>
      <c r="C642" s="138"/>
      <c r="D642" s="139"/>
      <c r="E642" s="138"/>
      <c r="F642" s="140"/>
      <c r="G642" s="140"/>
      <c r="H642" s="139"/>
      <c r="I642" s="138"/>
      <c r="J642" s="121"/>
      <c r="K642" s="132"/>
      <c r="L642" s="121"/>
      <c r="M642" s="96"/>
      <c r="N642" s="96"/>
      <c r="O642" s="85"/>
      <c r="P642" s="133"/>
    </row>
    <row r="643" spans="1:16" ht="15.75" customHeight="1">
      <c r="A643" s="130"/>
      <c r="B643" s="137"/>
      <c r="C643" s="138"/>
      <c r="D643" s="139"/>
      <c r="E643" s="138"/>
      <c r="F643" s="140"/>
      <c r="G643" s="140"/>
      <c r="H643" s="139"/>
      <c r="I643" s="138"/>
      <c r="J643" s="121"/>
      <c r="K643" s="132"/>
      <c r="L643" s="121"/>
      <c r="M643" s="96"/>
      <c r="N643" s="96"/>
      <c r="O643" s="85"/>
      <c r="P643" s="133"/>
    </row>
    <row r="644" spans="1:16" ht="15.75" customHeight="1">
      <c r="A644" s="130"/>
      <c r="B644" s="137"/>
      <c r="C644" s="138"/>
      <c r="D644" s="139"/>
      <c r="E644" s="138"/>
      <c r="F644" s="140"/>
      <c r="G644" s="140"/>
      <c r="H644" s="139"/>
      <c r="I644" s="138"/>
      <c r="J644" s="121"/>
      <c r="K644" s="132"/>
      <c r="L644" s="121"/>
      <c r="M644" s="96"/>
      <c r="N644" s="96"/>
      <c r="O644" s="85"/>
      <c r="P644" s="133"/>
    </row>
    <row r="645" spans="1:16" ht="15.75" customHeight="1">
      <c r="A645" s="130"/>
      <c r="B645" s="137"/>
      <c r="C645" s="138"/>
      <c r="D645" s="139"/>
      <c r="E645" s="138"/>
      <c r="F645" s="140"/>
      <c r="G645" s="140"/>
      <c r="H645" s="139"/>
      <c r="I645" s="138"/>
      <c r="J645" s="121"/>
      <c r="K645" s="132"/>
      <c r="L645" s="121"/>
      <c r="M645" s="96"/>
      <c r="N645" s="96"/>
      <c r="O645" s="85"/>
      <c r="P645" s="133"/>
    </row>
    <row r="646" spans="1:16" ht="15.75" customHeight="1">
      <c r="A646" s="130"/>
      <c r="B646" s="137"/>
      <c r="C646" s="138"/>
      <c r="D646" s="139"/>
      <c r="E646" s="138"/>
      <c r="F646" s="140"/>
      <c r="G646" s="140"/>
      <c r="H646" s="139"/>
      <c r="I646" s="138"/>
      <c r="J646" s="121"/>
      <c r="K646" s="132"/>
      <c r="L646" s="121"/>
      <c r="M646" s="96"/>
      <c r="N646" s="96"/>
      <c r="O646" s="85"/>
      <c r="P646" s="133"/>
    </row>
    <row r="647" spans="1:16" ht="15.75" customHeight="1">
      <c r="A647" s="130"/>
      <c r="B647" s="137"/>
      <c r="C647" s="138"/>
      <c r="D647" s="139"/>
      <c r="E647" s="138"/>
      <c r="F647" s="140"/>
      <c r="G647" s="140"/>
      <c r="H647" s="139"/>
      <c r="I647" s="138"/>
      <c r="J647" s="121"/>
      <c r="K647" s="132"/>
      <c r="L647" s="121"/>
      <c r="M647" s="96"/>
      <c r="N647" s="96"/>
      <c r="O647" s="85"/>
      <c r="P647" s="133"/>
    </row>
    <row r="648" spans="1:16" ht="15.75" customHeight="1">
      <c r="A648" s="130"/>
      <c r="B648" s="137"/>
      <c r="C648" s="138"/>
      <c r="D648" s="139"/>
      <c r="E648" s="138"/>
      <c r="F648" s="140"/>
      <c r="G648" s="140"/>
      <c r="H648" s="139"/>
      <c r="I648" s="138"/>
      <c r="J648" s="121"/>
      <c r="K648" s="132"/>
      <c r="L648" s="121"/>
      <c r="M648" s="96"/>
      <c r="N648" s="96"/>
      <c r="O648" s="85"/>
      <c r="P648" s="133"/>
    </row>
    <row r="649" spans="1:16" ht="15.75" customHeight="1">
      <c r="A649" s="130"/>
      <c r="B649" s="137"/>
      <c r="C649" s="138"/>
      <c r="D649" s="139"/>
      <c r="E649" s="138"/>
      <c r="F649" s="140"/>
      <c r="G649" s="140"/>
      <c r="H649" s="139"/>
      <c r="I649" s="138"/>
      <c r="J649" s="121"/>
      <c r="K649" s="132"/>
      <c r="L649" s="121"/>
      <c r="M649" s="96"/>
      <c r="N649" s="96"/>
      <c r="O649" s="85"/>
      <c r="P649" s="133"/>
    </row>
    <row r="650" spans="1:16" ht="15.75" customHeight="1">
      <c r="A650" s="130"/>
      <c r="B650" s="137"/>
      <c r="C650" s="138"/>
      <c r="D650" s="139"/>
      <c r="E650" s="138"/>
      <c r="F650" s="140"/>
      <c r="G650" s="140"/>
      <c r="H650" s="139"/>
      <c r="I650" s="138"/>
      <c r="J650" s="121"/>
      <c r="K650" s="132"/>
      <c r="L650" s="121"/>
      <c r="M650" s="96"/>
      <c r="N650" s="96"/>
      <c r="O650" s="85"/>
      <c r="P650" s="133"/>
    </row>
    <row r="651" spans="1:16" ht="15.75" customHeight="1">
      <c r="A651" s="130"/>
      <c r="B651" s="137"/>
      <c r="C651" s="138"/>
      <c r="D651" s="139"/>
      <c r="E651" s="138"/>
      <c r="F651" s="140"/>
      <c r="G651" s="140"/>
      <c r="H651" s="139"/>
      <c r="I651" s="138"/>
      <c r="J651" s="121"/>
      <c r="K651" s="132"/>
      <c r="L651" s="121"/>
      <c r="M651" s="96"/>
      <c r="N651" s="96"/>
      <c r="O651" s="85"/>
      <c r="P651" s="133"/>
    </row>
    <row r="652" spans="1:16" ht="15.75" customHeight="1">
      <c r="A652" s="130"/>
      <c r="B652" s="137"/>
      <c r="C652" s="138"/>
      <c r="D652" s="139"/>
      <c r="E652" s="138"/>
      <c r="F652" s="140"/>
      <c r="G652" s="140"/>
      <c r="H652" s="139"/>
      <c r="I652" s="138"/>
      <c r="J652" s="121"/>
      <c r="K652" s="132"/>
      <c r="L652" s="121"/>
      <c r="M652" s="96"/>
      <c r="N652" s="96"/>
      <c r="O652" s="85"/>
      <c r="P652" s="133"/>
    </row>
    <row r="653" spans="1:16" ht="15.75" customHeight="1">
      <c r="A653" s="130"/>
      <c r="B653" s="137"/>
      <c r="C653" s="138"/>
      <c r="D653" s="139"/>
      <c r="E653" s="138"/>
      <c r="F653" s="140"/>
      <c r="G653" s="140"/>
      <c r="H653" s="139"/>
      <c r="I653" s="138"/>
      <c r="J653" s="121"/>
      <c r="K653" s="132"/>
      <c r="L653" s="121"/>
      <c r="M653" s="96"/>
      <c r="N653" s="96"/>
      <c r="O653" s="85"/>
      <c r="P653" s="133"/>
    </row>
    <row r="654" spans="1:16" ht="15.75" customHeight="1">
      <c r="A654" s="130"/>
      <c r="B654" s="137"/>
      <c r="C654" s="138"/>
      <c r="D654" s="139"/>
      <c r="E654" s="138"/>
      <c r="F654" s="140"/>
      <c r="G654" s="140"/>
      <c r="H654" s="139"/>
      <c r="I654" s="138"/>
      <c r="J654" s="121"/>
      <c r="K654" s="132"/>
      <c r="L654" s="121"/>
      <c r="M654" s="96"/>
      <c r="N654" s="96"/>
      <c r="O654" s="85"/>
      <c r="P654" s="133"/>
    </row>
    <row r="655" spans="1:16" ht="15.75" customHeight="1">
      <c r="A655" s="130"/>
      <c r="B655" s="137"/>
      <c r="C655" s="138"/>
      <c r="D655" s="139"/>
      <c r="E655" s="138"/>
      <c r="F655" s="140"/>
      <c r="G655" s="140"/>
      <c r="H655" s="139"/>
      <c r="I655" s="138"/>
      <c r="J655" s="121"/>
      <c r="K655" s="132"/>
      <c r="L655" s="121"/>
      <c r="M655" s="96"/>
      <c r="N655" s="96"/>
      <c r="O655" s="85"/>
      <c r="P655" s="133"/>
    </row>
    <row r="656" spans="1:16" ht="15.75" customHeight="1">
      <c r="A656" s="130"/>
      <c r="B656" s="137"/>
      <c r="C656" s="138"/>
      <c r="D656" s="139"/>
      <c r="E656" s="138"/>
      <c r="F656" s="140"/>
      <c r="G656" s="140"/>
      <c r="H656" s="139"/>
      <c r="I656" s="138"/>
      <c r="J656" s="121"/>
      <c r="K656" s="132"/>
      <c r="L656" s="121"/>
      <c r="M656" s="96"/>
      <c r="N656" s="96"/>
      <c r="O656" s="85"/>
      <c r="P656" s="133"/>
    </row>
    <row r="657" spans="1:16" ht="15.75" customHeight="1">
      <c r="A657" s="130"/>
      <c r="B657" s="137"/>
      <c r="C657" s="138"/>
      <c r="D657" s="139"/>
      <c r="E657" s="138"/>
      <c r="F657" s="140"/>
      <c r="G657" s="140"/>
      <c r="H657" s="139"/>
      <c r="I657" s="138"/>
      <c r="J657" s="121"/>
      <c r="K657" s="132"/>
      <c r="L657" s="121"/>
      <c r="M657" s="96"/>
      <c r="N657" s="96"/>
      <c r="O657" s="85"/>
      <c r="P657" s="133"/>
    </row>
    <row r="658" spans="1:16" ht="15.75" customHeight="1">
      <c r="A658" s="130"/>
      <c r="B658" s="137"/>
      <c r="C658" s="138"/>
      <c r="D658" s="139"/>
      <c r="E658" s="138"/>
      <c r="F658" s="140"/>
      <c r="G658" s="140"/>
      <c r="H658" s="139"/>
      <c r="I658" s="138"/>
      <c r="J658" s="121"/>
      <c r="K658" s="132"/>
      <c r="L658" s="121"/>
      <c r="M658" s="96"/>
      <c r="N658" s="96"/>
      <c r="O658" s="85"/>
      <c r="P658" s="133"/>
    </row>
    <row r="659" spans="1:16" ht="15.75" customHeight="1">
      <c r="A659" s="130"/>
      <c r="B659" s="137"/>
      <c r="C659" s="138"/>
      <c r="D659" s="139"/>
      <c r="E659" s="138"/>
      <c r="F659" s="140"/>
      <c r="G659" s="140"/>
      <c r="H659" s="139"/>
      <c r="I659" s="138"/>
      <c r="J659" s="121"/>
      <c r="K659" s="132"/>
      <c r="L659" s="121"/>
      <c r="M659" s="96"/>
      <c r="N659" s="96"/>
      <c r="O659" s="85"/>
      <c r="P659" s="133"/>
    </row>
    <row r="660" spans="1:16" ht="15.75" customHeight="1">
      <c r="A660" s="130"/>
      <c r="B660" s="137"/>
      <c r="C660" s="138"/>
      <c r="D660" s="139"/>
      <c r="E660" s="138"/>
      <c r="F660" s="140"/>
      <c r="G660" s="140"/>
      <c r="H660" s="139"/>
      <c r="I660" s="138"/>
      <c r="J660" s="121"/>
      <c r="K660" s="132"/>
      <c r="L660" s="121"/>
      <c r="M660" s="96"/>
      <c r="N660" s="96"/>
      <c r="O660" s="85"/>
      <c r="P660" s="133"/>
    </row>
    <row r="661" spans="1:16" ht="15.75" customHeight="1">
      <c r="A661" s="130"/>
      <c r="B661" s="137"/>
      <c r="C661" s="138"/>
      <c r="D661" s="139"/>
      <c r="E661" s="138"/>
      <c r="F661" s="140"/>
      <c r="G661" s="140"/>
      <c r="H661" s="139"/>
      <c r="I661" s="138"/>
      <c r="J661" s="121"/>
      <c r="K661" s="132"/>
      <c r="L661" s="121"/>
      <c r="M661" s="96"/>
      <c r="N661" s="96"/>
      <c r="O661" s="85"/>
      <c r="P661" s="133"/>
    </row>
    <row r="662" spans="1:16" ht="15.75" customHeight="1">
      <c r="A662" s="130"/>
      <c r="B662" s="137"/>
      <c r="C662" s="138"/>
      <c r="D662" s="139"/>
      <c r="E662" s="138"/>
      <c r="F662" s="140"/>
      <c r="G662" s="140"/>
      <c r="H662" s="139"/>
      <c r="I662" s="138"/>
      <c r="J662" s="121"/>
      <c r="K662" s="132"/>
      <c r="L662" s="121"/>
      <c r="M662" s="96"/>
      <c r="N662" s="96"/>
      <c r="O662" s="85"/>
      <c r="P662" s="133"/>
    </row>
    <row r="663" spans="1:16" ht="15.75" customHeight="1">
      <c r="A663" s="130"/>
      <c r="B663" s="137"/>
      <c r="C663" s="138"/>
      <c r="D663" s="139"/>
      <c r="E663" s="138"/>
      <c r="F663" s="140"/>
      <c r="G663" s="140"/>
      <c r="H663" s="139"/>
      <c r="I663" s="138"/>
      <c r="J663" s="121"/>
      <c r="K663" s="132"/>
      <c r="L663" s="121"/>
      <c r="M663" s="96"/>
      <c r="N663" s="96"/>
      <c r="O663" s="85"/>
      <c r="P663" s="133"/>
    </row>
    <row r="664" spans="1:16" ht="15.75" customHeight="1">
      <c r="A664" s="130"/>
      <c r="B664" s="137"/>
      <c r="C664" s="138"/>
      <c r="D664" s="139"/>
      <c r="E664" s="138"/>
      <c r="F664" s="140"/>
      <c r="G664" s="140"/>
      <c r="H664" s="139"/>
      <c r="I664" s="138"/>
      <c r="J664" s="121"/>
      <c r="K664" s="132"/>
      <c r="L664" s="121"/>
      <c r="M664" s="96"/>
      <c r="N664" s="96"/>
      <c r="O664" s="85"/>
      <c r="P664" s="133"/>
    </row>
    <row r="665" spans="1:16" ht="15.75" customHeight="1">
      <c r="A665" s="130"/>
      <c r="B665" s="137"/>
      <c r="C665" s="138"/>
      <c r="D665" s="139"/>
      <c r="E665" s="138"/>
      <c r="F665" s="140"/>
      <c r="G665" s="140"/>
      <c r="H665" s="139"/>
      <c r="I665" s="138"/>
      <c r="J665" s="121"/>
      <c r="K665" s="132"/>
      <c r="L665" s="121"/>
      <c r="M665" s="96"/>
      <c r="N665" s="96"/>
      <c r="O665" s="85"/>
      <c r="P665" s="133"/>
    </row>
    <row r="666" spans="1:16" ht="15.75" customHeight="1">
      <c r="A666" s="130"/>
      <c r="B666" s="137"/>
      <c r="C666" s="138"/>
      <c r="D666" s="139"/>
      <c r="E666" s="138"/>
      <c r="F666" s="140"/>
      <c r="G666" s="140"/>
      <c r="H666" s="139"/>
      <c r="I666" s="138"/>
      <c r="J666" s="121"/>
      <c r="K666" s="132"/>
      <c r="L666" s="121"/>
      <c r="M666" s="96"/>
      <c r="N666" s="96"/>
      <c r="O666" s="85"/>
      <c r="P666" s="133"/>
    </row>
    <row r="667" spans="1:16" ht="15.75" customHeight="1">
      <c r="A667" s="130"/>
      <c r="B667" s="137"/>
      <c r="C667" s="138"/>
      <c r="D667" s="139"/>
      <c r="E667" s="138"/>
      <c r="F667" s="140"/>
      <c r="G667" s="140"/>
      <c r="H667" s="139"/>
      <c r="I667" s="138"/>
      <c r="J667" s="121"/>
      <c r="K667" s="132"/>
      <c r="L667" s="121"/>
      <c r="M667" s="96"/>
      <c r="N667" s="96"/>
      <c r="O667" s="85"/>
      <c r="P667" s="133"/>
    </row>
    <row r="668" spans="1:16" ht="15.75" customHeight="1">
      <c r="A668" s="130"/>
      <c r="B668" s="137"/>
      <c r="C668" s="138"/>
      <c r="D668" s="139"/>
      <c r="E668" s="138"/>
      <c r="F668" s="140"/>
      <c r="G668" s="140"/>
      <c r="H668" s="139"/>
      <c r="I668" s="138"/>
      <c r="J668" s="121"/>
      <c r="K668" s="132"/>
      <c r="L668" s="121"/>
      <c r="M668" s="96"/>
      <c r="N668" s="96"/>
      <c r="O668" s="85"/>
      <c r="P668" s="133"/>
    </row>
    <row r="669" spans="1:16" ht="15.75" customHeight="1">
      <c r="A669" s="130"/>
      <c r="B669" s="137"/>
      <c r="C669" s="138"/>
      <c r="D669" s="139"/>
      <c r="E669" s="138"/>
      <c r="F669" s="140"/>
      <c r="G669" s="140"/>
      <c r="H669" s="139"/>
      <c r="I669" s="138"/>
      <c r="J669" s="121"/>
      <c r="K669" s="132"/>
      <c r="L669" s="121"/>
      <c r="M669" s="96"/>
      <c r="N669" s="96"/>
      <c r="O669" s="85"/>
      <c r="P669" s="133"/>
    </row>
    <row r="670" spans="1:16" ht="15.75" customHeight="1">
      <c r="A670" s="130"/>
      <c r="B670" s="137"/>
      <c r="C670" s="138"/>
      <c r="D670" s="139"/>
      <c r="E670" s="138"/>
      <c r="F670" s="140"/>
      <c r="G670" s="140"/>
      <c r="H670" s="139"/>
      <c r="I670" s="138"/>
      <c r="J670" s="121"/>
      <c r="K670" s="132"/>
      <c r="L670" s="121"/>
      <c r="M670" s="96"/>
      <c r="N670" s="96"/>
      <c r="O670" s="85"/>
      <c r="P670" s="133"/>
    </row>
    <row r="671" spans="1:16" ht="15.75" customHeight="1">
      <c r="A671" s="130"/>
      <c r="B671" s="137"/>
      <c r="C671" s="138"/>
      <c r="D671" s="139"/>
      <c r="E671" s="138"/>
      <c r="F671" s="140"/>
      <c r="G671" s="140"/>
      <c r="H671" s="139"/>
      <c r="I671" s="138"/>
      <c r="J671" s="121"/>
      <c r="K671" s="132"/>
      <c r="L671" s="121"/>
      <c r="M671" s="96"/>
      <c r="N671" s="96"/>
      <c r="O671" s="85"/>
      <c r="P671" s="133"/>
    </row>
    <row r="672" spans="1:16" ht="15.75" customHeight="1">
      <c r="A672" s="130"/>
      <c r="B672" s="137"/>
      <c r="C672" s="138"/>
      <c r="D672" s="139"/>
      <c r="E672" s="138"/>
      <c r="F672" s="140"/>
      <c r="G672" s="140"/>
      <c r="H672" s="139"/>
      <c r="I672" s="138"/>
      <c r="J672" s="121"/>
      <c r="K672" s="132"/>
      <c r="L672" s="121"/>
      <c r="M672" s="96"/>
      <c r="N672" s="96"/>
      <c r="O672" s="85"/>
      <c r="P672" s="133"/>
    </row>
    <row r="673" spans="1:16" ht="15.75" customHeight="1">
      <c r="A673" s="130"/>
      <c r="B673" s="137"/>
      <c r="C673" s="138"/>
      <c r="D673" s="139"/>
      <c r="E673" s="138"/>
      <c r="F673" s="140"/>
      <c r="G673" s="140"/>
      <c r="H673" s="139"/>
      <c r="I673" s="138"/>
      <c r="J673" s="121"/>
      <c r="K673" s="132"/>
      <c r="L673" s="121"/>
      <c r="M673" s="96"/>
      <c r="N673" s="96"/>
      <c r="O673" s="85"/>
      <c r="P673" s="133"/>
    </row>
    <row r="674" spans="1:16" ht="15.75" customHeight="1">
      <c r="A674" s="130"/>
      <c r="B674" s="137"/>
      <c r="C674" s="138"/>
      <c r="D674" s="139"/>
      <c r="E674" s="138"/>
      <c r="F674" s="140"/>
      <c r="G674" s="140"/>
      <c r="H674" s="139"/>
      <c r="I674" s="138"/>
      <c r="J674" s="121"/>
      <c r="K674" s="132"/>
      <c r="L674" s="121"/>
      <c r="M674" s="96"/>
      <c r="N674" s="96"/>
      <c r="O674" s="85"/>
      <c r="P674" s="133"/>
    </row>
    <row r="675" spans="1:16" ht="15.75" customHeight="1">
      <c r="A675" s="130"/>
      <c r="B675" s="137"/>
      <c r="C675" s="138"/>
      <c r="D675" s="139"/>
      <c r="E675" s="138"/>
      <c r="F675" s="140"/>
      <c r="G675" s="140"/>
      <c r="H675" s="139"/>
      <c r="I675" s="138"/>
      <c r="J675" s="121"/>
      <c r="K675" s="132"/>
      <c r="L675" s="121"/>
      <c r="M675" s="96"/>
      <c r="N675" s="96"/>
      <c r="O675" s="85"/>
      <c r="P675" s="133"/>
    </row>
    <row r="676" spans="1:16" ht="15.75" customHeight="1">
      <c r="A676" s="130"/>
      <c r="B676" s="137"/>
      <c r="C676" s="138"/>
      <c r="D676" s="139"/>
      <c r="E676" s="138"/>
      <c r="F676" s="140"/>
      <c r="G676" s="140"/>
      <c r="H676" s="139"/>
      <c r="I676" s="138"/>
      <c r="J676" s="121"/>
      <c r="K676" s="132"/>
      <c r="L676" s="121"/>
      <c r="M676" s="96"/>
      <c r="N676" s="96"/>
      <c r="O676" s="85"/>
      <c r="P676" s="133"/>
    </row>
    <row r="677" spans="1:16" ht="15.75" customHeight="1">
      <c r="A677" s="130"/>
      <c r="B677" s="137"/>
      <c r="C677" s="138"/>
      <c r="D677" s="139"/>
      <c r="E677" s="138"/>
      <c r="F677" s="140"/>
      <c r="G677" s="140"/>
      <c r="H677" s="139"/>
      <c r="I677" s="138"/>
      <c r="J677" s="121"/>
      <c r="K677" s="132"/>
      <c r="L677" s="121"/>
      <c r="M677" s="96"/>
      <c r="N677" s="96"/>
      <c r="O677" s="85"/>
      <c r="P677" s="133"/>
    </row>
    <row r="678" spans="1:16" ht="15.75" customHeight="1">
      <c r="A678" s="130"/>
      <c r="B678" s="137"/>
      <c r="C678" s="138"/>
      <c r="D678" s="139"/>
      <c r="E678" s="138"/>
      <c r="F678" s="140"/>
      <c r="G678" s="140"/>
      <c r="H678" s="139"/>
      <c r="I678" s="138"/>
      <c r="J678" s="121"/>
      <c r="K678" s="132"/>
      <c r="L678" s="121"/>
      <c r="M678" s="96"/>
      <c r="N678" s="96"/>
      <c r="O678" s="85"/>
      <c r="P678" s="133"/>
    </row>
    <row r="679" spans="1:16" ht="15.75" customHeight="1">
      <c r="A679" s="130"/>
      <c r="B679" s="137"/>
      <c r="C679" s="138"/>
      <c r="D679" s="139"/>
      <c r="E679" s="138"/>
      <c r="F679" s="140"/>
      <c r="G679" s="140"/>
      <c r="H679" s="139"/>
      <c r="I679" s="138"/>
      <c r="J679" s="121"/>
      <c r="K679" s="132"/>
      <c r="L679" s="121"/>
      <c r="M679" s="96"/>
      <c r="N679" s="96"/>
      <c r="O679" s="85"/>
      <c r="P679" s="133"/>
    </row>
    <row r="680" spans="1:16" ht="15.75" customHeight="1">
      <c r="A680" s="130"/>
      <c r="B680" s="137"/>
      <c r="C680" s="138"/>
      <c r="D680" s="139"/>
      <c r="E680" s="138"/>
      <c r="F680" s="140"/>
      <c r="G680" s="140"/>
      <c r="H680" s="139"/>
      <c r="I680" s="138"/>
      <c r="J680" s="121"/>
      <c r="K680" s="132"/>
      <c r="L680" s="121"/>
      <c r="M680" s="96"/>
      <c r="N680" s="96"/>
      <c r="O680" s="85"/>
      <c r="P680" s="133"/>
    </row>
    <row r="681" spans="1:16" ht="15.75" customHeight="1">
      <c r="A681" s="130"/>
      <c r="B681" s="137"/>
      <c r="C681" s="138"/>
      <c r="D681" s="139"/>
      <c r="E681" s="138"/>
      <c r="F681" s="140"/>
      <c r="G681" s="140"/>
      <c r="H681" s="139"/>
      <c r="I681" s="138"/>
      <c r="J681" s="121"/>
      <c r="K681" s="132"/>
      <c r="L681" s="121"/>
      <c r="M681" s="96"/>
      <c r="N681" s="96"/>
      <c r="O681" s="85"/>
      <c r="P681" s="133"/>
    </row>
    <row r="682" spans="1:16" ht="15.75" customHeight="1">
      <c r="A682" s="130"/>
      <c r="B682" s="137"/>
      <c r="C682" s="138"/>
      <c r="D682" s="139"/>
      <c r="E682" s="138"/>
      <c r="F682" s="140"/>
      <c r="G682" s="140"/>
      <c r="H682" s="139"/>
      <c r="I682" s="138"/>
      <c r="J682" s="121"/>
      <c r="K682" s="132"/>
      <c r="L682" s="121"/>
      <c r="M682" s="96"/>
      <c r="N682" s="96"/>
      <c r="O682" s="85"/>
      <c r="P682" s="133"/>
    </row>
    <row r="683" spans="1:16" ht="15.75" customHeight="1">
      <c r="A683" s="130"/>
      <c r="B683" s="137"/>
      <c r="C683" s="138"/>
      <c r="D683" s="139"/>
      <c r="E683" s="138"/>
      <c r="F683" s="140"/>
      <c r="G683" s="140"/>
      <c r="H683" s="139"/>
      <c r="I683" s="138"/>
      <c r="J683" s="121"/>
      <c r="K683" s="132"/>
      <c r="L683" s="121"/>
      <c r="M683" s="96"/>
      <c r="N683" s="96"/>
      <c r="O683" s="85"/>
      <c r="P683" s="133"/>
    </row>
    <row r="684" spans="1:16" ht="15.75" customHeight="1">
      <c r="A684" s="130"/>
      <c r="B684" s="137"/>
      <c r="C684" s="138"/>
      <c r="D684" s="139"/>
      <c r="E684" s="138"/>
      <c r="F684" s="140"/>
      <c r="G684" s="140"/>
      <c r="H684" s="139"/>
      <c r="I684" s="138"/>
      <c r="J684" s="121"/>
      <c r="K684" s="132"/>
      <c r="L684" s="121"/>
      <c r="M684" s="96"/>
      <c r="N684" s="96"/>
      <c r="O684" s="85"/>
      <c r="P684" s="133"/>
    </row>
    <row r="685" spans="1:16" ht="15.75" customHeight="1">
      <c r="A685" s="130"/>
      <c r="B685" s="137"/>
      <c r="C685" s="138"/>
      <c r="D685" s="139"/>
      <c r="E685" s="138"/>
      <c r="F685" s="140"/>
      <c r="G685" s="140"/>
      <c r="H685" s="139"/>
      <c r="I685" s="138"/>
      <c r="J685" s="121"/>
      <c r="K685" s="132"/>
      <c r="L685" s="121"/>
      <c r="M685" s="96"/>
      <c r="N685" s="96"/>
      <c r="O685" s="85"/>
      <c r="P685" s="133"/>
    </row>
    <row r="686" spans="1:16" ht="15.75" customHeight="1">
      <c r="A686" s="130"/>
      <c r="B686" s="137"/>
      <c r="C686" s="138"/>
      <c r="D686" s="139"/>
      <c r="E686" s="138"/>
      <c r="F686" s="140"/>
      <c r="G686" s="140"/>
      <c r="H686" s="139"/>
      <c r="I686" s="138"/>
      <c r="J686" s="121"/>
      <c r="K686" s="132"/>
      <c r="L686" s="121"/>
      <c r="M686" s="96"/>
      <c r="N686" s="96"/>
      <c r="O686" s="85"/>
      <c r="P686" s="133"/>
    </row>
    <row r="687" spans="1:16" ht="15.75" customHeight="1">
      <c r="A687" s="130"/>
      <c r="B687" s="137"/>
      <c r="C687" s="138"/>
      <c r="D687" s="139"/>
      <c r="E687" s="138"/>
      <c r="F687" s="140"/>
      <c r="G687" s="140"/>
      <c r="H687" s="139"/>
      <c r="I687" s="138"/>
      <c r="J687" s="121"/>
      <c r="K687" s="132"/>
      <c r="L687" s="121"/>
      <c r="M687" s="96"/>
      <c r="N687" s="96"/>
      <c r="O687" s="85"/>
      <c r="P687" s="133"/>
    </row>
    <row r="688" spans="1:16" ht="15.75" customHeight="1">
      <c r="A688" s="130"/>
      <c r="B688" s="137"/>
      <c r="C688" s="138"/>
      <c r="D688" s="139"/>
      <c r="E688" s="138"/>
      <c r="F688" s="140"/>
      <c r="G688" s="140"/>
      <c r="H688" s="139"/>
      <c r="I688" s="138"/>
      <c r="J688" s="121"/>
      <c r="K688" s="132"/>
      <c r="L688" s="121"/>
      <c r="M688" s="96"/>
      <c r="N688" s="96"/>
      <c r="O688" s="85"/>
      <c r="P688" s="133"/>
    </row>
    <row r="689" spans="1:16" ht="15.75" customHeight="1">
      <c r="A689" s="130"/>
      <c r="B689" s="137"/>
      <c r="C689" s="138"/>
      <c r="D689" s="139"/>
      <c r="E689" s="138"/>
      <c r="F689" s="140"/>
      <c r="G689" s="140"/>
      <c r="H689" s="139"/>
      <c r="I689" s="138"/>
      <c r="J689" s="121"/>
      <c r="K689" s="132"/>
      <c r="L689" s="121"/>
      <c r="M689" s="96"/>
      <c r="N689" s="96"/>
      <c r="O689" s="85"/>
      <c r="P689" s="133"/>
    </row>
    <row r="690" spans="1:16" ht="15.75" customHeight="1">
      <c r="A690" s="130"/>
      <c r="B690" s="137"/>
      <c r="C690" s="138"/>
      <c r="D690" s="139"/>
      <c r="E690" s="138"/>
      <c r="F690" s="140"/>
      <c r="G690" s="140"/>
      <c r="H690" s="139"/>
      <c r="I690" s="138"/>
      <c r="J690" s="121"/>
      <c r="K690" s="132"/>
      <c r="L690" s="121"/>
      <c r="M690" s="96"/>
      <c r="N690" s="96"/>
      <c r="O690" s="85"/>
      <c r="P690" s="133"/>
    </row>
    <row r="691" spans="1:16" ht="15.75" customHeight="1">
      <c r="A691" s="130"/>
      <c r="B691" s="137"/>
      <c r="C691" s="138"/>
      <c r="D691" s="139"/>
      <c r="E691" s="138"/>
      <c r="F691" s="140"/>
      <c r="G691" s="140"/>
      <c r="H691" s="139"/>
      <c r="I691" s="138"/>
      <c r="J691" s="121"/>
      <c r="K691" s="132"/>
      <c r="L691" s="121"/>
      <c r="M691" s="96"/>
      <c r="N691" s="96"/>
      <c r="O691" s="85"/>
      <c r="P691" s="133"/>
    </row>
    <row r="692" spans="1:16" ht="15.75" customHeight="1">
      <c r="A692" s="130"/>
      <c r="B692" s="137"/>
      <c r="C692" s="138"/>
      <c r="D692" s="139"/>
      <c r="E692" s="138"/>
      <c r="F692" s="140"/>
      <c r="G692" s="140"/>
      <c r="H692" s="139"/>
      <c r="I692" s="138"/>
      <c r="J692" s="121"/>
      <c r="K692" s="132"/>
      <c r="L692" s="121"/>
      <c r="M692" s="96"/>
      <c r="N692" s="96"/>
      <c r="O692" s="85"/>
      <c r="P692" s="133"/>
    </row>
    <row r="693" spans="1:16" ht="15.75" customHeight="1">
      <c r="A693" s="130"/>
      <c r="B693" s="137"/>
      <c r="C693" s="138"/>
      <c r="D693" s="139"/>
      <c r="E693" s="138"/>
      <c r="F693" s="140"/>
      <c r="G693" s="140"/>
      <c r="H693" s="139"/>
      <c r="I693" s="138"/>
      <c r="J693" s="121"/>
      <c r="K693" s="132"/>
      <c r="L693" s="121"/>
      <c r="M693" s="96"/>
      <c r="N693" s="96"/>
      <c r="O693" s="85"/>
      <c r="P693" s="133"/>
    </row>
    <row r="694" spans="1:16" ht="15.75" customHeight="1">
      <c r="A694" s="130"/>
      <c r="B694" s="137"/>
      <c r="C694" s="138"/>
      <c r="D694" s="139"/>
      <c r="E694" s="138"/>
      <c r="F694" s="140"/>
      <c r="G694" s="140"/>
      <c r="H694" s="139"/>
      <c r="I694" s="138"/>
      <c r="J694" s="121"/>
      <c r="K694" s="132"/>
      <c r="L694" s="121"/>
      <c r="M694" s="96"/>
      <c r="N694" s="96"/>
      <c r="O694" s="85"/>
      <c r="P694" s="133"/>
    </row>
    <row r="695" spans="1:16" ht="15.75" customHeight="1">
      <c r="A695" s="130"/>
      <c r="B695" s="137"/>
      <c r="C695" s="138"/>
      <c r="D695" s="139"/>
      <c r="E695" s="138"/>
      <c r="F695" s="140"/>
      <c r="G695" s="140"/>
      <c r="H695" s="139"/>
      <c r="I695" s="138"/>
      <c r="J695" s="121"/>
      <c r="K695" s="132"/>
      <c r="L695" s="121"/>
      <c r="M695" s="96"/>
      <c r="N695" s="96"/>
      <c r="O695" s="85"/>
      <c r="P695" s="133"/>
    </row>
    <row r="696" spans="1:16" ht="15.75" customHeight="1">
      <c r="A696" s="130"/>
      <c r="B696" s="137"/>
      <c r="C696" s="138"/>
      <c r="D696" s="139"/>
      <c r="E696" s="138"/>
      <c r="F696" s="140"/>
      <c r="G696" s="140"/>
      <c r="H696" s="139"/>
      <c r="I696" s="138"/>
      <c r="J696" s="121"/>
      <c r="K696" s="132"/>
      <c r="L696" s="121"/>
      <c r="M696" s="96"/>
      <c r="N696" s="96"/>
      <c r="O696" s="85"/>
      <c r="P696" s="133"/>
    </row>
    <row r="697" spans="1:16" ht="15.75" customHeight="1">
      <c r="A697" s="130"/>
      <c r="B697" s="137"/>
      <c r="C697" s="138"/>
      <c r="D697" s="139"/>
      <c r="E697" s="138"/>
      <c r="F697" s="140"/>
      <c r="G697" s="140"/>
      <c r="H697" s="139"/>
      <c r="I697" s="138"/>
      <c r="J697" s="121"/>
      <c r="K697" s="132"/>
      <c r="L697" s="121"/>
      <c r="M697" s="96"/>
      <c r="N697" s="96"/>
      <c r="O697" s="85"/>
      <c r="P697" s="133"/>
    </row>
    <row r="698" spans="1:16" ht="15.75" customHeight="1">
      <c r="A698" s="130"/>
      <c r="B698" s="137"/>
      <c r="C698" s="138"/>
      <c r="D698" s="139"/>
      <c r="E698" s="138"/>
      <c r="F698" s="140"/>
      <c r="G698" s="140"/>
      <c r="H698" s="139"/>
      <c r="I698" s="138"/>
      <c r="J698" s="121"/>
      <c r="K698" s="132"/>
      <c r="L698" s="121"/>
      <c r="M698" s="96"/>
      <c r="N698" s="96"/>
      <c r="O698" s="85"/>
      <c r="P698" s="133"/>
    </row>
    <row r="699" spans="1:16" ht="15.75" customHeight="1">
      <c r="A699" s="130"/>
      <c r="B699" s="137"/>
      <c r="C699" s="138"/>
      <c r="D699" s="139"/>
      <c r="E699" s="138"/>
      <c r="F699" s="140"/>
      <c r="G699" s="140"/>
      <c r="H699" s="139"/>
      <c r="I699" s="138"/>
      <c r="J699" s="121"/>
      <c r="K699" s="132"/>
      <c r="L699" s="121"/>
      <c r="M699" s="96"/>
      <c r="N699" s="96"/>
      <c r="O699" s="85"/>
      <c r="P699" s="133"/>
    </row>
    <row r="700" spans="1:16" ht="15.75" customHeight="1">
      <c r="A700" s="130"/>
      <c r="B700" s="137"/>
      <c r="C700" s="138"/>
      <c r="D700" s="139"/>
      <c r="E700" s="138"/>
      <c r="F700" s="140"/>
      <c r="G700" s="140"/>
      <c r="H700" s="139"/>
      <c r="I700" s="138"/>
      <c r="J700" s="121"/>
      <c r="K700" s="132"/>
      <c r="L700" s="121"/>
      <c r="M700" s="96"/>
      <c r="N700" s="96"/>
      <c r="O700" s="85"/>
      <c r="P700" s="133"/>
    </row>
    <row r="701" spans="1:16" ht="15.75" customHeight="1">
      <c r="A701" s="130"/>
      <c r="B701" s="137"/>
      <c r="C701" s="138"/>
      <c r="D701" s="139"/>
      <c r="E701" s="138"/>
      <c r="F701" s="140"/>
      <c r="G701" s="140"/>
      <c r="H701" s="139"/>
      <c r="I701" s="138"/>
      <c r="J701" s="121"/>
      <c r="K701" s="132"/>
      <c r="L701" s="121"/>
      <c r="M701" s="96"/>
      <c r="N701" s="96"/>
      <c r="O701" s="85"/>
      <c r="P701" s="133"/>
    </row>
    <row r="702" spans="1:16" ht="15.75" customHeight="1">
      <c r="A702" s="130"/>
      <c r="B702" s="137"/>
      <c r="C702" s="138"/>
      <c r="D702" s="139"/>
      <c r="E702" s="138"/>
      <c r="F702" s="140"/>
      <c r="G702" s="140"/>
      <c r="H702" s="139"/>
      <c r="I702" s="138"/>
      <c r="J702" s="121"/>
      <c r="K702" s="132"/>
      <c r="L702" s="121"/>
      <c r="M702" s="96"/>
      <c r="N702" s="96"/>
      <c r="O702" s="85"/>
      <c r="P702" s="133"/>
    </row>
    <row r="703" spans="1:16" ht="15.75" customHeight="1">
      <c r="A703" s="130"/>
      <c r="B703" s="137"/>
      <c r="C703" s="138"/>
      <c r="D703" s="139"/>
      <c r="E703" s="138"/>
      <c r="F703" s="140"/>
      <c r="G703" s="140"/>
      <c r="H703" s="139"/>
      <c r="I703" s="138"/>
      <c r="J703" s="121"/>
      <c r="K703" s="132"/>
      <c r="L703" s="121"/>
      <c r="M703" s="96"/>
      <c r="N703" s="96"/>
      <c r="O703" s="85"/>
      <c r="P703" s="133"/>
    </row>
    <row r="704" spans="1:16" ht="15.75" customHeight="1">
      <c r="A704" s="130"/>
      <c r="B704" s="137"/>
      <c r="C704" s="138"/>
      <c r="D704" s="139"/>
      <c r="E704" s="138"/>
      <c r="F704" s="140"/>
      <c r="G704" s="140"/>
      <c r="H704" s="139"/>
      <c r="I704" s="138"/>
      <c r="J704" s="121"/>
      <c r="K704" s="132"/>
      <c r="L704" s="121"/>
      <c r="M704" s="96"/>
      <c r="N704" s="96"/>
      <c r="O704" s="85"/>
      <c r="P704" s="133"/>
    </row>
    <row r="705" spans="1:16" ht="15.75" customHeight="1">
      <c r="A705" s="130"/>
      <c r="B705" s="137"/>
      <c r="C705" s="138"/>
      <c r="D705" s="139"/>
      <c r="E705" s="138"/>
      <c r="F705" s="140"/>
      <c r="G705" s="140"/>
      <c r="H705" s="139"/>
      <c r="I705" s="138"/>
      <c r="J705" s="121"/>
      <c r="K705" s="132"/>
      <c r="L705" s="121"/>
      <c r="M705" s="96"/>
      <c r="N705" s="96"/>
      <c r="O705" s="85"/>
      <c r="P705" s="133"/>
    </row>
    <row r="706" spans="1:16" ht="15.75" customHeight="1">
      <c r="A706" s="130"/>
      <c r="B706" s="137"/>
      <c r="C706" s="138"/>
      <c r="D706" s="139"/>
      <c r="E706" s="138"/>
      <c r="F706" s="140"/>
      <c r="G706" s="140"/>
      <c r="H706" s="139"/>
      <c r="I706" s="138"/>
      <c r="J706" s="121"/>
      <c r="K706" s="132"/>
      <c r="L706" s="121"/>
      <c r="M706" s="96"/>
      <c r="N706" s="96"/>
      <c r="O706" s="85"/>
      <c r="P706" s="133"/>
    </row>
    <row r="707" spans="1:16" ht="15.75" customHeight="1">
      <c r="A707" s="130"/>
      <c r="B707" s="137"/>
      <c r="C707" s="138"/>
      <c r="D707" s="139"/>
      <c r="E707" s="138"/>
      <c r="F707" s="140"/>
      <c r="G707" s="140"/>
      <c r="H707" s="139"/>
      <c r="I707" s="138"/>
      <c r="J707" s="121"/>
      <c r="K707" s="132"/>
      <c r="L707" s="121"/>
      <c r="M707" s="96"/>
      <c r="N707" s="96"/>
      <c r="O707" s="85"/>
      <c r="P707" s="133"/>
    </row>
    <row r="708" spans="1:16" ht="15.75" customHeight="1">
      <c r="A708" s="130"/>
      <c r="B708" s="137"/>
      <c r="C708" s="138"/>
      <c r="D708" s="139"/>
      <c r="E708" s="138"/>
      <c r="F708" s="140"/>
      <c r="G708" s="140"/>
      <c r="H708" s="139"/>
      <c r="I708" s="138"/>
      <c r="J708" s="121"/>
      <c r="K708" s="132"/>
      <c r="L708" s="121"/>
      <c r="M708" s="96"/>
      <c r="N708" s="96"/>
      <c r="O708" s="85"/>
      <c r="P708" s="133"/>
    </row>
    <row r="709" spans="1:16" ht="15.75" customHeight="1">
      <c r="A709" s="130"/>
      <c r="B709" s="137"/>
      <c r="C709" s="138"/>
      <c r="D709" s="139"/>
      <c r="E709" s="138"/>
      <c r="F709" s="140"/>
      <c r="G709" s="140"/>
      <c r="H709" s="139"/>
      <c r="I709" s="138"/>
      <c r="J709" s="121"/>
      <c r="K709" s="132"/>
      <c r="L709" s="121"/>
      <c r="M709" s="96"/>
      <c r="N709" s="96"/>
      <c r="O709" s="85"/>
      <c r="P709" s="133"/>
    </row>
    <row r="710" spans="1:16" ht="15.75" customHeight="1">
      <c r="A710" s="130"/>
      <c r="B710" s="137"/>
      <c r="C710" s="138"/>
      <c r="D710" s="139"/>
      <c r="E710" s="138"/>
      <c r="F710" s="140"/>
      <c r="G710" s="140"/>
      <c r="H710" s="139"/>
      <c r="I710" s="138"/>
      <c r="J710" s="121"/>
      <c r="K710" s="132"/>
      <c r="L710" s="121"/>
      <c r="M710" s="96"/>
      <c r="N710" s="96"/>
      <c r="O710" s="85"/>
      <c r="P710" s="133"/>
    </row>
    <row r="711" spans="1:16" ht="15.75" customHeight="1">
      <c r="A711" s="130"/>
      <c r="B711" s="137"/>
      <c r="C711" s="138"/>
      <c r="D711" s="139"/>
      <c r="E711" s="138"/>
      <c r="F711" s="140"/>
      <c r="G711" s="140"/>
      <c r="H711" s="139"/>
      <c r="I711" s="138"/>
      <c r="J711" s="121"/>
      <c r="K711" s="132"/>
      <c r="L711" s="121"/>
      <c r="M711" s="96"/>
      <c r="N711" s="96"/>
      <c r="O711" s="85"/>
      <c r="P711" s="133"/>
    </row>
    <row r="712" spans="1:16" ht="15.75" customHeight="1">
      <c r="A712" s="130"/>
      <c r="B712" s="137"/>
      <c r="C712" s="138"/>
      <c r="D712" s="139"/>
      <c r="E712" s="138"/>
      <c r="F712" s="140"/>
      <c r="G712" s="140"/>
      <c r="H712" s="139"/>
      <c r="I712" s="138"/>
      <c r="J712" s="121"/>
      <c r="K712" s="132"/>
      <c r="L712" s="121"/>
      <c r="M712" s="96"/>
      <c r="N712" s="96"/>
      <c r="O712" s="85"/>
      <c r="P712" s="133"/>
    </row>
    <row r="713" spans="1:16" ht="15.75" customHeight="1">
      <c r="A713" s="130"/>
      <c r="B713" s="137"/>
      <c r="C713" s="138"/>
      <c r="D713" s="139"/>
      <c r="E713" s="138"/>
      <c r="F713" s="140"/>
      <c r="G713" s="140"/>
      <c r="H713" s="139"/>
      <c r="I713" s="138"/>
      <c r="J713" s="121"/>
      <c r="K713" s="132"/>
      <c r="L713" s="121"/>
      <c r="M713" s="96"/>
      <c r="N713" s="96"/>
      <c r="O713" s="85"/>
      <c r="P713" s="133"/>
    </row>
    <row r="714" spans="1:16" ht="15.75" customHeight="1">
      <c r="A714" s="130"/>
      <c r="B714" s="137"/>
      <c r="C714" s="138"/>
      <c r="D714" s="139"/>
      <c r="E714" s="138"/>
      <c r="F714" s="140"/>
      <c r="G714" s="140"/>
      <c r="H714" s="139"/>
      <c r="I714" s="138"/>
      <c r="J714" s="121"/>
      <c r="K714" s="132"/>
      <c r="L714" s="121"/>
      <c r="M714" s="96"/>
      <c r="N714" s="96"/>
      <c r="O714" s="85"/>
      <c r="P714" s="133"/>
    </row>
    <row r="715" spans="1:16" ht="15.75" customHeight="1">
      <c r="A715" s="130"/>
      <c r="B715" s="137"/>
      <c r="C715" s="138"/>
      <c r="D715" s="139"/>
      <c r="E715" s="138"/>
      <c r="F715" s="140"/>
      <c r="G715" s="140"/>
      <c r="H715" s="139"/>
      <c r="I715" s="138"/>
      <c r="J715" s="121"/>
      <c r="K715" s="132"/>
      <c r="L715" s="121"/>
      <c r="M715" s="96"/>
      <c r="N715" s="96"/>
      <c r="O715" s="85"/>
      <c r="P715" s="133"/>
    </row>
    <row r="716" spans="1:16" ht="15.75" customHeight="1">
      <c r="A716" s="130"/>
      <c r="B716" s="137"/>
      <c r="C716" s="138"/>
      <c r="D716" s="139"/>
      <c r="E716" s="138"/>
      <c r="F716" s="140"/>
      <c r="G716" s="140"/>
      <c r="H716" s="139"/>
      <c r="I716" s="138"/>
      <c r="J716" s="121"/>
      <c r="K716" s="132"/>
      <c r="L716" s="121"/>
      <c r="M716" s="96"/>
      <c r="N716" s="96"/>
      <c r="O716" s="85"/>
      <c r="P716" s="133"/>
    </row>
    <row r="717" spans="1:16" ht="15.75" customHeight="1">
      <c r="A717" s="130"/>
      <c r="B717" s="137"/>
      <c r="C717" s="138"/>
      <c r="D717" s="139"/>
      <c r="E717" s="138"/>
      <c r="F717" s="140"/>
      <c r="G717" s="140"/>
      <c r="H717" s="139"/>
      <c r="I717" s="138"/>
      <c r="J717" s="121"/>
      <c r="K717" s="132"/>
      <c r="L717" s="121"/>
      <c r="M717" s="96"/>
      <c r="N717" s="96"/>
      <c r="O717" s="85"/>
      <c r="P717" s="133"/>
    </row>
    <row r="718" spans="1:16" ht="15.75" customHeight="1">
      <c r="A718" s="130"/>
      <c r="B718" s="137"/>
      <c r="C718" s="138"/>
      <c r="D718" s="139"/>
      <c r="E718" s="138"/>
      <c r="F718" s="140"/>
      <c r="G718" s="140"/>
      <c r="H718" s="139"/>
      <c r="I718" s="138"/>
      <c r="J718" s="121"/>
      <c r="K718" s="132"/>
      <c r="L718" s="121"/>
      <c r="M718" s="96"/>
      <c r="N718" s="96"/>
      <c r="O718" s="85"/>
      <c r="P718" s="133"/>
    </row>
    <row r="719" spans="1:16" ht="15.75" customHeight="1">
      <c r="A719" s="130"/>
      <c r="B719" s="137"/>
      <c r="C719" s="138"/>
      <c r="D719" s="139"/>
      <c r="E719" s="138"/>
      <c r="F719" s="140"/>
      <c r="G719" s="140"/>
      <c r="H719" s="139"/>
      <c r="I719" s="138"/>
      <c r="J719" s="121"/>
      <c r="K719" s="132"/>
      <c r="L719" s="121"/>
      <c r="M719" s="96"/>
      <c r="N719" s="96"/>
      <c r="O719" s="85"/>
      <c r="P719" s="133"/>
    </row>
    <row r="720" spans="1:16" ht="15.75" customHeight="1">
      <c r="A720" s="130"/>
      <c r="B720" s="137"/>
      <c r="C720" s="138"/>
      <c r="D720" s="139"/>
      <c r="E720" s="138"/>
      <c r="F720" s="140"/>
      <c r="G720" s="140"/>
      <c r="H720" s="139"/>
      <c r="I720" s="138"/>
      <c r="J720" s="121"/>
      <c r="K720" s="132"/>
      <c r="L720" s="121"/>
      <c r="M720" s="96"/>
      <c r="N720" s="96"/>
      <c r="O720" s="85"/>
      <c r="P720" s="133"/>
    </row>
    <row r="721" spans="1:16" ht="15.75" customHeight="1">
      <c r="A721" s="130"/>
      <c r="B721" s="137"/>
      <c r="C721" s="138"/>
      <c r="D721" s="139"/>
      <c r="E721" s="138"/>
      <c r="F721" s="140"/>
      <c r="G721" s="140"/>
      <c r="H721" s="139"/>
      <c r="I721" s="138"/>
      <c r="J721" s="121"/>
      <c r="K721" s="132"/>
      <c r="L721" s="121"/>
      <c r="M721" s="96"/>
      <c r="N721" s="96"/>
      <c r="O721" s="85"/>
      <c r="P721" s="133"/>
    </row>
    <row r="722" spans="1:16" ht="15.75" customHeight="1">
      <c r="A722" s="130"/>
      <c r="B722" s="137"/>
      <c r="C722" s="138"/>
      <c r="D722" s="139"/>
      <c r="E722" s="138"/>
      <c r="F722" s="140"/>
      <c r="G722" s="140"/>
      <c r="H722" s="139"/>
      <c r="I722" s="138"/>
      <c r="J722" s="121"/>
      <c r="K722" s="132"/>
      <c r="L722" s="121"/>
      <c r="M722" s="96"/>
      <c r="N722" s="96"/>
      <c r="O722" s="85"/>
      <c r="P722" s="133"/>
    </row>
    <row r="723" spans="1:16" ht="15.75" customHeight="1">
      <c r="A723" s="130"/>
      <c r="B723" s="137"/>
      <c r="C723" s="138"/>
      <c r="D723" s="139"/>
      <c r="E723" s="138"/>
      <c r="F723" s="140"/>
      <c r="G723" s="140"/>
      <c r="H723" s="139"/>
      <c r="I723" s="138"/>
      <c r="J723" s="121"/>
      <c r="K723" s="132"/>
      <c r="L723" s="121"/>
      <c r="M723" s="96"/>
      <c r="N723" s="96"/>
      <c r="O723" s="85"/>
      <c r="P723" s="133"/>
    </row>
    <row r="724" spans="1:16" ht="15.75" customHeight="1">
      <c r="A724" s="130"/>
      <c r="B724" s="137"/>
      <c r="C724" s="138"/>
      <c r="D724" s="139"/>
      <c r="E724" s="138"/>
      <c r="F724" s="140"/>
      <c r="G724" s="140"/>
      <c r="H724" s="139"/>
      <c r="I724" s="138"/>
      <c r="J724" s="121"/>
      <c r="K724" s="132"/>
      <c r="L724" s="121"/>
      <c r="M724" s="96"/>
      <c r="N724" s="96"/>
      <c r="O724" s="85"/>
      <c r="P724" s="133"/>
    </row>
    <row r="725" spans="1:16" ht="15.75" customHeight="1">
      <c r="A725" s="130"/>
      <c r="B725" s="137"/>
      <c r="C725" s="138"/>
      <c r="D725" s="139"/>
      <c r="E725" s="138"/>
      <c r="F725" s="140"/>
      <c r="G725" s="140"/>
      <c r="H725" s="139"/>
      <c r="I725" s="138"/>
      <c r="J725" s="121"/>
      <c r="K725" s="132"/>
      <c r="L725" s="121"/>
      <c r="M725" s="96"/>
      <c r="N725" s="96"/>
      <c r="O725" s="85"/>
      <c r="P725" s="133"/>
    </row>
    <row r="726" spans="1:16" ht="15.75" customHeight="1">
      <c r="A726" s="130"/>
      <c r="B726" s="137"/>
      <c r="C726" s="138"/>
      <c r="D726" s="139"/>
      <c r="E726" s="138"/>
      <c r="F726" s="140"/>
      <c r="G726" s="140"/>
      <c r="H726" s="139"/>
      <c r="I726" s="138"/>
      <c r="J726" s="121"/>
      <c r="K726" s="132"/>
      <c r="L726" s="121"/>
      <c r="M726" s="96"/>
      <c r="N726" s="96"/>
      <c r="O726" s="85"/>
      <c r="P726" s="133"/>
    </row>
    <row r="727" spans="1:16" ht="15.75" customHeight="1">
      <c r="A727" s="130"/>
      <c r="B727" s="137"/>
      <c r="C727" s="138"/>
      <c r="D727" s="139"/>
      <c r="E727" s="138"/>
      <c r="F727" s="140"/>
      <c r="G727" s="140"/>
      <c r="H727" s="139"/>
      <c r="I727" s="138"/>
      <c r="J727" s="121"/>
      <c r="K727" s="132"/>
      <c r="L727" s="121"/>
      <c r="M727" s="96"/>
      <c r="N727" s="96"/>
      <c r="O727" s="85"/>
      <c r="P727" s="133"/>
    </row>
    <row r="728" spans="1:16" ht="15.75" customHeight="1">
      <c r="A728" s="130"/>
      <c r="B728" s="137"/>
      <c r="C728" s="138"/>
      <c r="D728" s="139"/>
      <c r="E728" s="138"/>
      <c r="F728" s="140"/>
      <c r="G728" s="140"/>
      <c r="H728" s="139"/>
      <c r="I728" s="138"/>
      <c r="J728" s="121"/>
      <c r="K728" s="132"/>
      <c r="L728" s="121"/>
      <c r="M728" s="96"/>
      <c r="N728" s="96"/>
      <c r="O728" s="85"/>
      <c r="P728" s="133"/>
    </row>
    <row r="729" spans="1:16" ht="15.75" customHeight="1">
      <c r="A729" s="130"/>
      <c r="B729" s="137"/>
      <c r="C729" s="138"/>
      <c r="D729" s="139"/>
      <c r="E729" s="138"/>
      <c r="F729" s="140"/>
      <c r="G729" s="140"/>
      <c r="H729" s="139"/>
      <c r="I729" s="138"/>
      <c r="J729" s="121"/>
      <c r="K729" s="132"/>
      <c r="L729" s="121"/>
      <c r="M729" s="96"/>
      <c r="N729" s="96"/>
      <c r="O729" s="85"/>
      <c r="P729" s="133"/>
    </row>
    <row r="730" spans="1:16" ht="15.75" customHeight="1">
      <c r="A730" s="130"/>
      <c r="B730" s="137"/>
      <c r="C730" s="138"/>
      <c r="D730" s="139"/>
      <c r="E730" s="138"/>
      <c r="F730" s="140"/>
      <c r="G730" s="140"/>
      <c r="H730" s="139"/>
      <c r="I730" s="138"/>
      <c r="J730" s="121"/>
      <c r="K730" s="132"/>
      <c r="L730" s="121"/>
      <c r="M730" s="96"/>
      <c r="N730" s="96"/>
      <c r="O730" s="85"/>
      <c r="P730" s="133"/>
    </row>
    <row r="731" spans="1:16" ht="15.75" customHeight="1">
      <c r="A731" s="130"/>
      <c r="B731" s="137"/>
      <c r="C731" s="138"/>
      <c r="D731" s="139"/>
      <c r="E731" s="138"/>
      <c r="F731" s="140"/>
      <c r="G731" s="140"/>
      <c r="H731" s="139"/>
      <c r="I731" s="138"/>
      <c r="J731" s="121"/>
      <c r="K731" s="132"/>
      <c r="L731" s="121"/>
      <c r="M731" s="96"/>
      <c r="N731" s="96"/>
      <c r="O731" s="85"/>
      <c r="P731" s="133"/>
    </row>
    <row r="732" spans="1:16" ht="15.75" customHeight="1">
      <c r="A732" s="130"/>
      <c r="B732" s="137"/>
      <c r="C732" s="138"/>
      <c r="D732" s="139"/>
      <c r="E732" s="138"/>
      <c r="F732" s="140"/>
      <c r="G732" s="140"/>
      <c r="H732" s="139"/>
      <c r="I732" s="138"/>
      <c r="J732" s="121"/>
      <c r="K732" s="132"/>
      <c r="L732" s="121"/>
      <c r="M732" s="96"/>
      <c r="N732" s="96"/>
      <c r="O732" s="85"/>
      <c r="P732" s="133"/>
    </row>
    <row r="733" spans="1:16" ht="15.75" customHeight="1">
      <c r="A733" s="130"/>
      <c r="B733" s="137"/>
      <c r="C733" s="138"/>
      <c r="D733" s="139"/>
      <c r="E733" s="138"/>
      <c r="F733" s="140"/>
      <c r="G733" s="140"/>
      <c r="H733" s="139"/>
      <c r="I733" s="138"/>
      <c r="J733" s="121"/>
      <c r="K733" s="132"/>
      <c r="L733" s="121"/>
      <c r="M733" s="96"/>
      <c r="N733" s="96"/>
      <c r="O733" s="85"/>
      <c r="P733" s="133"/>
    </row>
    <row r="734" spans="1:16" ht="15.75" customHeight="1">
      <c r="A734" s="130"/>
      <c r="B734" s="137"/>
      <c r="C734" s="138"/>
      <c r="D734" s="139"/>
      <c r="E734" s="138"/>
      <c r="F734" s="140"/>
      <c r="G734" s="140"/>
      <c r="H734" s="139"/>
      <c r="I734" s="138"/>
      <c r="J734" s="121"/>
      <c r="K734" s="132"/>
      <c r="L734" s="121"/>
      <c r="M734" s="96"/>
      <c r="N734" s="96"/>
      <c r="O734" s="85"/>
      <c r="P734" s="133"/>
    </row>
    <row r="735" spans="1:16" ht="15.75" customHeight="1">
      <c r="A735" s="130"/>
      <c r="B735" s="137"/>
      <c r="C735" s="138"/>
      <c r="D735" s="139"/>
      <c r="E735" s="138"/>
      <c r="F735" s="140"/>
      <c r="G735" s="140"/>
      <c r="H735" s="139"/>
      <c r="I735" s="138"/>
      <c r="J735" s="121"/>
      <c r="K735" s="132"/>
      <c r="L735" s="121"/>
      <c r="M735" s="96"/>
      <c r="N735" s="96"/>
      <c r="O735" s="85"/>
      <c r="P735" s="133"/>
    </row>
    <row r="736" spans="1:16" ht="15.75" customHeight="1">
      <c r="A736" s="130"/>
      <c r="B736" s="137"/>
      <c r="C736" s="138"/>
      <c r="D736" s="139"/>
      <c r="E736" s="138"/>
      <c r="F736" s="140"/>
      <c r="G736" s="140"/>
      <c r="H736" s="139"/>
      <c r="I736" s="138"/>
      <c r="J736" s="121"/>
      <c r="K736" s="132"/>
      <c r="L736" s="121"/>
      <c r="M736" s="96"/>
      <c r="N736" s="96"/>
      <c r="O736" s="85"/>
      <c r="P736" s="133"/>
    </row>
    <row r="737" spans="1:16" ht="15.75" customHeight="1">
      <c r="A737" s="130"/>
      <c r="B737" s="137"/>
      <c r="C737" s="138"/>
      <c r="D737" s="139"/>
      <c r="E737" s="138"/>
      <c r="F737" s="140"/>
      <c r="G737" s="140"/>
      <c r="H737" s="139"/>
      <c r="I737" s="138"/>
      <c r="J737" s="121"/>
      <c r="K737" s="132"/>
      <c r="L737" s="121"/>
      <c r="M737" s="96"/>
      <c r="N737" s="96"/>
      <c r="O737" s="85"/>
      <c r="P737" s="133"/>
    </row>
    <row r="738" spans="1:16" ht="15.75" customHeight="1">
      <c r="A738" s="130"/>
      <c r="B738" s="137"/>
      <c r="C738" s="138"/>
      <c r="D738" s="139"/>
      <c r="E738" s="138"/>
      <c r="F738" s="140"/>
      <c r="G738" s="140"/>
      <c r="H738" s="139"/>
      <c r="I738" s="138"/>
      <c r="J738" s="121"/>
      <c r="K738" s="132"/>
      <c r="L738" s="121"/>
      <c r="M738" s="96"/>
      <c r="N738" s="96"/>
      <c r="O738" s="85"/>
      <c r="P738" s="133"/>
    </row>
    <row r="739" spans="1:16" ht="15.75" customHeight="1">
      <c r="A739" s="130"/>
      <c r="B739" s="137"/>
      <c r="C739" s="138"/>
      <c r="D739" s="139"/>
      <c r="E739" s="138"/>
      <c r="F739" s="140"/>
      <c r="G739" s="140"/>
      <c r="H739" s="139"/>
      <c r="I739" s="138"/>
      <c r="J739" s="121"/>
      <c r="K739" s="132"/>
      <c r="L739" s="121"/>
      <c r="M739" s="96"/>
      <c r="N739" s="96"/>
      <c r="O739" s="85"/>
      <c r="P739" s="133"/>
    </row>
    <row r="740" spans="1:16" ht="15.75" customHeight="1">
      <c r="A740" s="130"/>
      <c r="B740" s="137"/>
      <c r="C740" s="138"/>
      <c r="D740" s="139"/>
      <c r="E740" s="138"/>
      <c r="F740" s="140"/>
      <c r="G740" s="140"/>
      <c r="H740" s="139"/>
      <c r="I740" s="138"/>
      <c r="J740" s="121"/>
      <c r="K740" s="132"/>
      <c r="L740" s="121"/>
      <c r="M740" s="96"/>
      <c r="N740" s="96"/>
      <c r="O740" s="85"/>
      <c r="P740" s="133"/>
    </row>
    <row r="741" spans="1:16" ht="15.75" customHeight="1">
      <c r="A741" s="130"/>
      <c r="B741" s="137"/>
      <c r="C741" s="138"/>
      <c r="D741" s="139"/>
      <c r="E741" s="138"/>
      <c r="F741" s="140"/>
      <c r="G741" s="140"/>
      <c r="H741" s="139"/>
      <c r="I741" s="138"/>
      <c r="J741" s="121"/>
      <c r="K741" s="132"/>
      <c r="L741" s="121"/>
      <c r="M741" s="96"/>
      <c r="N741" s="96"/>
      <c r="O741" s="85"/>
      <c r="P741" s="133"/>
    </row>
    <row r="742" spans="1:16" ht="15.75" customHeight="1">
      <c r="A742" s="130"/>
      <c r="B742" s="137"/>
      <c r="C742" s="138"/>
      <c r="D742" s="139"/>
      <c r="E742" s="138"/>
      <c r="F742" s="140"/>
      <c r="G742" s="140"/>
      <c r="H742" s="139"/>
      <c r="I742" s="138"/>
      <c r="J742" s="121"/>
      <c r="K742" s="132"/>
      <c r="L742" s="121"/>
      <c r="M742" s="96"/>
      <c r="N742" s="96"/>
      <c r="O742" s="85"/>
      <c r="P742" s="133"/>
    </row>
    <row r="743" spans="1:16" ht="15.75" customHeight="1">
      <c r="A743" s="130"/>
      <c r="B743" s="137"/>
      <c r="C743" s="138"/>
      <c r="D743" s="139"/>
      <c r="E743" s="138"/>
      <c r="F743" s="140"/>
      <c r="G743" s="140"/>
      <c r="H743" s="139"/>
      <c r="I743" s="138"/>
      <c r="J743" s="121"/>
      <c r="K743" s="132"/>
      <c r="L743" s="121"/>
      <c r="M743" s="96"/>
      <c r="N743" s="96"/>
      <c r="O743" s="85"/>
      <c r="P743" s="133"/>
    </row>
    <row r="744" spans="1:16" ht="15.75" customHeight="1">
      <c r="A744" s="130"/>
      <c r="B744" s="137"/>
      <c r="C744" s="138"/>
      <c r="D744" s="139"/>
      <c r="E744" s="138"/>
      <c r="F744" s="140"/>
      <c r="G744" s="140"/>
      <c r="H744" s="139"/>
      <c r="I744" s="138"/>
      <c r="J744" s="121"/>
      <c r="K744" s="132"/>
      <c r="L744" s="121"/>
      <c r="M744" s="96"/>
      <c r="N744" s="96"/>
      <c r="O744" s="85"/>
      <c r="P744" s="133"/>
    </row>
    <row r="745" spans="1:16" ht="15.75" customHeight="1">
      <c r="A745" s="130"/>
      <c r="B745" s="137"/>
      <c r="C745" s="138"/>
      <c r="D745" s="139"/>
      <c r="E745" s="138"/>
      <c r="F745" s="140"/>
      <c r="G745" s="140"/>
      <c r="H745" s="139"/>
      <c r="I745" s="138"/>
      <c r="J745" s="121"/>
      <c r="K745" s="132"/>
      <c r="L745" s="121"/>
      <c r="M745" s="96"/>
      <c r="N745" s="96"/>
      <c r="O745" s="85"/>
      <c r="P745" s="133"/>
    </row>
    <row r="746" spans="1:16" ht="15.75" customHeight="1">
      <c r="A746" s="130"/>
      <c r="B746" s="137"/>
      <c r="C746" s="138"/>
      <c r="D746" s="139"/>
      <c r="E746" s="138"/>
      <c r="F746" s="140"/>
      <c r="G746" s="140"/>
      <c r="H746" s="139"/>
      <c r="I746" s="138"/>
      <c r="J746" s="121"/>
      <c r="K746" s="132"/>
      <c r="L746" s="121"/>
      <c r="M746" s="96"/>
      <c r="N746" s="96"/>
      <c r="O746" s="85"/>
      <c r="P746" s="133"/>
    </row>
    <row r="747" spans="1:16" ht="15.75" customHeight="1">
      <c r="A747" s="130"/>
      <c r="B747" s="137"/>
      <c r="C747" s="138"/>
      <c r="D747" s="139"/>
      <c r="E747" s="138"/>
      <c r="F747" s="140"/>
      <c r="G747" s="140"/>
      <c r="H747" s="139"/>
      <c r="I747" s="138"/>
      <c r="J747" s="121"/>
      <c r="K747" s="132"/>
      <c r="L747" s="121"/>
      <c r="M747" s="96"/>
      <c r="N747" s="96"/>
      <c r="O747" s="85"/>
      <c r="P747" s="133"/>
    </row>
    <row r="748" spans="1:16" ht="15.75" customHeight="1">
      <c r="A748" s="130"/>
      <c r="B748" s="137"/>
      <c r="C748" s="138"/>
      <c r="D748" s="139"/>
      <c r="E748" s="138"/>
      <c r="F748" s="140"/>
      <c r="G748" s="140"/>
      <c r="H748" s="139"/>
      <c r="I748" s="138"/>
      <c r="J748" s="121"/>
      <c r="K748" s="132"/>
      <c r="L748" s="121"/>
      <c r="M748" s="96"/>
      <c r="N748" s="96"/>
      <c r="O748" s="85"/>
      <c r="P748" s="133"/>
    </row>
    <row r="749" spans="1:16" ht="15.75" customHeight="1">
      <c r="A749" s="130"/>
      <c r="B749" s="137"/>
      <c r="C749" s="138"/>
      <c r="D749" s="139"/>
      <c r="E749" s="138"/>
      <c r="F749" s="140"/>
      <c r="G749" s="140"/>
      <c r="H749" s="139"/>
      <c r="I749" s="138"/>
      <c r="J749" s="121"/>
      <c r="K749" s="132"/>
      <c r="L749" s="121"/>
      <c r="M749" s="96"/>
      <c r="N749" s="96"/>
      <c r="O749" s="85"/>
      <c r="P749" s="133"/>
    </row>
    <row r="750" spans="1:16" ht="15.75" customHeight="1">
      <c r="A750" s="130"/>
      <c r="B750" s="137"/>
      <c r="C750" s="138"/>
      <c r="D750" s="139"/>
      <c r="E750" s="138"/>
      <c r="F750" s="140"/>
      <c r="G750" s="140"/>
      <c r="H750" s="139"/>
      <c r="I750" s="138"/>
      <c r="J750" s="121"/>
      <c r="K750" s="132"/>
      <c r="L750" s="121"/>
      <c r="M750" s="96"/>
      <c r="N750" s="96"/>
      <c r="O750" s="85"/>
      <c r="P750" s="133"/>
    </row>
    <row r="751" spans="1:16" ht="15.75" customHeight="1">
      <c r="A751" s="130"/>
      <c r="B751" s="137"/>
      <c r="C751" s="138"/>
      <c r="D751" s="139"/>
      <c r="E751" s="138"/>
      <c r="F751" s="140"/>
      <c r="G751" s="140"/>
      <c r="H751" s="139"/>
      <c r="I751" s="138"/>
      <c r="J751" s="121"/>
      <c r="K751" s="132"/>
      <c r="L751" s="121"/>
      <c r="M751" s="96"/>
      <c r="N751" s="96"/>
      <c r="O751" s="85"/>
      <c r="P751" s="133"/>
    </row>
    <row r="752" spans="1:16" ht="15.75" customHeight="1">
      <c r="A752" s="130"/>
      <c r="B752" s="137"/>
      <c r="C752" s="138"/>
      <c r="D752" s="139"/>
      <c r="E752" s="138"/>
      <c r="F752" s="140"/>
      <c r="G752" s="140"/>
      <c r="H752" s="139"/>
      <c r="I752" s="138"/>
      <c r="J752" s="121"/>
      <c r="K752" s="132"/>
      <c r="L752" s="121"/>
      <c r="M752" s="96"/>
      <c r="N752" s="96"/>
      <c r="O752" s="85"/>
      <c r="P752" s="133"/>
    </row>
    <row r="753" spans="1:16" ht="15.75" customHeight="1">
      <c r="A753" s="130"/>
      <c r="B753" s="137"/>
      <c r="C753" s="138"/>
      <c r="D753" s="139"/>
      <c r="E753" s="138"/>
      <c r="F753" s="140"/>
      <c r="G753" s="140"/>
      <c r="H753" s="139"/>
      <c r="I753" s="138"/>
      <c r="J753" s="121"/>
      <c r="K753" s="132"/>
      <c r="L753" s="121"/>
      <c r="M753" s="96"/>
      <c r="N753" s="96"/>
      <c r="O753" s="85"/>
      <c r="P753" s="133"/>
    </row>
    <row r="754" spans="1:16" ht="15.75" customHeight="1">
      <c r="A754" s="130"/>
      <c r="B754" s="137"/>
      <c r="C754" s="138"/>
      <c r="D754" s="139"/>
      <c r="E754" s="138"/>
      <c r="F754" s="140"/>
      <c r="G754" s="140"/>
      <c r="H754" s="139"/>
      <c r="I754" s="138"/>
      <c r="J754" s="121"/>
      <c r="K754" s="132"/>
      <c r="L754" s="121"/>
      <c r="M754" s="96"/>
      <c r="N754" s="96"/>
      <c r="O754" s="85"/>
      <c r="P754" s="133"/>
    </row>
    <row r="755" spans="1:16" ht="15.75" customHeight="1">
      <c r="A755" s="130"/>
      <c r="B755" s="137"/>
      <c r="C755" s="138"/>
      <c r="D755" s="139"/>
      <c r="E755" s="138"/>
      <c r="F755" s="140"/>
      <c r="G755" s="140"/>
      <c r="H755" s="139"/>
      <c r="I755" s="138"/>
      <c r="J755" s="121"/>
      <c r="K755" s="132"/>
      <c r="L755" s="121"/>
      <c r="M755" s="96"/>
      <c r="N755" s="96"/>
      <c r="O755" s="85"/>
      <c r="P755" s="133"/>
    </row>
    <row r="756" spans="1:16" ht="15.75" customHeight="1">
      <c r="A756" s="130"/>
      <c r="B756" s="137"/>
      <c r="C756" s="138"/>
      <c r="D756" s="139"/>
      <c r="E756" s="138"/>
      <c r="F756" s="140"/>
      <c r="G756" s="140"/>
      <c r="H756" s="139"/>
      <c r="I756" s="138"/>
      <c r="J756" s="121"/>
      <c r="K756" s="132"/>
      <c r="L756" s="121"/>
      <c r="M756" s="96"/>
      <c r="N756" s="96"/>
      <c r="O756" s="85"/>
      <c r="P756" s="133"/>
    </row>
    <row r="757" spans="1:16" ht="15.75" customHeight="1">
      <c r="A757" s="130"/>
      <c r="B757" s="137"/>
      <c r="C757" s="138"/>
      <c r="D757" s="139"/>
      <c r="E757" s="138"/>
      <c r="F757" s="140"/>
      <c r="G757" s="140"/>
      <c r="H757" s="139"/>
      <c r="I757" s="138"/>
      <c r="J757" s="121"/>
      <c r="K757" s="132"/>
      <c r="L757" s="121"/>
      <c r="M757" s="96"/>
      <c r="N757" s="96"/>
      <c r="O757" s="85"/>
      <c r="P757" s="133"/>
    </row>
    <row r="758" spans="1:16" ht="15.75" customHeight="1">
      <c r="A758" s="130"/>
      <c r="B758" s="137"/>
      <c r="C758" s="138"/>
      <c r="D758" s="139"/>
      <c r="E758" s="138"/>
      <c r="F758" s="140"/>
      <c r="G758" s="140"/>
      <c r="H758" s="139"/>
      <c r="I758" s="138"/>
      <c r="J758" s="121"/>
      <c r="K758" s="132"/>
      <c r="L758" s="121"/>
      <c r="M758" s="96"/>
      <c r="N758" s="96"/>
      <c r="O758" s="85"/>
      <c r="P758" s="133"/>
    </row>
    <row r="759" spans="1:16" ht="15.75" customHeight="1">
      <c r="A759" s="130"/>
      <c r="B759" s="137"/>
      <c r="C759" s="138"/>
      <c r="D759" s="139"/>
      <c r="E759" s="138"/>
      <c r="F759" s="140"/>
      <c r="G759" s="140"/>
      <c r="H759" s="139"/>
      <c r="I759" s="138"/>
      <c r="J759" s="121"/>
      <c r="K759" s="132"/>
      <c r="L759" s="121"/>
      <c r="M759" s="96"/>
      <c r="N759" s="96"/>
      <c r="O759" s="85"/>
      <c r="P759" s="133"/>
    </row>
    <row r="760" spans="1:16" ht="15.75" customHeight="1">
      <c r="A760" s="130"/>
      <c r="B760" s="137"/>
      <c r="C760" s="138"/>
      <c r="D760" s="139"/>
      <c r="E760" s="138"/>
      <c r="F760" s="140"/>
      <c r="G760" s="140"/>
      <c r="H760" s="139"/>
      <c r="I760" s="138"/>
      <c r="J760" s="121"/>
      <c r="K760" s="132"/>
      <c r="L760" s="121"/>
      <c r="M760" s="96"/>
      <c r="N760" s="96"/>
      <c r="O760" s="85"/>
      <c r="P760" s="133"/>
    </row>
    <row r="761" spans="1:16" ht="15.75" customHeight="1">
      <c r="A761" s="130"/>
      <c r="B761" s="137"/>
      <c r="C761" s="138"/>
      <c r="D761" s="139"/>
      <c r="E761" s="138"/>
      <c r="F761" s="140"/>
      <c r="G761" s="140"/>
      <c r="H761" s="139"/>
      <c r="I761" s="138"/>
      <c r="J761" s="121"/>
      <c r="K761" s="132"/>
      <c r="L761" s="121"/>
      <c r="M761" s="96"/>
      <c r="N761" s="96"/>
      <c r="O761" s="85"/>
      <c r="P761" s="133"/>
    </row>
    <row r="762" spans="1:16" ht="15.75" customHeight="1">
      <c r="A762" s="130"/>
      <c r="B762" s="137"/>
      <c r="C762" s="138"/>
      <c r="D762" s="139"/>
      <c r="E762" s="138"/>
      <c r="F762" s="140"/>
      <c r="G762" s="140"/>
      <c r="H762" s="139"/>
      <c r="I762" s="138"/>
      <c r="J762" s="121"/>
      <c r="K762" s="132"/>
      <c r="L762" s="121"/>
      <c r="M762" s="96"/>
      <c r="N762" s="96"/>
      <c r="O762" s="85"/>
      <c r="P762" s="133"/>
    </row>
    <row r="763" spans="1:16" ht="15.75" customHeight="1">
      <c r="A763" s="130"/>
      <c r="B763" s="137"/>
      <c r="C763" s="138"/>
      <c r="D763" s="139"/>
      <c r="E763" s="138"/>
      <c r="F763" s="140"/>
      <c r="G763" s="140"/>
      <c r="H763" s="139"/>
      <c r="I763" s="138"/>
      <c r="J763" s="121"/>
      <c r="K763" s="132"/>
      <c r="L763" s="121"/>
      <c r="M763" s="96"/>
      <c r="N763" s="96"/>
      <c r="O763" s="85"/>
      <c r="P763" s="133"/>
    </row>
    <row r="764" spans="1:16" ht="15.75" customHeight="1">
      <c r="A764" s="130"/>
      <c r="B764" s="137"/>
      <c r="C764" s="138"/>
      <c r="D764" s="139"/>
      <c r="E764" s="138"/>
      <c r="F764" s="140"/>
      <c r="G764" s="140"/>
      <c r="H764" s="139"/>
      <c r="I764" s="138"/>
      <c r="J764" s="121"/>
      <c r="K764" s="132"/>
      <c r="L764" s="121"/>
      <c r="M764" s="96"/>
      <c r="N764" s="96"/>
      <c r="O764" s="85"/>
      <c r="P764" s="133"/>
    </row>
    <row r="765" spans="1:16" ht="15.75" customHeight="1">
      <c r="A765" s="130"/>
      <c r="B765" s="137"/>
      <c r="C765" s="138"/>
      <c r="D765" s="139"/>
      <c r="E765" s="138"/>
      <c r="F765" s="140"/>
      <c r="G765" s="140"/>
      <c r="H765" s="139"/>
      <c r="I765" s="138"/>
      <c r="J765" s="121"/>
      <c r="K765" s="132"/>
      <c r="L765" s="121"/>
      <c r="M765" s="96"/>
      <c r="N765" s="96"/>
      <c r="O765" s="85"/>
      <c r="P765" s="133"/>
    </row>
    <row r="766" spans="1:16" ht="15.75" customHeight="1">
      <c r="A766" s="130"/>
      <c r="B766" s="137"/>
      <c r="C766" s="138"/>
      <c r="D766" s="139"/>
      <c r="E766" s="138"/>
      <c r="F766" s="140"/>
      <c r="G766" s="140"/>
      <c r="H766" s="139"/>
      <c r="I766" s="138"/>
      <c r="J766" s="121"/>
      <c r="K766" s="132"/>
      <c r="L766" s="121"/>
      <c r="M766" s="96"/>
      <c r="N766" s="96"/>
      <c r="O766" s="85"/>
      <c r="P766" s="133"/>
    </row>
    <row r="767" spans="1:16" ht="15.75" customHeight="1">
      <c r="A767" s="130"/>
      <c r="B767" s="137"/>
      <c r="C767" s="138"/>
      <c r="D767" s="139"/>
      <c r="E767" s="138"/>
      <c r="F767" s="140"/>
      <c r="G767" s="140"/>
      <c r="H767" s="139"/>
      <c r="I767" s="138"/>
      <c r="J767" s="121"/>
      <c r="K767" s="132"/>
      <c r="L767" s="121"/>
      <c r="M767" s="96"/>
      <c r="N767" s="96"/>
      <c r="O767" s="85"/>
      <c r="P767" s="133"/>
    </row>
    <row r="768" spans="1:16" ht="15.75" customHeight="1">
      <c r="A768" s="130"/>
      <c r="B768" s="137"/>
      <c r="C768" s="138"/>
      <c r="D768" s="139"/>
      <c r="E768" s="138"/>
      <c r="F768" s="140"/>
      <c r="G768" s="140"/>
      <c r="H768" s="139"/>
      <c r="I768" s="138"/>
      <c r="J768" s="121"/>
      <c r="K768" s="132"/>
      <c r="L768" s="121"/>
      <c r="M768" s="96"/>
      <c r="N768" s="96"/>
      <c r="O768" s="85"/>
      <c r="P768" s="133"/>
    </row>
    <row r="769" spans="1:16" ht="15.75" customHeight="1">
      <c r="A769" s="130"/>
      <c r="B769" s="137"/>
      <c r="C769" s="138"/>
      <c r="D769" s="139"/>
      <c r="E769" s="138"/>
      <c r="F769" s="140"/>
      <c r="G769" s="140"/>
      <c r="H769" s="139"/>
      <c r="I769" s="138"/>
      <c r="J769" s="121"/>
      <c r="K769" s="132"/>
      <c r="L769" s="121"/>
      <c r="M769" s="96"/>
      <c r="N769" s="96"/>
      <c r="O769" s="85"/>
      <c r="P769" s="133"/>
    </row>
    <row r="770" spans="1:16" ht="15.75" customHeight="1">
      <c r="A770" s="130"/>
      <c r="B770" s="137"/>
      <c r="C770" s="138"/>
      <c r="D770" s="139"/>
      <c r="E770" s="138"/>
      <c r="F770" s="140"/>
      <c r="G770" s="140"/>
      <c r="H770" s="139"/>
      <c r="I770" s="138"/>
      <c r="J770" s="121"/>
      <c r="K770" s="132"/>
      <c r="L770" s="121"/>
      <c r="M770" s="96"/>
      <c r="N770" s="96"/>
      <c r="O770" s="85"/>
      <c r="P770" s="133"/>
    </row>
    <row r="771" spans="1:16" ht="15.75" customHeight="1">
      <c r="A771" s="130"/>
      <c r="B771" s="137"/>
      <c r="C771" s="138"/>
      <c r="D771" s="139"/>
      <c r="E771" s="138"/>
      <c r="F771" s="140"/>
      <c r="G771" s="140"/>
      <c r="H771" s="139"/>
      <c r="I771" s="138"/>
      <c r="J771" s="121"/>
      <c r="K771" s="132"/>
      <c r="L771" s="121"/>
      <c r="M771" s="96"/>
      <c r="N771" s="96"/>
      <c r="O771" s="85"/>
      <c r="P771" s="133"/>
    </row>
    <row r="772" spans="1:16" ht="15.75" customHeight="1">
      <c r="A772" s="130"/>
      <c r="B772" s="137"/>
      <c r="C772" s="138"/>
      <c r="D772" s="139"/>
      <c r="E772" s="138"/>
      <c r="F772" s="140"/>
      <c r="G772" s="140"/>
      <c r="H772" s="139"/>
      <c r="I772" s="138"/>
      <c r="J772" s="121"/>
      <c r="K772" s="132"/>
      <c r="L772" s="121"/>
      <c r="M772" s="96"/>
      <c r="N772" s="96"/>
      <c r="O772" s="85"/>
      <c r="P772" s="133"/>
    </row>
    <row r="773" spans="1:16" ht="15.75" customHeight="1">
      <c r="A773" s="130"/>
      <c r="B773" s="137"/>
      <c r="C773" s="138"/>
      <c r="D773" s="139"/>
      <c r="E773" s="138"/>
      <c r="F773" s="140"/>
      <c r="G773" s="140"/>
      <c r="H773" s="139"/>
      <c r="I773" s="138"/>
      <c r="J773" s="121"/>
      <c r="K773" s="132"/>
      <c r="L773" s="121"/>
      <c r="M773" s="96"/>
      <c r="N773" s="96"/>
      <c r="O773" s="85"/>
      <c r="P773" s="133"/>
    </row>
    <row r="774" spans="1:16" ht="15.75" customHeight="1">
      <c r="A774" s="130"/>
      <c r="B774" s="137"/>
      <c r="C774" s="138"/>
      <c r="D774" s="139"/>
      <c r="E774" s="138"/>
      <c r="F774" s="140"/>
      <c r="G774" s="140"/>
      <c r="H774" s="139"/>
      <c r="I774" s="138"/>
      <c r="J774" s="121"/>
      <c r="K774" s="132"/>
      <c r="L774" s="121"/>
      <c r="M774" s="96"/>
      <c r="N774" s="96"/>
      <c r="O774" s="85"/>
      <c r="P774" s="133"/>
    </row>
    <row r="775" spans="1:16" ht="15.75" customHeight="1">
      <c r="A775" s="130"/>
      <c r="B775" s="137"/>
      <c r="C775" s="138"/>
      <c r="D775" s="139"/>
      <c r="E775" s="138"/>
      <c r="F775" s="140"/>
      <c r="G775" s="140"/>
      <c r="H775" s="139"/>
      <c r="I775" s="138"/>
      <c r="J775" s="121"/>
      <c r="K775" s="132"/>
      <c r="L775" s="121"/>
      <c r="M775" s="96"/>
      <c r="N775" s="96"/>
      <c r="O775" s="85"/>
      <c r="P775" s="133"/>
    </row>
    <row r="776" spans="1:16" ht="15.75" customHeight="1">
      <c r="A776" s="130"/>
      <c r="B776" s="137"/>
      <c r="C776" s="138"/>
      <c r="D776" s="139"/>
      <c r="E776" s="138"/>
      <c r="F776" s="140"/>
      <c r="G776" s="140"/>
      <c r="H776" s="139"/>
      <c r="I776" s="138"/>
      <c r="J776" s="121"/>
      <c r="K776" s="132"/>
      <c r="L776" s="121"/>
      <c r="M776" s="96"/>
      <c r="N776" s="96"/>
      <c r="O776" s="85"/>
      <c r="P776" s="133"/>
    </row>
    <row r="777" spans="1:16" ht="15.75" customHeight="1">
      <c r="A777" s="130"/>
      <c r="B777" s="137"/>
      <c r="C777" s="138"/>
      <c r="D777" s="139"/>
      <c r="E777" s="138"/>
      <c r="F777" s="140"/>
      <c r="G777" s="140"/>
      <c r="H777" s="139"/>
      <c r="I777" s="138"/>
      <c r="J777" s="121"/>
      <c r="K777" s="132"/>
      <c r="L777" s="121"/>
      <c r="M777" s="96"/>
      <c r="N777" s="96"/>
      <c r="O777" s="85"/>
      <c r="P777" s="133"/>
    </row>
    <row r="778" spans="1:16" ht="15.75" customHeight="1">
      <c r="A778" s="130"/>
      <c r="B778" s="137"/>
      <c r="C778" s="138"/>
      <c r="D778" s="139"/>
      <c r="E778" s="138"/>
      <c r="F778" s="140"/>
      <c r="G778" s="140"/>
      <c r="H778" s="139"/>
      <c r="I778" s="138"/>
      <c r="J778" s="121"/>
      <c r="K778" s="132"/>
      <c r="L778" s="121"/>
      <c r="M778" s="96"/>
      <c r="N778" s="96"/>
      <c r="O778" s="85"/>
      <c r="P778" s="133"/>
    </row>
    <row r="779" spans="1:16" ht="15.75" customHeight="1">
      <c r="A779" s="130"/>
      <c r="B779" s="137"/>
      <c r="C779" s="138"/>
      <c r="D779" s="139"/>
      <c r="E779" s="138"/>
      <c r="F779" s="140"/>
      <c r="G779" s="140"/>
      <c r="H779" s="139"/>
      <c r="I779" s="138"/>
      <c r="J779" s="121"/>
      <c r="K779" s="132"/>
      <c r="L779" s="121"/>
      <c r="M779" s="96"/>
      <c r="N779" s="96"/>
      <c r="O779" s="85"/>
      <c r="P779" s="133"/>
    </row>
    <row r="780" spans="1:16" ht="15.75" customHeight="1">
      <c r="A780" s="130"/>
      <c r="B780" s="137"/>
      <c r="C780" s="138"/>
      <c r="D780" s="139"/>
      <c r="E780" s="138"/>
      <c r="F780" s="140"/>
      <c r="G780" s="140"/>
      <c r="H780" s="139"/>
      <c r="I780" s="138"/>
      <c r="J780" s="121"/>
      <c r="K780" s="132"/>
      <c r="L780" s="121"/>
      <c r="M780" s="96"/>
      <c r="N780" s="96"/>
      <c r="O780" s="85"/>
      <c r="P780" s="133"/>
    </row>
    <row r="781" spans="1:16" ht="15.75" customHeight="1">
      <c r="A781" s="130"/>
      <c r="B781" s="137"/>
      <c r="C781" s="138"/>
      <c r="D781" s="139"/>
      <c r="E781" s="138"/>
      <c r="F781" s="140"/>
      <c r="G781" s="140"/>
      <c r="H781" s="139"/>
      <c r="I781" s="138"/>
      <c r="J781" s="121"/>
      <c r="K781" s="132"/>
      <c r="L781" s="121"/>
      <c r="M781" s="96"/>
      <c r="N781" s="96"/>
      <c r="O781" s="85"/>
      <c r="P781" s="133"/>
    </row>
    <row r="782" spans="1:16" ht="15.75" customHeight="1">
      <c r="A782" s="130"/>
      <c r="B782" s="137"/>
      <c r="C782" s="138"/>
      <c r="D782" s="139"/>
      <c r="E782" s="138"/>
      <c r="F782" s="140"/>
      <c r="G782" s="140"/>
      <c r="H782" s="139"/>
      <c r="I782" s="138"/>
      <c r="J782" s="121"/>
      <c r="K782" s="132"/>
      <c r="L782" s="121"/>
      <c r="M782" s="96"/>
      <c r="N782" s="96"/>
      <c r="O782" s="85"/>
      <c r="P782" s="133"/>
    </row>
    <row r="783" spans="1:16" ht="15.75" customHeight="1">
      <c r="A783" s="130"/>
      <c r="B783" s="137"/>
      <c r="C783" s="138"/>
      <c r="D783" s="139"/>
      <c r="E783" s="138"/>
      <c r="F783" s="140"/>
      <c r="G783" s="140"/>
      <c r="H783" s="139"/>
      <c r="I783" s="138"/>
      <c r="J783" s="121"/>
      <c r="K783" s="132"/>
      <c r="L783" s="121"/>
      <c r="M783" s="96"/>
      <c r="N783" s="96"/>
      <c r="O783" s="85"/>
      <c r="P783" s="133"/>
    </row>
    <row r="784" spans="1:16" ht="15.75" customHeight="1">
      <c r="A784" s="130"/>
      <c r="B784" s="137"/>
      <c r="C784" s="138"/>
      <c r="D784" s="139"/>
      <c r="E784" s="138"/>
      <c r="F784" s="140"/>
      <c r="G784" s="140"/>
      <c r="H784" s="139"/>
      <c r="I784" s="138"/>
      <c r="J784" s="121"/>
      <c r="K784" s="132"/>
      <c r="L784" s="121"/>
      <c r="M784" s="96"/>
      <c r="N784" s="96"/>
      <c r="O784" s="85"/>
      <c r="P784" s="133"/>
    </row>
    <row r="785" spans="1:16" ht="15.75" customHeight="1">
      <c r="A785" s="130"/>
      <c r="B785" s="137"/>
      <c r="C785" s="138"/>
      <c r="D785" s="139"/>
      <c r="E785" s="138"/>
      <c r="F785" s="140"/>
      <c r="G785" s="140"/>
      <c r="H785" s="139"/>
      <c r="I785" s="138"/>
      <c r="J785" s="121"/>
      <c r="K785" s="132"/>
      <c r="L785" s="121"/>
      <c r="M785" s="96"/>
      <c r="N785" s="96"/>
      <c r="O785" s="85"/>
      <c r="P785" s="133"/>
    </row>
    <row r="786" spans="1:16" ht="15.75" customHeight="1">
      <c r="A786" s="130"/>
      <c r="B786" s="137"/>
      <c r="C786" s="138"/>
      <c r="D786" s="139"/>
      <c r="E786" s="138"/>
      <c r="F786" s="140"/>
      <c r="G786" s="140"/>
      <c r="H786" s="139"/>
      <c r="I786" s="138"/>
      <c r="J786" s="121"/>
      <c r="K786" s="132"/>
      <c r="L786" s="121"/>
      <c r="M786" s="96"/>
      <c r="N786" s="96"/>
      <c r="O786" s="85"/>
      <c r="P786" s="133"/>
    </row>
    <row r="787" spans="1:16" ht="15.75" customHeight="1">
      <c r="A787" s="130"/>
      <c r="B787" s="137"/>
      <c r="C787" s="138"/>
      <c r="D787" s="139"/>
      <c r="E787" s="138"/>
      <c r="F787" s="140"/>
      <c r="G787" s="140"/>
      <c r="H787" s="139"/>
      <c r="I787" s="138"/>
      <c r="J787" s="121"/>
      <c r="K787" s="132"/>
      <c r="L787" s="121"/>
      <c r="M787" s="96"/>
      <c r="N787" s="96"/>
      <c r="O787" s="85"/>
      <c r="P787" s="133"/>
    </row>
    <row r="788" spans="1:16" ht="15.75" customHeight="1">
      <c r="A788" s="130"/>
      <c r="B788" s="137"/>
      <c r="C788" s="138"/>
      <c r="D788" s="139"/>
      <c r="E788" s="138"/>
      <c r="F788" s="140"/>
      <c r="G788" s="140"/>
      <c r="H788" s="139"/>
      <c r="I788" s="138"/>
      <c r="J788" s="121"/>
      <c r="K788" s="132"/>
      <c r="L788" s="121"/>
      <c r="M788" s="96"/>
      <c r="N788" s="96"/>
      <c r="O788" s="85"/>
      <c r="P788" s="133"/>
    </row>
    <row r="789" spans="1:16" ht="15.75" customHeight="1">
      <c r="A789" s="130"/>
      <c r="B789" s="137"/>
      <c r="C789" s="138"/>
      <c r="D789" s="139"/>
      <c r="E789" s="138"/>
      <c r="F789" s="140"/>
      <c r="G789" s="140"/>
      <c r="H789" s="139"/>
      <c r="I789" s="138"/>
      <c r="J789" s="121"/>
      <c r="K789" s="132"/>
      <c r="L789" s="121"/>
      <c r="M789" s="96"/>
      <c r="N789" s="96"/>
      <c r="O789" s="85"/>
      <c r="P789" s="133"/>
    </row>
    <row r="790" spans="1:16" ht="15.75" customHeight="1">
      <c r="A790" s="130"/>
      <c r="B790" s="137"/>
      <c r="C790" s="138"/>
      <c r="D790" s="139"/>
      <c r="E790" s="138"/>
      <c r="F790" s="140"/>
      <c r="G790" s="140"/>
      <c r="H790" s="139"/>
      <c r="I790" s="138"/>
      <c r="J790" s="121"/>
      <c r="K790" s="132"/>
      <c r="L790" s="121"/>
      <c r="M790" s="96"/>
      <c r="N790" s="96"/>
      <c r="O790" s="85"/>
      <c r="P790" s="133"/>
    </row>
    <row r="791" spans="1:16" ht="15.75" customHeight="1">
      <c r="A791" s="130"/>
      <c r="B791" s="137"/>
      <c r="C791" s="138"/>
      <c r="D791" s="139"/>
      <c r="E791" s="138"/>
      <c r="F791" s="140"/>
      <c r="G791" s="140"/>
      <c r="H791" s="139"/>
      <c r="I791" s="138"/>
      <c r="J791" s="121"/>
      <c r="K791" s="132"/>
      <c r="L791" s="121"/>
      <c r="M791" s="96"/>
      <c r="N791" s="96"/>
      <c r="O791" s="85"/>
      <c r="P791" s="133"/>
    </row>
    <row r="792" spans="1:16" ht="15.75" customHeight="1">
      <c r="A792" s="130"/>
      <c r="B792" s="137"/>
      <c r="C792" s="138"/>
      <c r="D792" s="139"/>
      <c r="E792" s="138"/>
      <c r="F792" s="140"/>
      <c r="G792" s="140"/>
      <c r="H792" s="139"/>
      <c r="I792" s="138"/>
      <c r="J792" s="121"/>
      <c r="K792" s="132"/>
      <c r="L792" s="121"/>
      <c r="M792" s="96"/>
      <c r="N792" s="96"/>
      <c r="O792" s="85"/>
      <c r="P792" s="133"/>
    </row>
    <row r="793" spans="1:16" ht="15.75" customHeight="1">
      <c r="A793" s="130"/>
      <c r="B793" s="137"/>
      <c r="C793" s="138"/>
      <c r="D793" s="139"/>
      <c r="E793" s="138"/>
      <c r="F793" s="140"/>
      <c r="G793" s="140"/>
      <c r="H793" s="139"/>
      <c r="I793" s="138"/>
      <c r="J793" s="121"/>
      <c r="K793" s="132"/>
      <c r="L793" s="121"/>
      <c r="M793" s="96"/>
      <c r="N793" s="96"/>
      <c r="O793" s="85"/>
      <c r="P793" s="133"/>
    </row>
    <row r="794" spans="1:16" ht="15.75" customHeight="1">
      <c r="A794" s="130"/>
      <c r="B794" s="137"/>
      <c r="C794" s="138"/>
      <c r="D794" s="139"/>
      <c r="E794" s="138"/>
      <c r="F794" s="140"/>
      <c r="G794" s="140"/>
      <c r="H794" s="139"/>
      <c r="I794" s="138"/>
      <c r="J794" s="121"/>
      <c r="K794" s="132"/>
      <c r="L794" s="121"/>
      <c r="M794" s="96"/>
      <c r="N794" s="96"/>
      <c r="O794" s="85"/>
      <c r="P794" s="133"/>
    </row>
    <row r="795" spans="1:16" ht="15.75" customHeight="1">
      <c r="A795" s="130"/>
      <c r="B795" s="137"/>
      <c r="C795" s="138"/>
      <c r="D795" s="139"/>
      <c r="E795" s="138"/>
      <c r="F795" s="140"/>
      <c r="G795" s="140"/>
      <c r="H795" s="139"/>
      <c r="I795" s="138"/>
      <c r="J795" s="121"/>
      <c r="K795" s="132"/>
      <c r="L795" s="121"/>
      <c r="M795" s="96"/>
      <c r="N795" s="96"/>
      <c r="O795" s="85"/>
      <c r="P795" s="133"/>
    </row>
    <row r="796" spans="1:16" ht="15.75" customHeight="1">
      <c r="A796" s="130"/>
      <c r="B796" s="137"/>
      <c r="C796" s="138"/>
      <c r="D796" s="139"/>
      <c r="E796" s="138"/>
      <c r="F796" s="140"/>
      <c r="G796" s="140"/>
      <c r="H796" s="139"/>
      <c r="I796" s="138"/>
      <c r="J796" s="121"/>
      <c r="K796" s="132"/>
      <c r="L796" s="121"/>
      <c r="M796" s="96"/>
      <c r="N796" s="96"/>
      <c r="O796" s="85"/>
      <c r="P796" s="133"/>
    </row>
    <row r="797" spans="1:16" ht="15.75" customHeight="1">
      <c r="A797" s="130"/>
      <c r="B797" s="137"/>
      <c r="C797" s="138"/>
      <c r="D797" s="139"/>
      <c r="E797" s="138"/>
      <c r="F797" s="140"/>
      <c r="G797" s="140"/>
      <c r="H797" s="139"/>
      <c r="I797" s="138"/>
      <c r="J797" s="121"/>
      <c r="K797" s="132"/>
      <c r="L797" s="121"/>
      <c r="M797" s="96"/>
      <c r="N797" s="96"/>
      <c r="O797" s="85"/>
      <c r="P797" s="133"/>
    </row>
    <row r="798" spans="1:16" ht="15.75" customHeight="1">
      <c r="A798" s="130"/>
      <c r="B798" s="137"/>
      <c r="C798" s="138"/>
      <c r="D798" s="139"/>
      <c r="E798" s="138"/>
      <c r="F798" s="140"/>
      <c r="G798" s="140"/>
      <c r="H798" s="139"/>
      <c r="I798" s="138"/>
      <c r="J798" s="121"/>
      <c r="K798" s="132"/>
      <c r="L798" s="121"/>
      <c r="M798" s="96"/>
      <c r="N798" s="96"/>
      <c r="O798" s="85"/>
      <c r="P798" s="133"/>
    </row>
    <row r="799" spans="1:16" ht="15.75" customHeight="1">
      <c r="A799" s="130"/>
      <c r="B799" s="137"/>
      <c r="C799" s="138"/>
      <c r="D799" s="139"/>
      <c r="E799" s="138"/>
      <c r="F799" s="140"/>
      <c r="G799" s="140"/>
      <c r="H799" s="139"/>
      <c r="I799" s="138"/>
      <c r="J799" s="121"/>
      <c r="K799" s="132"/>
      <c r="L799" s="121"/>
      <c r="M799" s="96"/>
      <c r="N799" s="96"/>
      <c r="O799" s="85"/>
      <c r="P799" s="133"/>
    </row>
    <row r="800" spans="1:16" ht="15.75" customHeight="1">
      <c r="A800" s="130"/>
      <c r="B800" s="137"/>
      <c r="C800" s="138"/>
      <c r="D800" s="139"/>
      <c r="E800" s="138"/>
      <c r="F800" s="140"/>
      <c r="G800" s="140"/>
      <c r="H800" s="139"/>
      <c r="I800" s="138"/>
      <c r="J800" s="121"/>
      <c r="K800" s="132"/>
      <c r="L800" s="121"/>
      <c r="M800" s="96"/>
      <c r="N800" s="96"/>
      <c r="O800" s="85"/>
      <c r="P800" s="133"/>
    </row>
    <row r="801" spans="1:16" ht="15.75" customHeight="1">
      <c r="A801" s="130"/>
      <c r="B801" s="137"/>
      <c r="C801" s="138"/>
      <c r="D801" s="139"/>
      <c r="E801" s="138"/>
      <c r="F801" s="140"/>
      <c r="G801" s="140"/>
      <c r="H801" s="139"/>
      <c r="I801" s="138"/>
      <c r="J801" s="121"/>
      <c r="K801" s="132"/>
      <c r="L801" s="121"/>
      <c r="M801" s="96"/>
      <c r="N801" s="96"/>
      <c r="O801" s="85"/>
      <c r="P801" s="133"/>
    </row>
    <row r="802" spans="1:16" ht="15.75" customHeight="1">
      <c r="A802" s="130"/>
      <c r="B802" s="137"/>
      <c r="C802" s="138"/>
      <c r="D802" s="139"/>
      <c r="E802" s="138"/>
      <c r="F802" s="140"/>
      <c r="G802" s="140"/>
      <c r="H802" s="139"/>
      <c r="I802" s="138"/>
      <c r="J802" s="121"/>
      <c r="K802" s="132"/>
      <c r="L802" s="121"/>
      <c r="M802" s="96"/>
      <c r="N802" s="96"/>
      <c r="O802" s="85"/>
      <c r="P802" s="133"/>
    </row>
    <row r="803" spans="1:16" ht="15.75" customHeight="1">
      <c r="A803" s="130"/>
      <c r="B803" s="137"/>
      <c r="C803" s="138"/>
      <c r="D803" s="139"/>
      <c r="E803" s="138"/>
      <c r="F803" s="140"/>
      <c r="G803" s="140"/>
      <c r="H803" s="139"/>
      <c r="I803" s="138"/>
      <c r="J803" s="121"/>
      <c r="K803" s="132"/>
      <c r="L803" s="121"/>
      <c r="M803" s="96"/>
      <c r="N803" s="96"/>
      <c r="O803" s="85"/>
      <c r="P803" s="133"/>
    </row>
    <row r="804" spans="1:16" ht="15.75" customHeight="1">
      <c r="A804" s="130"/>
      <c r="B804" s="137"/>
      <c r="C804" s="138"/>
      <c r="D804" s="139"/>
      <c r="E804" s="138"/>
      <c r="F804" s="140"/>
      <c r="G804" s="140"/>
      <c r="H804" s="139"/>
      <c r="I804" s="138"/>
      <c r="J804" s="121"/>
      <c r="K804" s="132"/>
      <c r="L804" s="121"/>
      <c r="M804" s="96"/>
      <c r="N804" s="96"/>
      <c r="O804" s="85"/>
      <c r="P804" s="133"/>
    </row>
    <row r="805" spans="1:16" ht="15.75" customHeight="1">
      <c r="A805" s="130"/>
      <c r="B805" s="137"/>
      <c r="C805" s="138"/>
      <c r="D805" s="139"/>
      <c r="E805" s="138"/>
      <c r="F805" s="140"/>
      <c r="G805" s="140"/>
      <c r="H805" s="139"/>
      <c r="I805" s="138"/>
      <c r="J805" s="121"/>
      <c r="K805" s="132"/>
      <c r="L805" s="121"/>
      <c r="M805" s="96"/>
      <c r="N805" s="96"/>
      <c r="O805" s="85"/>
      <c r="P805" s="133"/>
    </row>
    <row r="806" spans="1:16" ht="15.75" customHeight="1">
      <c r="A806" s="130"/>
      <c r="B806" s="137"/>
      <c r="C806" s="138"/>
      <c r="D806" s="139"/>
      <c r="E806" s="138"/>
      <c r="F806" s="140"/>
      <c r="G806" s="140"/>
      <c r="H806" s="139"/>
      <c r="I806" s="138"/>
      <c r="J806" s="121"/>
      <c r="K806" s="132"/>
      <c r="L806" s="121"/>
      <c r="M806" s="96"/>
      <c r="N806" s="96"/>
      <c r="O806" s="85"/>
      <c r="P806" s="133"/>
    </row>
    <row r="807" spans="1:16" ht="15.75" customHeight="1">
      <c r="A807" s="130"/>
      <c r="B807" s="137"/>
      <c r="C807" s="138"/>
      <c r="D807" s="139"/>
      <c r="E807" s="138"/>
      <c r="F807" s="140"/>
      <c r="G807" s="140"/>
      <c r="H807" s="139"/>
      <c r="I807" s="138"/>
      <c r="J807" s="121"/>
      <c r="K807" s="132"/>
      <c r="L807" s="121"/>
      <c r="M807" s="96"/>
      <c r="N807" s="96"/>
      <c r="O807" s="85"/>
      <c r="P807" s="133"/>
    </row>
    <row r="808" spans="1:16" ht="15.75" customHeight="1">
      <c r="A808" s="130"/>
      <c r="B808" s="137"/>
      <c r="C808" s="138"/>
      <c r="D808" s="139"/>
      <c r="E808" s="138"/>
      <c r="F808" s="140"/>
      <c r="G808" s="140"/>
      <c r="H808" s="139"/>
      <c r="I808" s="138"/>
      <c r="J808" s="121"/>
      <c r="K808" s="132"/>
      <c r="L808" s="121"/>
      <c r="M808" s="96"/>
      <c r="N808" s="96"/>
      <c r="O808" s="85"/>
      <c r="P808" s="133"/>
    </row>
    <row r="809" spans="1:16" ht="15.75" customHeight="1">
      <c r="A809" s="130"/>
      <c r="B809" s="137"/>
      <c r="C809" s="138"/>
      <c r="D809" s="139"/>
      <c r="E809" s="138"/>
      <c r="F809" s="140"/>
      <c r="G809" s="140"/>
      <c r="H809" s="139"/>
      <c r="I809" s="138"/>
      <c r="J809" s="121"/>
      <c r="K809" s="132"/>
      <c r="L809" s="121"/>
      <c r="M809" s="96"/>
      <c r="N809" s="96"/>
      <c r="O809" s="85"/>
      <c r="P809" s="133"/>
    </row>
    <row r="810" spans="1:16" ht="15.75" customHeight="1">
      <c r="A810" s="130"/>
      <c r="B810" s="137"/>
      <c r="C810" s="138"/>
      <c r="D810" s="139"/>
      <c r="E810" s="138"/>
      <c r="F810" s="140"/>
      <c r="G810" s="140"/>
      <c r="H810" s="139"/>
      <c r="I810" s="138"/>
      <c r="J810" s="121"/>
      <c r="K810" s="132"/>
      <c r="L810" s="121"/>
      <c r="M810" s="96"/>
      <c r="N810" s="96"/>
      <c r="O810" s="85"/>
      <c r="P810" s="133"/>
    </row>
    <row r="811" spans="1:16" ht="15.75" customHeight="1">
      <c r="A811" s="130"/>
      <c r="B811" s="137"/>
      <c r="C811" s="138"/>
      <c r="D811" s="139"/>
      <c r="E811" s="138"/>
      <c r="F811" s="140"/>
      <c r="G811" s="140"/>
      <c r="H811" s="139"/>
      <c r="I811" s="138"/>
      <c r="J811" s="121"/>
      <c r="K811" s="132"/>
      <c r="L811" s="121"/>
      <c r="M811" s="96"/>
      <c r="N811" s="96"/>
      <c r="O811" s="85"/>
      <c r="P811" s="133"/>
    </row>
    <row r="812" spans="1:16" ht="15.75" customHeight="1">
      <c r="A812" s="130"/>
      <c r="B812" s="137"/>
      <c r="C812" s="138"/>
      <c r="D812" s="139"/>
      <c r="E812" s="138"/>
      <c r="F812" s="140"/>
      <c r="G812" s="140"/>
      <c r="H812" s="139"/>
      <c r="I812" s="138"/>
      <c r="J812" s="121"/>
      <c r="K812" s="132"/>
      <c r="L812" s="121"/>
      <c r="M812" s="96"/>
      <c r="N812" s="96"/>
      <c r="O812" s="85"/>
      <c r="P812" s="133"/>
    </row>
    <row r="813" spans="1:16" ht="15.75" customHeight="1">
      <c r="A813" s="130"/>
      <c r="B813" s="137"/>
      <c r="C813" s="138"/>
      <c r="D813" s="139"/>
      <c r="E813" s="138"/>
      <c r="F813" s="140"/>
      <c r="G813" s="140"/>
      <c r="H813" s="139"/>
      <c r="I813" s="138"/>
      <c r="J813" s="121"/>
      <c r="K813" s="132"/>
      <c r="L813" s="121"/>
      <c r="M813" s="96"/>
      <c r="N813" s="96"/>
      <c r="O813" s="85"/>
      <c r="P813" s="133"/>
    </row>
    <row r="814" spans="1:16" ht="15.75" customHeight="1">
      <c r="A814" s="130"/>
      <c r="B814" s="137"/>
      <c r="C814" s="138"/>
      <c r="D814" s="139"/>
      <c r="E814" s="138"/>
      <c r="F814" s="140"/>
      <c r="G814" s="140"/>
      <c r="H814" s="139"/>
      <c r="I814" s="138"/>
      <c r="J814" s="121"/>
      <c r="K814" s="132"/>
      <c r="L814" s="121"/>
      <c r="M814" s="96"/>
      <c r="N814" s="96"/>
      <c r="O814" s="85"/>
      <c r="P814" s="133"/>
    </row>
    <row r="815" spans="1:16" ht="15.75" customHeight="1">
      <c r="A815" s="130"/>
      <c r="B815" s="137"/>
      <c r="C815" s="138"/>
      <c r="D815" s="139"/>
      <c r="E815" s="138"/>
      <c r="F815" s="140"/>
      <c r="G815" s="140"/>
      <c r="H815" s="139"/>
      <c r="I815" s="138"/>
      <c r="J815" s="121"/>
      <c r="K815" s="132"/>
      <c r="L815" s="121"/>
      <c r="M815" s="96"/>
      <c r="N815" s="96"/>
      <c r="O815" s="85"/>
      <c r="P815" s="133"/>
    </row>
    <row r="816" spans="1:16" ht="15.75" customHeight="1">
      <c r="A816" s="130"/>
      <c r="B816" s="137"/>
      <c r="C816" s="138"/>
      <c r="D816" s="139"/>
      <c r="E816" s="138"/>
      <c r="F816" s="140"/>
      <c r="G816" s="140"/>
      <c r="H816" s="139"/>
      <c r="I816" s="138"/>
      <c r="J816" s="121"/>
      <c r="K816" s="132"/>
      <c r="L816" s="121"/>
      <c r="M816" s="96"/>
      <c r="N816" s="96"/>
      <c r="O816" s="85"/>
      <c r="P816" s="133"/>
    </row>
    <row r="817" spans="1:16" ht="15.75" customHeight="1">
      <c r="A817" s="130"/>
      <c r="B817" s="137"/>
      <c r="C817" s="138"/>
      <c r="D817" s="139"/>
      <c r="E817" s="138"/>
      <c r="F817" s="140"/>
      <c r="G817" s="140"/>
      <c r="H817" s="139"/>
      <c r="I817" s="138"/>
      <c r="J817" s="121"/>
      <c r="K817" s="132"/>
      <c r="L817" s="121"/>
      <c r="M817" s="96"/>
      <c r="N817" s="96"/>
      <c r="O817" s="85"/>
      <c r="P817" s="133"/>
    </row>
    <row r="818" spans="1:16" ht="15.75" customHeight="1">
      <c r="A818" s="130"/>
      <c r="B818" s="137"/>
      <c r="C818" s="138"/>
      <c r="D818" s="139"/>
      <c r="E818" s="138"/>
      <c r="F818" s="140"/>
      <c r="G818" s="140"/>
      <c r="H818" s="139"/>
      <c r="I818" s="138"/>
      <c r="J818" s="121"/>
      <c r="K818" s="132"/>
      <c r="L818" s="121"/>
      <c r="M818" s="96"/>
      <c r="N818" s="96"/>
      <c r="O818" s="85"/>
      <c r="P818" s="133"/>
    </row>
    <row r="819" spans="1:16" ht="15.75" customHeight="1">
      <c r="A819" s="130"/>
      <c r="B819" s="137"/>
      <c r="C819" s="138"/>
      <c r="D819" s="139"/>
      <c r="E819" s="138"/>
      <c r="F819" s="140"/>
      <c r="G819" s="140"/>
      <c r="H819" s="139"/>
      <c r="I819" s="138"/>
      <c r="J819" s="121"/>
      <c r="K819" s="132"/>
      <c r="L819" s="121"/>
      <c r="M819" s="96"/>
      <c r="N819" s="96"/>
      <c r="O819" s="85"/>
      <c r="P819" s="133"/>
    </row>
    <row r="820" spans="1:16" ht="15.75" customHeight="1">
      <c r="A820" s="130"/>
      <c r="B820" s="137"/>
      <c r="C820" s="138"/>
      <c r="D820" s="139"/>
      <c r="E820" s="138"/>
      <c r="F820" s="140"/>
      <c r="G820" s="140"/>
      <c r="H820" s="139"/>
      <c r="I820" s="138"/>
      <c r="J820" s="121"/>
      <c r="K820" s="132"/>
      <c r="L820" s="121"/>
      <c r="M820" s="96"/>
      <c r="N820" s="96"/>
      <c r="O820" s="85"/>
      <c r="P820" s="133"/>
    </row>
    <row r="821" spans="1:16" ht="15.75" customHeight="1">
      <c r="A821" s="130"/>
      <c r="B821" s="137"/>
      <c r="C821" s="138"/>
      <c r="D821" s="139"/>
      <c r="E821" s="138"/>
      <c r="F821" s="140"/>
      <c r="G821" s="140"/>
      <c r="H821" s="139"/>
      <c r="I821" s="138"/>
      <c r="J821" s="121"/>
      <c r="K821" s="132"/>
      <c r="L821" s="121"/>
      <c r="M821" s="96"/>
      <c r="N821" s="96"/>
      <c r="O821" s="85"/>
      <c r="P821" s="133"/>
    </row>
    <row r="822" spans="1:16" ht="15.75" customHeight="1">
      <c r="A822" s="130"/>
      <c r="B822" s="137"/>
      <c r="C822" s="138"/>
      <c r="D822" s="139"/>
      <c r="E822" s="138"/>
      <c r="F822" s="140"/>
      <c r="G822" s="140"/>
      <c r="H822" s="139"/>
      <c r="I822" s="138"/>
      <c r="J822" s="121"/>
      <c r="K822" s="132"/>
      <c r="L822" s="121"/>
      <c r="M822" s="96"/>
      <c r="N822" s="96"/>
      <c r="O822" s="85"/>
      <c r="P822" s="133"/>
    </row>
    <row r="823" spans="1:16" ht="15.75" customHeight="1">
      <c r="A823" s="130"/>
      <c r="B823" s="137"/>
      <c r="C823" s="138"/>
      <c r="D823" s="139"/>
      <c r="E823" s="138"/>
      <c r="F823" s="140"/>
      <c r="G823" s="140"/>
      <c r="H823" s="139"/>
      <c r="I823" s="138"/>
      <c r="J823" s="121"/>
      <c r="K823" s="132"/>
      <c r="L823" s="121"/>
      <c r="M823" s="96"/>
      <c r="N823" s="96"/>
      <c r="O823" s="85"/>
      <c r="P823" s="133"/>
    </row>
    <row r="824" spans="1:16" ht="15.75" customHeight="1">
      <c r="A824" s="130"/>
      <c r="B824" s="137"/>
      <c r="C824" s="138"/>
      <c r="D824" s="139"/>
      <c r="E824" s="138"/>
      <c r="F824" s="140"/>
      <c r="G824" s="140"/>
      <c r="H824" s="139"/>
      <c r="I824" s="138"/>
      <c r="J824" s="121"/>
      <c r="K824" s="132"/>
      <c r="L824" s="121"/>
      <c r="M824" s="96"/>
      <c r="N824" s="96"/>
      <c r="O824" s="85"/>
      <c r="P824" s="133"/>
    </row>
    <row r="825" spans="1:16" ht="15.75" customHeight="1">
      <c r="A825" s="130"/>
      <c r="B825" s="137"/>
      <c r="C825" s="138"/>
      <c r="D825" s="139"/>
      <c r="E825" s="138"/>
      <c r="F825" s="140"/>
      <c r="G825" s="140"/>
      <c r="H825" s="139"/>
      <c r="I825" s="138"/>
      <c r="J825" s="121"/>
      <c r="K825" s="132"/>
      <c r="L825" s="121"/>
      <c r="M825" s="96"/>
      <c r="N825" s="96"/>
      <c r="O825" s="85"/>
      <c r="P825" s="133"/>
    </row>
    <row r="826" spans="1:16" ht="15.75" customHeight="1">
      <c r="A826" s="130"/>
      <c r="B826" s="137"/>
      <c r="C826" s="138"/>
      <c r="D826" s="139"/>
      <c r="E826" s="138"/>
      <c r="F826" s="140"/>
      <c r="G826" s="140"/>
      <c r="H826" s="139"/>
      <c r="I826" s="138"/>
      <c r="J826" s="121"/>
      <c r="K826" s="132"/>
      <c r="L826" s="121"/>
      <c r="M826" s="96"/>
      <c r="N826" s="96"/>
      <c r="O826" s="85"/>
      <c r="P826" s="133"/>
    </row>
    <row r="827" spans="1:16" ht="15.75" customHeight="1">
      <c r="A827" s="130"/>
      <c r="B827" s="137"/>
      <c r="C827" s="138"/>
      <c r="D827" s="139"/>
      <c r="E827" s="138"/>
      <c r="F827" s="140"/>
      <c r="G827" s="140"/>
      <c r="H827" s="139"/>
      <c r="I827" s="138"/>
      <c r="J827" s="121"/>
      <c r="K827" s="132"/>
      <c r="L827" s="121"/>
      <c r="M827" s="96"/>
      <c r="N827" s="96"/>
      <c r="O827" s="85"/>
      <c r="P827" s="133"/>
    </row>
    <row r="828" spans="1:16" ht="15.75" customHeight="1">
      <c r="A828" s="130"/>
      <c r="B828" s="137"/>
      <c r="C828" s="138"/>
      <c r="D828" s="139"/>
      <c r="E828" s="138"/>
      <c r="F828" s="140"/>
      <c r="G828" s="140"/>
      <c r="H828" s="139"/>
      <c r="I828" s="138"/>
      <c r="J828" s="121"/>
      <c r="K828" s="132"/>
      <c r="L828" s="121"/>
      <c r="M828" s="96"/>
      <c r="N828" s="96"/>
      <c r="O828" s="85"/>
      <c r="P828" s="133"/>
    </row>
    <row r="829" spans="1:16" ht="15.75" customHeight="1">
      <c r="A829" s="130"/>
      <c r="B829" s="137"/>
      <c r="C829" s="138"/>
      <c r="D829" s="139"/>
      <c r="E829" s="138"/>
      <c r="F829" s="140"/>
      <c r="G829" s="140"/>
      <c r="H829" s="139"/>
      <c r="I829" s="138"/>
      <c r="J829" s="121"/>
      <c r="K829" s="132"/>
      <c r="L829" s="121"/>
      <c r="M829" s="96"/>
      <c r="N829" s="96"/>
      <c r="O829" s="85"/>
      <c r="P829" s="133"/>
    </row>
    <row r="830" spans="1:16" ht="15.75" customHeight="1">
      <c r="A830" s="130"/>
      <c r="B830" s="137"/>
      <c r="C830" s="138"/>
      <c r="D830" s="139"/>
      <c r="E830" s="138"/>
      <c r="F830" s="140"/>
      <c r="G830" s="140"/>
      <c r="H830" s="139"/>
      <c r="I830" s="138"/>
      <c r="J830" s="121"/>
      <c r="K830" s="132"/>
      <c r="L830" s="121"/>
      <c r="M830" s="96"/>
      <c r="N830" s="96"/>
      <c r="O830" s="85"/>
      <c r="P830" s="133"/>
    </row>
    <row r="831" spans="1:16" ht="15.75" customHeight="1">
      <c r="A831" s="130"/>
      <c r="B831" s="137"/>
      <c r="C831" s="138"/>
      <c r="D831" s="139"/>
      <c r="E831" s="138"/>
      <c r="F831" s="140"/>
      <c r="G831" s="140"/>
      <c r="H831" s="139"/>
      <c r="I831" s="138"/>
      <c r="J831" s="121"/>
      <c r="K831" s="132"/>
      <c r="L831" s="121"/>
      <c r="M831" s="96"/>
      <c r="N831" s="96"/>
      <c r="O831" s="85"/>
      <c r="P831" s="133"/>
    </row>
    <row r="832" spans="1:16" ht="15.75" customHeight="1">
      <c r="A832" s="130"/>
      <c r="B832" s="137"/>
      <c r="C832" s="138"/>
      <c r="D832" s="139"/>
      <c r="E832" s="138"/>
      <c r="F832" s="140"/>
      <c r="G832" s="140"/>
      <c r="H832" s="139"/>
      <c r="I832" s="138"/>
      <c r="J832" s="121"/>
      <c r="K832" s="132"/>
      <c r="L832" s="121"/>
      <c r="M832" s="96"/>
      <c r="N832" s="96"/>
      <c r="O832" s="85"/>
      <c r="P832" s="133"/>
    </row>
    <row r="833" spans="1:16" ht="15.75" customHeight="1">
      <c r="A833" s="130"/>
      <c r="B833" s="137"/>
      <c r="C833" s="138"/>
      <c r="D833" s="139"/>
      <c r="E833" s="138"/>
      <c r="F833" s="140"/>
      <c r="G833" s="140"/>
      <c r="H833" s="139"/>
      <c r="I833" s="138"/>
      <c r="J833" s="121"/>
      <c r="K833" s="132"/>
      <c r="L833" s="121"/>
      <c r="M833" s="96"/>
      <c r="N833" s="96"/>
      <c r="O833" s="85"/>
      <c r="P833" s="133"/>
    </row>
    <row r="834" spans="1:16" ht="15.75" customHeight="1">
      <c r="A834" s="130"/>
      <c r="B834" s="137"/>
      <c r="C834" s="138"/>
      <c r="D834" s="139"/>
      <c r="E834" s="138"/>
      <c r="F834" s="140"/>
      <c r="G834" s="140"/>
      <c r="H834" s="139"/>
      <c r="I834" s="138"/>
      <c r="J834" s="121"/>
      <c r="K834" s="132"/>
      <c r="L834" s="121"/>
      <c r="M834" s="96"/>
      <c r="N834" s="96"/>
      <c r="O834" s="85"/>
      <c r="P834" s="133"/>
    </row>
    <row r="835" spans="1:16" ht="15.75" customHeight="1">
      <c r="A835" s="130"/>
      <c r="B835" s="137"/>
      <c r="C835" s="138"/>
      <c r="D835" s="139"/>
      <c r="E835" s="138"/>
      <c r="F835" s="140"/>
      <c r="G835" s="140"/>
      <c r="H835" s="139"/>
      <c r="I835" s="138"/>
      <c r="J835" s="121"/>
      <c r="K835" s="132"/>
      <c r="L835" s="121"/>
      <c r="M835" s="96"/>
      <c r="N835" s="96"/>
      <c r="O835" s="85"/>
      <c r="P835" s="133"/>
    </row>
    <row r="836" spans="1:16" ht="15.75" customHeight="1">
      <c r="A836" s="130"/>
      <c r="B836" s="137"/>
      <c r="C836" s="138"/>
      <c r="D836" s="139"/>
      <c r="E836" s="138"/>
      <c r="F836" s="140"/>
      <c r="G836" s="140"/>
      <c r="H836" s="139"/>
      <c r="I836" s="138"/>
      <c r="J836" s="121"/>
      <c r="K836" s="132"/>
      <c r="L836" s="121"/>
      <c r="M836" s="96"/>
      <c r="N836" s="96"/>
      <c r="O836" s="85"/>
      <c r="P836" s="133"/>
    </row>
    <row r="837" spans="1:16" ht="15.75" customHeight="1">
      <c r="A837" s="130"/>
      <c r="B837" s="137"/>
      <c r="C837" s="138"/>
      <c r="D837" s="139"/>
      <c r="E837" s="138"/>
      <c r="F837" s="140"/>
      <c r="G837" s="140"/>
      <c r="H837" s="139"/>
      <c r="I837" s="138"/>
      <c r="J837" s="121"/>
      <c r="K837" s="132"/>
      <c r="L837" s="121"/>
      <c r="M837" s="96"/>
      <c r="N837" s="96"/>
      <c r="O837" s="85"/>
      <c r="P837" s="133"/>
    </row>
    <row r="838" spans="1:16" ht="15.75" customHeight="1">
      <c r="A838" s="130"/>
      <c r="B838" s="137"/>
      <c r="C838" s="138"/>
      <c r="D838" s="139"/>
      <c r="E838" s="138"/>
      <c r="F838" s="140"/>
      <c r="G838" s="140"/>
      <c r="H838" s="139"/>
      <c r="I838" s="138"/>
      <c r="J838" s="121"/>
      <c r="K838" s="132"/>
      <c r="L838" s="121"/>
      <c r="M838" s="96"/>
      <c r="N838" s="96"/>
      <c r="O838" s="85"/>
      <c r="P838" s="133"/>
    </row>
    <row r="839" spans="1:16" ht="15.75" customHeight="1">
      <c r="A839" s="130"/>
      <c r="B839" s="137"/>
      <c r="C839" s="138"/>
      <c r="D839" s="139"/>
      <c r="E839" s="138"/>
      <c r="F839" s="140"/>
      <c r="G839" s="140"/>
      <c r="H839" s="139"/>
      <c r="I839" s="138"/>
      <c r="J839" s="121"/>
      <c r="K839" s="132"/>
      <c r="L839" s="121"/>
      <c r="M839" s="96"/>
      <c r="N839" s="96"/>
      <c r="O839" s="85"/>
      <c r="P839" s="133"/>
    </row>
    <row r="840" spans="1:16" ht="15.75" customHeight="1">
      <c r="A840" s="130"/>
      <c r="B840" s="137"/>
      <c r="C840" s="138"/>
      <c r="D840" s="139"/>
      <c r="E840" s="138"/>
      <c r="F840" s="140"/>
      <c r="G840" s="140"/>
      <c r="H840" s="139"/>
      <c r="I840" s="138"/>
      <c r="J840" s="121"/>
      <c r="K840" s="132"/>
      <c r="L840" s="121"/>
      <c r="M840" s="96"/>
      <c r="N840" s="96"/>
      <c r="O840" s="85"/>
      <c r="P840" s="133"/>
    </row>
    <row r="841" spans="1:16" ht="15.75" customHeight="1">
      <c r="A841" s="130"/>
      <c r="B841" s="137"/>
      <c r="C841" s="138"/>
      <c r="D841" s="139"/>
      <c r="E841" s="138"/>
      <c r="F841" s="140"/>
      <c r="G841" s="140"/>
      <c r="H841" s="139"/>
      <c r="I841" s="138"/>
      <c r="J841" s="121"/>
      <c r="K841" s="132"/>
      <c r="L841" s="121"/>
      <c r="M841" s="96"/>
      <c r="N841" s="96"/>
      <c r="O841" s="85"/>
      <c r="P841" s="133"/>
    </row>
    <row r="842" spans="1:16" ht="15.75" customHeight="1">
      <c r="A842" s="130"/>
      <c r="B842" s="137"/>
      <c r="C842" s="138"/>
      <c r="D842" s="139"/>
      <c r="E842" s="138"/>
      <c r="F842" s="140"/>
      <c r="G842" s="140"/>
      <c r="H842" s="139"/>
      <c r="I842" s="138"/>
      <c r="J842" s="121"/>
      <c r="K842" s="132"/>
      <c r="L842" s="121"/>
      <c r="M842" s="96"/>
      <c r="N842" s="96"/>
      <c r="O842" s="85"/>
      <c r="P842" s="133"/>
    </row>
    <row r="843" spans="1:16" ht="15.75" customHeight="1">
      <c r="A843" s="130"/>
      <c r="B843" s="137"/>
      <c r="C843" s="138"/>
      <c r="D843" s="139"/>
      <c r="E843" s="138"/>
      <c r="F843" s="140"/>
      <c r="G843" s="140"/>
      <c r="H843" s="139"/>
      <c r="I843" s="138"/>
      <c r="J843" s="121"/>
      <c r="K843" s="132"/>
      <c r="L843" s="121"/>
      <c r="M843" s="96"/>
      <c r="N843" s="96"/>
      <c r="O843" s="85"/>
      <c r="P843" s="133"/>
    </row>
    <row r="844" spans="1:16" ht="15.75" customHeight="1">
      <c r="A844" s="130"/>
      <c r="B844" s="137"/>
      <c r="C844" s="138"/>
      <c r="D844" s="139"/>
      <c r="E844" s="138"/>
      <c r="F844" s="140"/>
      <c r="G844" s="140"/>
      <c r="H844" s="139"/>
      <c r="I844" s="138"/>
      <c r="J844" s="121"/>
      <c r="K844" s="132"/>
      <c r="L844" s="121"/>
      <c r="M844" s="96"/>
      <c r="N844" s="96"/>
      <c r="O844" s="85"/>
      <c r="P844" s="133"/>
    </row>
    <row r="845" spans="1:16" ht="15.75" customHeight="1">
      <c r="A845" s="130"/>
      <c r="B845" s="137"/>
      <c r="C845" s="138"/>
      <c r="D845" s="139"/>
      <c r="E845" s="138"/>
      <c r="F845" s="140"/>
      <c r="G845" s="140"/>
      <c r="H845" s="139"/>
      <c r="I845" s="138"/>
      <c r="J845" s="121"/>
      <c r="K845" s="132"/>
      <c r="L845" s="121"/>
      <c r="M845" s="96"/>
      <c r="N845" s="96"/>
      <c r="O845" s="85"/>
      <c r="P845" s="133"/>
    </row>
    <row r="846" spans="1:16" ht="15.75" customHeight="1">
      <c r="A846" s="130"/>
      <c r="B846" s="137"/>
      <c r="C846" s="138"/>
      <c r="D846" s="139"/>
      <c r="E846" s="138"/>
      <c r="F846" s="140"/>
      <c r="G846" s="140"/>
      <c r="H846" s="139"/>
      <c r="I846" s="138"/>
      <c r="J846" s="121"/>
      <c r="K846" s="132"/>
      <c r="L846" s="121"/>
      <c r="M846" s="96"/>
      <c r="N846" s="96"/>
      <c r="O846" s="85"/>
      <c r="P846" s="133"/>
    </row>
    <row r="847" spans="1:16" ht="15.75" customHeight="1">
      <c r="A847" s="130"/>
      <c r="B847" s="137"/>
      <c r="C847" s="138"/>
      <c r="D847" s="139"/>
      <c r="E847" s="138"/>
      <c r="F847" s="140"/>
      <c r="G847" s="140"/>
      <c r="H847" s="139"/>
      <c r="I847" s="138"/>
      <c r="J847" s="121"/>
      <c r="K847" s="132"/>
      <c r="L847" s="121"/>
      <c r="M847" s="96"/>
      <c r="N847" s="96"/>
      <c r="O847" s="85"/>
      <c r="P847" s="133"/>
    </row>
    <row r="848" spans="1:16" ht="15.75" customHeight="1">
      <c r="A848" s="130"/>
      <c r="B848" s="137"/>
      <c r="C848" s="138"/>
      <c r="D848" s="139"/>
      <c r="E848" s="138"/>
      <c r="F848" s="140"/>
      <c r="G848" s="140"/>
      <c r="H848" s="139"/>
      <c r="I848" s="138"/>
      <c r="J848" s="121"/>
      <c r="K848" s="132"/>
      <c r="L848" s="121"/>
      <c r="M848" s="96"/>
      <c r="N848" s="96"/>
      <c r="O848" s="85"/>
      <c r="P848" s="133"/>
    </row>
    <row r="849" spans="1:16" ht="15.75" customHeight="1">
      <c r="A849" s="130"/>
      <c r="B849" s="137"/>
      <c r="C849" s="138"/>
      <c r="D849" s="139"/>
      <c r="E849" s="138"/>
      <c r="F849" s="140"/>
      <c r="G849" s="140"/>
      <c r="H849" s="139"/>
      <c r="I849" s="138"/>
      <c r="J849" s="121"/>
      <c r="K849" s="132"/>
      <c r="L849" s="121"/>
      <c r="M849" s="96"/>
      <c r="N849" s="96"/>
      <c r="O849" s="85"/>
      <c r="P849" s="133"/>
    </row>
    <row r="850" spans="1:16" ht="15.75" customHeight="1">
      <c r="A850" s="130"/>
      <c r="B850" s="137"/>
      <c r="C850" s="138"/>
      <c r="D850" s="139"/>
      <c r="E850" s="138"/>
      <c r="F850" s="140"/>
      <c r="G850" s="140"/>
      <c r="H850" s="139"/>
      <c r="I850" s="138"/>
      <c r="J850" s="121"/>
      <c r="K850" s="132"/>
      <c r="L850" s="121"/>
      <c r="M850" s="96"/>
      <c r="N850" s="96"/>
      <c r="O850" s="85"/>
      <c r="P850" s="133"/>
    </row>
    <row r="851" spans="1:16" ht="15.75" customHeight="1">
      <c r="A851" s="130"/>
      <c r="B851" s="137"/>
      <c r="C851" s="138"/>
      <c r="D851" s="139"/>
      <c r="E851" s="138"/>
      <c r="F851" s="140"/>
      <c r="G851" s="140"/>
      <c r="H851" s="139"/>
      <c r="I851" s="138"/>
      <c r="J851" s="121"/>
      <c r="K851" s="132"/>
      <c r="L851" s="121"/>
      <c r="M851" s="96"/>
      <c r="N851" s="96"/>
      <c r="O851" s="85"/>
      <c r="P851" s="133"/>
    </row>
    <row r="852" spans="1:16" ht="15.75" customHeight="1">
      <c r="A852" s="130"/>
      <c r="B852" s="137"/>
      <c r="C852" s="138"/>
      <c r="D852" s="139"/>
      <c r="E852" s="138"/>
      <c r="F852" s="140"/>
      <c r="G852" s="140"/>
      <c r="H852" s="139"/>
      <c r="I852" s="138"/>
      <c r="J852" s="121"/>
      <c r="K852" s="132"/>
      <c r="L852" s="121"/>
      <c r="M852" s="96"/>
      <c r="N852" s="96"/>
      <c r="O852" s="85"/>
      <c r="P852" s="133"/>
    </row>
    <row r="853" spans="1:16" ht="15.75" customHeight="1">
      <c r="A853" s="130"/>
      <c r="B853" s="137"/>
      <c r="C853" s="138"/>
      <c r="D853" s="139"/>
      <c r="E853" s="138"/>
      <c r="F853" s="140"/>
      <c r="G853" s="140"/>
      <c r="H853" s="139"/>
      <c r="I853" s="138"/>
      <c r="J853" s="121"/>
      <c r="K853" s="132"/>
      <c r="L853" s="121"/>
      <c r="M853" s="96"/>
      <c r="N853" s="96"/>
      <c r="O853" s="85"/>
      <c r="P853" s="133"/>
    </row>
    <row r="854" spans="1:16" ht="15.75" customHeight="1">
      <c r="A854" s="130"/>
      <c r="B854" s="137"/>
      <c r="C854" s="138"/>
      <c r="D854" s="139"/>
      <c r="E854" s="138"/>
      <c r="F854" s="140"/>
      <c r="G854" s="140"/>
      <c r="H854" s="139"/>
      <c r="I854" s="138"/>
      <c r="J854" s="121"/>
      <c r="K854" s="132"/>
      <c r="L854" s="121"/>
      <c r="M854" s="96"/>
      <c r="N854" s="96"/>
      <c r="O854" s="85"/>
      <c r="P854" s="133"/>
    </row>
    <row r="855" spans="1:16" ht="15.75" customHeight="1">
      <c r="A855" s="130"/>
      <c r="B855" s="137"/>
      <c r="C855" s="138"/>
      <c r="D855" s="139"/>
      <c r="E855" s="138"/>
      <c r="F855" s="140"/>
      <c r="G855" s="140"/>
      <c r="H855" s="139"/>
      <c r="I855" s="138"/>
      <c r="J855" s="121"/>
      <c r="K855" s="132"/>
      <c r="L855" s="121"/>
      <c r="M855" s="96"/>
      <c r="N855" s="96"/>
      <c r="O855" s="85"/>
      <c r="P855" s="133"/>
    </row>
    <row r="856" spans="1:16" ht="15.75" customHeight="1">
      <c r="A856" s="130"/>
      <c r="B856" s="137"/>
      <c r="C856" s="138"/>
      <c r="D856" s="139"/>
      <c r="E856" s="138"/>
      <c r="F856" s="140"/>
      <c r="G856" s="140"/>
      <c r="H856" s="139"/>
      <c r="I856" s="138"/>
      <c r="J856" s="121"/>
      <c r="K856" s="132"/>
      <c r="L856" s="121"/>
      <c r="M856" s="96"/>
      <c r="N856" s="96"/>
      <c r="O856" s="85"/>
      <c r="P856" s="133"/>
    </row>
    <row r="857" spans="1:16" ht="15.75" customHeight="1">
      <c r="A857" s="130"/>
      <c r="B857" s="137"/>
      <c r="C857" s="138"/>
      <c r="D857" s="139"/>
      <c r="E857" s="138"/>
      <c r="F857" s="140"/>
      <c r="G857" s="140"/>
      <c r="H857" s="139"/>
      <c r="I857" s="138"/>
      <c r="J857" s="121"/>
      <c r="K857" s="132"/>
      <c r="L857" s="121"/>
      <c r="M857" s="96"/>
      <c r="N857" s="96"/>
      <c r="O857" s="85"/>
      <c r="P857" s="133"/>
    </row>
    <row r="858" spans="1:16" ht="15.75" customHeight="1">
      <c r="A858" s="130"/>
      <c r="B858" s="137"/>
      <c r="C858" s="138"/>
      <c r="D858" s="139"/>
      <c r="E858" s="138"/>
      <c r="F858" s="140"/>
      <c r="G858" s="140"/>
      <c r="H858" s="139"/>
      <c r="I858" s="138"/>
      <c r="J858" s="121"/>
      <c r="K858" s="132"/>
      <c r="L858" s="121"/>
      <c r="M858" s="96"/>
      <c r="N858" s="96"/>
      <c r="O858" s="85"/>
      <c r="P858" s="133"/>
    </row>
    <row r="859" spans="1:16" ht="15.75" customHeight="1">
      <c r="A859" s="130"/>
      <c r="B859" s="137"/>
      <c r="C859" s="138"/>
      <c r="D859" s="139"/>
      <c r="E859" s="138"/>
      <c r="F859" s="140"/>
      <c r="G859" s="140"/>
      <c r="H859" s="139"/>
      <c r="I859" s="138"/>
      <c r="J859" s="121"/>
      <c r="K859" s="132"/>
      <c r="L859" s="121"/>
      <c r="M859" s="96"/>
      <c r="N859" s="96"/>
      <c r="O859" s="85"/>
      <c r="P859" s="133"/>
    </row>
    <row r="860" spans="1:16" ht="15.75" customHeight="1">
      <c r="A860" s="130"/>
      <c r="B860" s="137"/>
      <c r="C860" s="138"/>
      <c r="D860" s="139"/>
      <c r="E860" s="138"/>
      <c r="F860" s="140"/>
      <c r="G860" s="140"/>
      <c r="H860" s="139"/>
      <c r="I860" s="138"/>
      <c r="J860" s="121"/>
      <c r="K860" s="132"/>
      <c r="L860" s="121"/>
      <c r="M860" s="96"/>
      <c r="N860" s="96"/>
      <c r="O860" s="85"/>
      <c r="P860" s="133"/>
    </row>
    <row r="861" spans="1:16" ht="15.75" customHeight="1">
      <c r="A861" s="130"/>
      <c r="B861" s="137"/>
      <c r="C861" s="138"/>
      <c r="D861" s="139"/>
      <c r="E861" s="138"/>
      <c r="F861" s="140"/>
      <c r="G861" s="140"/>
      <c r="H861" s="139"/>
      <c r="I861" s="138"/>
      <c r="J861" s="121"/>
      <c r="K861" s="132"/>
      <c r="L861" s="121"/>
      <c r="M861" s="96"/>
      <c r="N861" s="96"/>
      <c r="O861" s="85"/>
      <c r="P861" s="133"/>
    </row>
    <row r="862" spans="1:16" ht="15.75" customHeight="1">
      <c r="A862" s="130"/>
      <c r="B862" s="137"/>
      <c r="C862" s="138"/>
      <c r="D862" s="139"/>
      <c r="E862" s="138"/>
      <c r="F862" s="140"/>
      <c r="G862" s="140"/>
      <c r="H862" s="139"/>
      <c r="I862" s="138"/>
      <c r="J862" s="121"/>
      <c r="K862" s="132"/>
      <c r="L862" s="121"/>
      <c r="M862" s="96"/>
      <c r="N862" s="96"/>
      <c r="O862" s="85"/>
      <c r="P862" s="133"/>
    </row>
    <row r="863" spans="1:16" ht="15.75" customHeight="1">
      <c r="A863" s="130"/>
      <c r="B863" s="137"/>
      <c r="C863" s="138"/>
      <c r="D863" s="139"/>
      <c r="E863" s="138"/>
      <c r="F863" s="140"/>
      <c r="G863" s="140"/>
      <c r="H863" s="139"/>
      <c r="I863" s="138"/>
      <c r="J863" s="121"/>
      <c r="K863" s="132"/>
      <c r="L863" s="121"/>
      <c r="M863" s="96"/>
      <c r="N863" s="96"/>
      <c r="O863" s="85"/>
      <c r="P863" s="133"/>
    </row>
    <row r="864" spans="1:16" ht="15.75" customHeight="1">
      <c r="A864" s="130"/>
      <c r="B864" s="137"/>
      <c r="C864" s="138"/>
      <c r="D864" s="139"/>
      <c r="E864" s="138"/>
      <c r="F864" s="140"/>
      <c r="G864" s="140"/>
      <c r="H864" s="139"/>
      <c r="I864" s="138"/>
      <c r="J864" s="121"/>
      <c r="K864" s="132"/>
      <c r="L864" s="121"/>
      <c r="M864" s="96"/>
      <c r="N864" s="96"/>
      <c r="O864" s="85"/>
      <c r="P864" s="133"/>
    </row>
    <row r="865" spans="1:16" ht="15.75" customHeight="1">
      <c r="A865" s="130"/>
      <c r="B865" s="137"/>
      <c r="C865" s="138"/>
      <c r="D865" s="139"/>
      <c r="E865" s="138"/>
      <c r="F865" s="140"/>
      <c r="G865" s="140"/>
      <c r="H865" s="139"/>
      <c r="I865" s="138"/>
      <c r="J865" s="121"/>
      <c r="K865" s="132"/>
      <c r="L865" s="121"/>
      <c r="M865" s="96"/>
      <c r="N865" s="96"/>
      <c r="O865" s="85"/>
      <c r="P865" s="133"/>
    </row>
    <row r="866" spans="1:16" ht="15.75" customHeight="1">
      <c r="A866" s="130"/>
      <c r="B866" s="137"/>
      <c r="C866" s="138"/>
      <c r="D866" s="139"/>
      <c r="E866" s="138"/>
      <c r="F866" s="140"/>
      <c r="G866" s="140"/>
      <c r="H866" s="139"/>
      <c r="I866" s="138"/>
      <c r="J866" s="121"/>
      <c r="K866" s="132"/>
      <c r="L866" s="121"/>
      <c r="M866" s="96"/>
      <c r="N866" s="96"/>
      <c r="O866" s="85"/>
      <c r="P866" s="133"/>
    </row>
    <row r="867" spans="1:16" ht="15.75" customHeight="1">
      <c r="A867" s="130"/>
      <c r="B867" s="137"/>
      <c r="C867" s="138"/>
      <c r="D867" s="139"/>
      <c r="E867" s="138"/>
      <c r="F867" s="140"/>
      <c r="G867" s="140"/>
      <c r="H867" s="139"/>
      <c r="I867" s="138"/>
      <c r="J867" s="121"/>
      <c r="K867" s="132"/>
      <c r="L867" s="121"/>
      <c r="M867" s="96"/>
      <c r="N867" s="96"/>
      <c r="O867" s="85"/>
      <c r="P867" s="133"/>
    </row>
    <row r="868" spans="1:16" ht="15.75" customHeight="1">
      <c r="A868" s="130"/>
      <c r="B868" s="137"/>
      <c r="C868" s="138"/>
      <c r="D868" s="139"/>
      <c r="E868" s="138"/>
      <c r="F868" s="140"/>
      <c r="G868" s="140"/>
      <c r="H868" s="139"/>
      <c r="I868" s="138"/>
      <c r="J868" s="121"/>
      <c r="K868" s="132"/>
      <c r="L868" s="121"/>
      <c r="M868" s="96"/>
      <c r="N868" s="96"/>
      <c r="O868" s="85"/>
      <c r="P868" s="133"/>
    </row>
    <row r="869" spans="1:16" ht="15.75" customHeight="1">
      <c r="A869" s="130"/>
      <c r="B869" s="137"/>
      <c r="C869" s="138"/>
      <c r="D869" s="139"/>
      <c r="E869" s="138"/>
      <c r="F869" s="140"/>
      <c r="G869" s="140"/>
      <c r="H869" s="139"/>
      <c r="I869" s="138"/>
      <c r="J869" s="121"/>
      <c r="K869" s="132"/>
      <c r="L869" s="121"/>
      <c r="M869" s="96"/>
      <c r="N869" s="96"/>
      <c r="O869" s="85"/>
      <c r="P869" s="133"/>
    </row>
    <row r="870" spans="1:16" ht="15.75" customHeight="1">
      <c r="A870" s="130"/>
      <c r="B870" s="137"/>
      <c r="C870" s="138"/>
      <c r="D870" s="139"/>
      <c r="E870" s="138"/>
      <c r="F870" s="140"/>
      <c r="G870" s="140"/>
      <c r="H870" s="139"/>
      <c r="I870" s="138"/>
      <c r="J870" s="121"/>
      <c r="K870" s="132"/>
      <c r="L870" s="121"/>
      <c r="M870" s="96"/>
      <c r="N870" s="96"/>
      <c r="O870" s="85"/>
      <c r="P870" s="133"/>
    </row>
    <row r="871" spans="1:16" ht="15.75" customHeight="1">
      <c r="A871" s="130"/>
      <c r="B871" s="137"/>
      <c r="C871" s="138"/>
      <c r="D871" s="139"/>
      <c r="E871" s="138"/>
      <c r="F871" s="140"/>
      <c r="G871" s="140"/>
      <c r="H871" s="139"/>
      <c r="I871" s="138"/>
      <c r="J871" s="121"/>
      <c r="K871" s="132"/>
      <c r="L871" s="121"/>
      <c r="M871" s="96"/>
      <c r="N871" s="96"/>
      <c r="O871" s="85"/>
      <c r="P871" s="133"/>
    </row>
    <row r="872" spans="1:16" ht="15.75" customHeight="1">
      <c r="A872" s="130"/>
      <c r="B872" s="137"/>
      <c r="C872" s="138"/>
      <c r="D872" s="139"/>
      <c r="E872" s="138"/>
      <c r="F872" s="140"/>
      <c r="G872" s="140"/>
      <c r="H872" s="139"/>
      <c r="I872" s="138"/>
      <c r="J872" s="121"/>
      <c r="K872" s="132"/>
      <c r="L872" s="121"/>
      <c r="M872" s="96"/>
      <c r="N872" s="96"/>
      <c r="O872" s="85"/>
      <c r="P872" s="133"/>
    </row>
    <row r="873" spans="1:16" ht="15.75" customHeight="1">
      <c r="A873" s="130"/>
      <c r="B873" s="137"/>
      <c r="C873" s="138"/>
      <c r="D873" s="139"/>
      <c r="E873" s="138"/>
      <c r="F873" s="140"/>
      <c r="G873" s="140"/>
      <c r="H873" s="139"/>
      <c r="I873" s="138"/>
      <c r="J873" s="121"/>
      <c r="K873" s="132"/>
      <c r="L873" s="121"/>
      <c r="M873" s="96"/>
      <c r="N873" s="96"/>
      <c r="O873" s="85"/>
      <c r="P873" s="133"/>
    </row>
    <row r="874" spans="1:16" ht="15.75" customHeight="1">
      <c r="A874" s="130"/>
      <c r="B874" s="137"/>
      <c r="C874" s="138"/>
      <c r="D874" s="139"/>
      <c r="E874" s="138"/>
      <c r="F874" s="140"/>
      <c r="G874" s="140"/>
      <c r="H874" s="139"/>
      <c r="I874" s="138"/>
      <c r="J874" s="121"/>
      <c r="K874" s="132"/>
      <c r="L874" s="121"/>
      <c r="M874" s="96"/>
      <c r="N874" s="96"/>
      <c r="O874" s="85"/>
      <c r="P874" s="133"/>
    </row>
    <row r="875" spans="1:16" ht="15.75" customHeight="1">
      <c r="A875" s="130"/>
      <c r="B875" s="137"/>
      <c r="C875" s="138"/>
      <c r="D875" s="139"/>
      <c r="E875" s="138"/>
      <c r="F875" s="140"/>
      <c r="G875" s="140"/>
      <c r="H875" s="139"/>
      <c r="I875" s="138"/>
      <c r="J875" s="121"/>
      <c r="K875" s="132"/>
      <c r="L875" s="121"/>
      <c r="M875" s="96"/>
      <c r="N875" s="96"/>
      <c r="O875" s="85"/>
      <c r="P875" s="133"/>
    </row>
    <row r="876" spans="1:16" ht="15.75" customHeight="1">
      <c r="A876" s="130"/>
      <c r="B876" s="137"/>
      <c r="C876" s="138"/>
      <c r="D876" s="139"/>
      <c r="E876" s="138"/>
      <c r="F876" s="140"/>
      <c r="G876" s="140"/>
      <c r="H876" s="139"/>
      <c r="I876" s="138"/>
      <c r="J876" s="121"/>
      <c r="K876" s="132"/>
      <c r="L876" s="121"/>
      <c r="M876" s="96"/>
      <c r="N876" s="96"/>
      <c r="O876" s="85"/>
      <c r="P876" s="133"/>
    </row>
    <row r="877" spans="1:16" ht="15.75" customHeight="1">
      <c r="A877" s="130"/>
      <c r="B877" s="137"/>
      <c r="C877" s="138"/>
      <c r="D877" s="139"/>
      <c r="E877" s="138"/>
      <c r="F877" s="140"/>
      <c r="G877" s="140"/>
      <c r="H877" s="139"/>
      <c r="I877" s="138"/>
      <c r="J877" s="121"/>
      <c r="K877" s="132"/>
      <c r="L877" s="121"/>
      <c r="M877" s="96"/>
      <c r="N877" s="96"/>
      <c r="O877" s="85"/>
      <c r="P877" s="133"/>
    </row>
    <row r="878" spans="1:16" ht="15.75" customHeight="1">
      <c r="A878" s="130"/>
      <c r="B878" s="137"/>
      <c r="C878" s="138"/>
      <c r="D878" s="139"/>
      <c r="E878" s="138"/>
      <c r="F878" s="140"/>
      <c r="G878" s="140"/>
      <c r="H878" s="139"/>
      <c r="I878" s="138"/>
      <c r="J878" s="121"/>
      <c r="K878" s="132"/>
      <c r="L878" s="121"/>
      <c r="M878" s="96"/>
      <c r="N878" s="96"/>
      <c r="O878" s="85"/>
      <c r="P878" s="133"/>
    </row>
    <row r="879" spans="1:16" ht="15.75" customHeight="1">
      <c r="A879" s="130"/>
      <c r="B879" s="137"/>
      <c r="C879" s="138"/>
      <c r="D879" s="139"/>
      <c r="E879" s="138"/>
      <c r="F879" s="140"/>
      <c r="G879" s="140"/>
      <c r="H879" s="139"/>
      <c r="I879" s="138"/>
      <c r="J879" s="121"/>
      <c r="K879" s="132"/>
      <c r="L879" s="121"/>
      <c r="M879" s="96"/>
      <c r="N879" s="96"/>
      <c r="O879" s="85"/>
      <c r="P879" s="133"/>
    </row>
    <row r="880" spans="1:16" ht="15.75" customHeight="1">
      <c r="A880" s="130"/>
      <c r="B880" s="137"/>
      <c r="C880" s="138"/>
      <c r="D880" s="139"/>
      <c r="E880" s="138"/>
      <c r="F880" s="140"/>
      <c r="G880" s="140"/>
      <c r="H880" s="139"/>
      <c r="I880" s="138"/>
      <c r="J880" s="121"/>
      <c r="K880" s="132"/>
      <c r="L880" s="121"/>
      <c r="M880" s="96"/>
      <c r="N880" s="96"/>
      <c r="O880" s="85"/>
      <c r="P880" s="133"/>
    </row>
    <row r="881" spans="1:16" ht="15.75" customHeight="1">
      <c r="A881" s="130"/>
      <c r="B881" s="137"/>
      <c r="C881" s="138"/>
      <c r="D881" s="139"/>
      <c r="E881" s="138"/>
      <c r="F881" s="140"/>
      <c r="G881" s="140"/>
      <c r="H881" s="139"/>
      <c r="I881" s="138"/>
      <c r="J881" s="121"/>
      <c r="K881" s="132"/>
      <c r="L881" s="121"/>
      <c r="M881" s="96"/>
      <c r="N881" s="96"/>
      <c r="O881" s="85"/>
      <c r="P881" s="133"/>
    </row>
    <row r="882" spans="1:16" ht="15.75" customHeight="1">
      <c r="A882" s="130"/>
      <c r="B882" s="137"/>
      <c r="C882" s="138"/>
      <c r="D882" s="139"/>
      <c r="E882" s="138"/>
      <c r="F882" s="140"/>
      <c r="G882" s="140"/>
      <c r="H882" s="139"/>
      <c r="I882" s="138"/>
      <c r="J882" s="121"/>
      <c r="K882" s="132"/>
      <c r="L882" s="121"/>
      <c r="M882" s="96"/>
      <c r="N882" s="96"/>
      <c r="O882" s="85"/>
      <c r="P882" s="133"/>
    </row>
    <row r="883" spans="1:16" ht="15.75" customHeight="1">
      <c r="A883" s="130"/>
      <c r="B883" s="137"/>
      <c r="C883" s="138"/>
      <c r="D883" s="139"/>
      <c r="E883" s="138"/>
      <c r="F883" s="140"/>
      <c r="G883" s="140"/>
      <c r="H883" s="139"/>
      <c r="I883" s="138"/>
      <c r="J883" s="121"/>
      <c r="K883" s="132"/>
      <c r="L883" s="121"/>
      <c r="M883" s="96"/>
      <c r="N883" s="96"/>
      <c r="O883" s="85"/>
      <c r="P883" s="133"/>
    </row>
    <row r="884" spans="1:16" ht="15.75" customHeight="1">
      <c r="A884" s="130"/>
      <c r="B884" s="137"/>
      <c r="C884" s="138"/>
      <c r="D884" s="139"/>
      <c r="E884" s="138"/>
      <c r="F884" s="140"/>
      <c r="G884" s="140"/>
      <c r="H884" s="139"/>
      <c r="I884" s="138"/>
      <c r="J884" s="121"/>
      <c r="K884" s="132"/>
      <c r="L884" s="121"/>
      <c r="M884" s="96"/>
      <c r="N884" s="96"/>
      <c r="O884" s="85"/>
      <c r="P884" s="133"/>
    </row>
    <row r="885" spans="1:16" ht="15.75" customHeight="1">
      <c r="A885" s="130"/>
      <c r="B885" s="137"/>
      <c r="C885" s="138"/>
      <c r="D885" s="139"/>
      <c r="E885" s="138"/>
      <c r="F885" s="140"/>
      <c r="G885" s="140"/>
      <c r="H885" s="139"/>
      <c r="I885" s="138"/>
      <c r="J885" s="121"/>
      <c r="K885" s="132"/>
      <c r="L885" s="121"/>
      <c r="M885" s="96"/>
      <c r="N885" s="96"/>
      <c r="O885" s="85"/>
      <c r="P885" s="133"/>
    </row>
    <row r="886" spans="1:16" ht="15.75" customHeight="1">
      <c r="A886" s="130"/>
      <c r="B886" s="137"/>
      <c r="C886" s="138"/>
      <c r="D886" s="139"/>
      <c r="E886" s="138"/>
      <c r="F886" s="140"/>
      <c r="G886" s="140"/>
      <c r="H886" s="139"/>
      <c r="I886" s="138"/>
      <c r="J886" s="121"/>
      <c r="K886" s="132"/>
      <c r="L886" s="121"/>
      <c r="M886" s="96"/>
      <c r="N886" s="96"/>
      <c r="O886" s="85"/>
      <c r="P886" s="133"/>
    </row>
    <row r="887" spans="1:16" ht="15.75" customHeight="1">
      <c r="A887" s="130"/>
      <c r="B887" s="137"/>
      <c r="C887" s="138"/>
      <c r="D887" s="139"/>
      <c r="E887" s="138"/>
      <c r="F887" s="140"/>
      <c r="G887" s="140"/>
      <c r="H887" s="139"/>
      <c r="I887" s="138"/>
      <c r="J887" s="121"/>
      <c r="K887" s="132"/>
      <c r="L887" s="121"/>
      <c r="M887" s="96"/>
      <c r="N887" s="96"/>
      <c r="O887" s="85"/>
      <c r="P887" s="133"/>
    </row>
    <row r="888" spans="1:16" ht="15.75" customHeight="1">
      <c r="A888" s="130"/>
      <c r="B888" s="137"/>
      <c r="C888" s="138"/>
      <c r="D888" s="139"/>
      <c r="E888" s="138"/>
      <c r="F888" s="140"/>
      <c r="G888" s="140"/>
      <c r="H888" s="139"/>
      <c r="I888" s="138"/>
      <c r="J888" s="121"/>
      <c r="K888" s="132"/>
      <c r="L888" s="121"/>
      <c r="M888" s="96"/>
      <c r="N888" s="96"/>
      <c r="O888" s="85"/>
      <c r="P888" s="133"/>
    </row>
    <row r="889" spans="1:16" ht="15.75" customHeight="1">
      <c r="A889" s="130"/>
      <c r="B889" s="137"/>
      <c r="C889" s="138"/>
      <c r="D889" s="139"/>
      <c r="E889" s="138"/>
      <c r="F889" s="140"/>
      <c r="G889" s="140"/>
      <c r="H889" s="139"/>
      <c r="I889" s="138"/>
      <c r="J889" s="121"/>
      <c r="K889" s="132"/>
      <c r="L889" s="121"/>
      <c r="M889" s="96"/>
      <c r="N889" s="96"/>
      <c r="O889" s="85"/>
      <c r="P889" s="133"/>
    </row>
    <row r="890" spans="1:16" ht="15.75" customHeight="1">
      <c r="A890" s="130"/>
      <c r="B890" s="137"/>
      <c r="C890" s="138"/>
      <c r="D890" s="139"/>
      <c r="E890" s="138"/>
      <c r="F890" s="140"/>
      <c r="G890" s="140"/>
      <c r="H890" s="139"/>
      <c r="I890" s="138"/>
      <c r="J890" s="121"/>
      <c r="K890" s="132"/>
      <c r="L890" s="121"/>
      <c r="M890" s="96"/>
      <c r="N890" s="96"/>
      <c r="O890" s="85"/>
      <c r="P890" s="133"/>
    </row>
    <row r="891" spans="1:16" ht="15.75" customHeight="1">
      <c r="A891" s="130"/>
      <c r="B891" s="137"/>
      <c r="C891" s="138"/>
      <c r="D891" s="139"/>
      <c r="E891" s="138"/>
      <c r="F891" s="140"/>
      <c r="G891" s="140"/>
      <c r="H891" s="139"/>
      <c r="I891" s="138"/>
      <c r="J891" s="121"/>
      <c r="K891" s="132"/>
      <c r="L891" s="121"/>
      <c r="M891" s="96"/>
      <c r="N891" s="96"/>
      <c r="O891" s="85"/>
      <c r="P891" s="133"/>
    </row>
    <row r="892" spans="1:16" ht="15.75" customHeight="1">
      <c r="A892" s="130"/>
      <c r="B892" s="137"/>
      <c r="C892" s="138"/>
      <c r="D892" s="139"/>
      <c r="E892" s="138"/>
      <c r="F892" s="140"/>
      <c r="G892" s="140"/>
      <c r="H892" s="139"/>
      <c r="I892" s="138"/>
      <c r="J892" s="121"/>
      <c r="K892" s="132"/>
      <c r="L892" s="121"/>
      <c r="M892" s="96"/>
      <c r="N892" s="96"/>
      <c r="O892" s="85"/>
      <c r="P892" s="133"/>
    </row>
    <row r="893" spans="1:16" ht="15.75" customHeight="1">
      <c r="A893" s="130"/>
      <c r="B893" s="137"/>
      <c r="C893" s="138"/>
      <c r="D893" s="139"/>
      <c r="E893" s="138"/>
      <c r="F893" s="140"/>
      <c r="G893" s="140"/>
      <c r="H893" s="139"/>
      <c r="I893" s="138"/>
      <c r="J893" s="121"/>
      <c r="K893" s="132"/>
      <c r="L893" s="121"/>
      <c r="M893" s="96"/>
      <c r="N893" s="96"/>
      <c r="O893" s="85"/>
      <c r="P893" s="133"/>
    </row>
    <row r="894" spans="1:16" ht="15.75" customHeight="1">
      <c r="A894" s="130"/>
      <c r="B894" s="137"/>
      <c r="C894" s="138"/>
      <c r="D894" s="139"/>
      <c r="E894" s="138"/>
      <c r="F894" s="140"/>
      <c r="G894" s="140"/>
      <c r="H894" s="139"/>
      <c r="I894" s="138"/>
      <c r="J894" s="121"/>
      <c r="K894" s="132"/>
      <c r="L894" s="121"/>
      <c r="M894" s="96"/>
      <c r="N894" s="96"/>
      <c r="O894" s="85"/>
      <c r="P894" s="133"/>
    </row>
    <row r="895" spans="1:16" ht="15.75" customHeight="1">
      <c r="A895" s="130"/>
      <c r="B895" s="137"/>
      <c r="C895" s="138"/>
      <c r="D895" s="139"/>
      <c r="E895" s="138"/>
      <c r="F895" s="140"/>
      <c r="G895" s="140"/>
      <c r="H895" s="139"/>
      <c r="I895" s="138"/>
      <c r="J895" s="121"/>
      <c r="K895" s="132"/>
      <c r="L895" s="121"/>
      <c r="M895" s="96"/>
      <c r="N895" s="96"/>
      <c r="O895" s="85"/>
      <c r="P895" s="133"/>
    </row>
    <row r="896" spans="1:16" ht="15.75" customHeight="1">
      <c r="A896" s="130"/>
      <c r="B896" s="137"/>
      <c r="C896" s="138"/>
      <c r="D896" s="139"/>
      <c r="E896" s="138"/>
      <c r="F896" s="140"/>
      <c r="G896" s="140"/>
      <c r="H896" s="139"/>
      <c r="I896" s="138"/>
      <c r="J896" s="121"/>
      <c r="K896" s="132"/>
      <c r="L896" s="121"/>
      <c r="M896" s="96"/>
      <c r="N896" s="96"/>
      <c r="O896" s="85"/>
      <c r="P896" s="133"/>
    </row>
    <row r="897" spans="1:16" ht="15.75" customHeight="1">
      <c r="A897" s="130"/>
      <c r="B897" s="137"/>
      <c r="C897" s="138"/>
      <c r="D897" s="139"/>
      <c r="E897" s="138"/>
      <c r="F897" s="140"/>
      <c r="G897" s="140"/>
      <c r="H897" s="139"/>
      <c r="I897" s="138"/>
      <c r="J897" s="121"/>
      <c r="K897" s="132"/>
      <c r="L897" s="121"/>
      <c r="M897" s="96"/>
      <c r="N897" s="96"/>
      <c r="O897" s="85"/>
      <c r="P897" s="133"/>
    </row>
    <row r="898" spans="1:16" ht="15.75" customHeight="1">
      <c r="A898" s="130"/>
      <c r="B898" s="137"/>
      <c r="C898" s="138"/>
      <c r="D898" s="139"/>
      <c r="E898" s="138"/>
      <c r="F898" s="140"/>
      <c r="G898" s="140"/>
      <c r="H898" s="139"/>
      <c r="I898" s="138"/>
      <c r="J898" s="121"/>
      <c r="K898" s="132"/>
      <c r="L898" s="121"/>
      <c r="M898" s="96"/>
      <c r="N898" s="96"/>
      <c r="O898" s="85"/>
      <c r="P898" s="133"/>
    </row>
    <row r="899" spans="1:16" ht="15.75" customHeight="1">
      <c r="A899" s="130"/>
      <c r="B899" s="137"/>
      <c r="C899" s="138"/>
      <c r="D899" s="139"/>
      <c r="E899" s="138"/>
      <c r="F899" s="140"/>
      <c r="G899" s="140"/>
      <c r="H899" s="139"/>
      <c r="I899" s="138"/>
      <c r="J899" s="121"/>
      <c r="K899" s="132"/>
      <c r="L899" s="121"/>
      <c r="M899" s="96"/>
      <c r="N899" s="96"/>
      <c r="O899" s="85"/>
      <c r="P899" s="133"/>
    </row>
    <row r="900" spans="1:16" ht="15.75" customHeight="1">
      <c r="A900" s="130"/>
      <c r="B900" s="137"/>
      <c r="C900" s="138"/>
      <c r="D900" s="139"/>
      <c r="E900" s="138"/>
      <c r="F900" s="140"/>
      <c r="G900" s="140"/>
      <c r="H900" s="139"/>
      <c r="I900" s="138"/>
      <c r="J900" s="121"/>
      <c r="K900" s="132"/>
      <c r="L900" s="121"/>
      <c r="M900" s="96"/>
      <c r="N900" s="96"/>
      <c r="O900" s="85"/>
      <c r="P900" s="133"/>
    </row>
    <row r="901" spans="1:16" ht="15.75" customHeight="1">
      <c r="A901" s="130"/>
      <c r="B901" s="137"/>
      <c r="C901" s="138"/>
      <c r="D901" s="139"/>
      <c r="E901" s="138"/>
      <c r="F901" s="140"/>
      <c r="G901" s="140"/>
      <c r="H901" s="139"/>
      <c r="I901" s="138"/>
      <c r="J901" s="121"/>
      <c r="K901" s="132"/>
      <c r="L901" s="121"/>
      <c r="M901" s="96"/>
      <c r="N901" s="96"/>
      <c r="O901" s="85"/>
      <c r="P901" s="133"/>
    </row>
    <row r="902" spans="1:16" ht="15.75" customHeight="1">
      <c r="A902" s="130"/>
      <c r="B902" s="137"/>
      <c r="C902" s="138"/>
      <c r="D902" s="139"/>
      <c r="E902" s="138"/>
      <c r="F902" s="140"/>
      <c r="G902" s="140"/>
      <c r="H902" s="139"/>
      <c r="I902" s="138"/>
      <c r="J902" s="121"/>
      <c r="K902" s="132"/>
      <c r="L902" s="121"/>
      <c r="M902" s="96"/>
      <c r="N902" s="96"/>
      <c r="O902" s="85"/>
      <c r="P902" s="133"/>
    </row>
    <row r="903" spans="1:16" ht="15.75" customHeight="1">
      <c r="A903" s="130"/>
      <c r="B903" s="137"/>
      <c r="C903" s="138"/>
      <c r="D903" s="139"/>
      <c r="E903" s="138"/>
      <c r="F903" s="140"/>
      <c r="G903" s="140"/>
      <c r="H903" s="139"/>
      <c r="I903" s="138"/>
      <c r="J903" s="121"/>
      <c r="K903" s="132"/>
      <c r="L903" s="121"/>
      <c r="M903" s="96"/>
      <c r="N903" s="96"/>
      <c r="O903" s="85"/>
      <c r="P903" s="133"/>
    </row>
    <row r="904" spans="1:16" ht="15.75" customHeight="1">
      <c r="A904" s="130"/>
      <c r="B904" s="137"/>
      <c r="C904" s="138"/>
      <c r="D904" s="139"/>
      <c r="E904" s="138"/>
      <c r="F904" s="140"/>
      <c r="G904" s="140"/>
      <c r="H904" s="139"/>
      <c r="I904" s="138"/>
      <c r="J904" s="121"/>
      <c r="K904" s="132"/>
      <c r="L904" s="121"/>
      <c r="M904" s="96"/>
      <c r="N904" s="96"/>
      <c r="O904" s="85"/>
      <c r="P904" s="133"/>
    </row>
    <row r="905" spans="1:16" ht="15.75" customHeight="1">
      <c r="A905" s="130"/>
      <c r="B905" s="137"/>
      <c r="C905" s="138"/>
      <c r="D905" s="139"/>
      <c r="E905" s="138"/>
      <c r="F905" s="140"/>
      <c r="G905" s="140"/>
      <c r="H905" s="139"/>
      <c r="I905" s="138"/>
      <c r="J905" s="121"/>
      <c r="K905" s="132"/>
      <c r="L905" s="121"/>
      <c r="M905" s="96"/>
      <c r="N905" s="96"/>
      <c r="O905" s="85"/>
      <c r="P905" s="133"/>
    </row>
    <row r="906" spans="1:16" ht="15.75" customHeight="1">
      <c r="A906" s="130"/>
      <c r="B906" s="137"/>
      <c r="C906" s="138"/>
      <c r="D906" s="139"/>
      <c r="E906" s="138"/>
      <c r="F906" s="140"/>
      <c r="G906" s="140"/>
      <c r="H906" s="139"/>
      <c r="I906" s="138"/>
      <c r="J906" s="121"/>
      <c r="K906" s="132"/>
      <c r="L906" s="121"/>
      <c r="M906" s="96"/>
      <c r="N906" s="96"/>
      <c r="O906" s="85"/>
      <c r="P906" s="133"/>
    </row>
    <row r="907" spans="1:16" ht="15.75" customHeight="1">
      <c r="A907" s="130"/>
      <c r="B907" s="137"/>
      <c r="C907" s="138"/>
      <c r="D907" s="139"/>
      <c r="E907" s="138"/>
      <c r="F907" s="140"/>
      <c r="G907" s="140"/>
      <c r="H907" s="139"/>
      <c r="I907" s="138"/>
      <c r="J907" s="121"/>
      <c r="K907" s="132"/>
      <c r="L907" s="121"/>
      <c r="M907" s="96"/>
      <c r="N907" s="96"/>
      <c r="O907" s="85"/>
      <c r="P907" s="133"/>
    </row>
    <row r="908" spans="1:16" ht="15.75" customHeight="1">
      <c r="A908" s="130"/>
      <c r="B908" s="137"/>
      <c r="C908" s="138"/>
      <c r="D908" s="139"/>
      <c r="E908" s="138"/>
      <c r="F908" s="140"/>
      <c r="G908" s="140"/>
      <c r="H908" s="139"/>
      <c r="I908" s="138"/>
      <c r="J908" s="121"/>
      <c r="K908" s="132"/>
      <c r="L908" s="121"/>
      <c r="M908" s="96"/>
      <c r="N908" s="96"/>
      <c r="O908" s="85"/>
      <c r="P908" s="133"/>
    </row>
    <row r="909" spans="1:16" ht="15.75" customHeight="1">
      <c r="A909" s="130"/>
      <c r="B909" s="137"/>
      <c r="C909" s="138"/>
      <c r="D909" s="139"/>
      <c r="E909" s="138"/>
      <c r="F909" s="140"/>
      <c r="G909" s="140"/>
      <c r="H909" s="139"/>
      <c r="I909" s="138"/>
      <c r="J909" s="121"/>
      <c r="K909" s="132"/>
      <c r="L909" s="121"/>
      <c r="M909" s="96"/>
      <c r="N909" s="96"/>
      <c r="O909" s="85"/>
      <c r="P909" s="133"/>
    </row>
    <row r="910" spans="1:16" ht="15.75" customHeight="1">
      <c r="A910" s="130"/>
      <c r="B910" s="137"/>
      <c r="C910" s="138"/>
      <c r="D910" s="139"/>
      <c r="E910" s="138"/>
      <c r="F910" s="140"/>
      <c r="G910" s="140"/>
      <c r="H910" s="139"/>
      <c r="I910" s="138"/>
      <c r="J910" s="121"/>
      <c r="K910" s="132"/>
      <c r="L910" s="121"/>
      <c r="M910" s="96"/>
      <c r="N910" s="96"/>
      <c r="O910" s="85"/>
      <c r="P910" s="133"/>
    </row>
    <row r="911" spans="1:16" ht="15.75" customHeight="1">
      <c r="A911" s="130"/>
      <c r="B911" s="137"/>
      <c r="C911" s="138"/>
      <c r="D911" s="139"/>
      <c r="E911" s="138"/>
      <c r="F911" s="140"/>
      <c r="G911" s="140"/>
      <c r="H911" s="139"/>
      <c r="I911" s="138"/>
      <c r="J911" s="121"/>
      <c r="K911" s="132"/>
      <c r="L911" s="121"/>
      <c r="M911" s="96"/>
      <c r="N911" s="96"/>
      <c r="O911" s="85"/>
      <c r="P911" s="133"/>
    </row>
    <row r="912" spans="1:16" ht="15.75" customHeight="1">
      <c r="A912" s="130"/>
      <c r="B912" s="137"/>
      <c r="C912" s="138"/>
      <c r="D912" s="139"/>
      <c r="E912" s="138"/>
      <c r="F912" s="140"/>
      <c r="G912" s="140"/>
      <c r="H912" s="139"/>
      <c r="I912" s="138"/>
      <c r="J912" s="121"/>
      <c r="K912" s="132"/>
      <c r="L912" s="121"/>
      <c r="M912" s="96"/>
      <c r="N912" s="96"/>
      <c r="O912" s="85"/>
      <c r="P912" s="133"/>
    </row>
    <row r="913" spans="1:16" ht="15.75" customHeight="1">
      <c r="A913" s="130"/>
      <c r="B913" s="137"/>
      <c r="C913" s="138"/>
      <c r="D913" s="139"/>
      <c r="E913" s="138"/>
      <c r="F913" s="140"/>
      <c r="G913" s="140"/>
      <c r="H913" s="139"/>
      <c r="I913" s="138"/>
      <c r="J913" s="121"/>
      <c r="K913" s="132"/>
      <c r="L913" s="121"/>
      <c r="M913" s="96"/>
      <c r="N913" s="96"/>
      <c r="O913" s="85"/>
      <c r="P913" s="133"/>
    </row>
    <row r="914" spans="1:16" ht="15.75" customHeight="1">
      <c r="A914" s="130"/>
      <c r="B914" s="137"/>
      <c r="C914" s="138"/>
      <c r="D914" s="139"/>
      <c r="E914" s="138"/>
      <c r="F914" s="140"/>
      <c r="G914" s="140"/>
      <c r="H914" s="139"/>
      <c r="I914" s="138"/>
      <c r="J914" s="121"/>
      <c r="K914" s="132"/>
      <c r="L914" s="121"/>
      <c r="M914" s="96"/>
      <c r="N914" s="96"/>
      <c r="O914" s="85"/>
      <c r="P914" s="133"/>
    </row>
    <row r="915" spans="1:16" ht="15.75" customHeight="1">
      <c r="A915" s="130"/>
      <c r="B915" s="137"/>
      <c r="C915" s="138"/>
      <c r="D915" s="139"/>
      <c r="E915" s="138"/>
      <c r="F915" s="140"/>
      <c r="G915" s="140"/>
      <c r="H915" s="139"/>
      <c r="I915" s="138"/>
      <c r="J915" s="121"/>
      <c r="K915" s="132"/>
      <c r="L915" s="121"/>
      <c r="M915" s="96"/>
      <c r="N915" s="96"/>
      <c r="O915" s="85"/>
      <c r="P915" s="133"/>
    </row>
    <row r="916" spans="1:16" ht="15.75" customHeight="1">
      <c r="A916" s="130"/>
      <c r="B916" s="137"/>
      <c r="C916" s="138"/>
      <c r="D916" s="139"/>
      <c r="E916" s="138"/>
      <c r="F916" s="140"/>
      <c r="G916" s="140"/>
      <c r="H916" s="139"/>
      <c r="I916" s="138"/>
      <c r="J916" s="121"/>
      <c r="K916" s="132"/>
      <c r="L916" s="121"/>
      <c r="M916" s="96"/>
      <c r="N916" s="96"/>
      <c r="O916" s="85"/>
      <c r="P916" s="133"/>
    </row>
    <row r="917" spans="1:16" ht="15.75" customHeight="1">
      <c r="A917" s="130"/>
      <c r="B917" s="137"/>
      <c r="C917" s="138"/>
      <c r="D917" s="139"/>
      <c r="E917" s="138"/>
      <c r="F917" s="140"/>
      <c r="G917" s="140"/>
      <c r="H917" s="139"/>
      <c r="I917" s="138"/>
      <c r="J917" s="121"/>
      <c r="K917" s="132"/>
      <c r="L917" s="121"/>
      <c r="M917" s="96"/>
      <c r="N917" s="96"/>
      <c r="O917" s="85"/>
      <c r="P917" s="133"/>
    </row>
    <row r="918" spans="1:16" ht="15.75" customHeight="1">
      <c r="A918" s="130"/>
      <c r="B918" s="137"/>
      <c r="C918" s="138"/>
      <c r="D918" s="139"/>
      <c r="E918" s="138"/>
      <c r="F918" s="140"/>
      <c r="G918" s="140"/>
      <c r="H918" s="139"/>
      <c r="I918" s="138"/>
      <c r="J918" s="121"/>
      <c r="K918" s="132"/>
      <c r="L918" s="121"/>
      <c r="M918" s="96"/>
      <c r="N918" s="96"/>
      <c r="O918" s="85"/>
      <c r="P918" s="133"/>
    </row>
    <row r="919" spans="1:16" ht="15.75" customHeight="1">
      <c r="A919" s="130"/>
      <c r="B919" s="137"/>
      <c r="C919" s="138"/>
      <c r="D919" s="139"/>
      <c r="E919" s="138"/>
      <c r="F919" s="140"/>
      <c r="G919" s="140"/>
      <c r="H919" s="139"/>
      <c r="I919" s="138"/>
      <c r="J919" s="121"/>
      <c r="K919" s="132"/>
      <c r="L919" s="121"/>
      <c r="M919" s="96"/>
      <c r="N919" s="96"/>
      <c r="O919" s="85"/>
      <c r="P919" s="133"/>
    </row>
    <row r="920" spans="1:16" ht="15.75" customHeight="1">
      <c r="A920" s="130"/>
      <c r="B920" s="137"/>
      <c r="C920" s="138"/>
      <c r="D920" s="139"/>
      <c r="E920" s="138"/>
      <c r="F920" s="140"/>
      <c r="G920" s="140"/>
      <c r="H920" s="139"/>
      <c r="I920" s="138"/>
      <c r="J920" s="121"/>
      <c r="K920" s="132"/>
      <c r="L920" s="121"/>
      <c r="M920" s="96"/>
      <c r="N920" s="96"/>
      <c r="O920" s="85"/>
      <c r="P920" s="133"/>
    </row>
    <row r="921" spans="1:16" ht="15.75" customHeight="1">
      <c r="A921" s="130"/>
      <c r="B921" s="137"/>
      <c r="C921" s="138"/>
      <c r="D921" s="139"/>
      <c r="E921" s="138"/>
      <c r="F921" s="140"/>
      <c r="G921" s="140"/>
      <c r="H921" s="139"/>
      <c r="I921" s="138"/>
      <c r="J921" s="121"/>
      <c r="K921" s="132"/>
      <c r="L921" s="121"/>
      <c r="M921" s="96"/>
      <c r="N921" s="96"/>
      <c r="O921" s="85"/>
      <c r="P921" s="133"/>
    </row>
    <row r="922" spans="1:16" ht="15.75" customHeight="1">
      <c r="A922" s="130"/>
      <c r="B922" s="137"/>
      <c r="C922" s="138"/>
      <c r="D922" s="139"/>
      <c r="E922" s="138"/>
      <c r="F922" s="140"/>
      <c r="G922" s="140"/>
      <c r="H922" s="139"/>
      <c r="I922" s="138"/>
      <c r="J922" s="121"/>
      <c r="K922" s="132"/>
      <c r="L922" s="121"/>
      <c r="M922" s="96"/>
      <c r="N922" s="96"/>
      <c r="O922" s="85"/>
      <c r="P922" s="133"/>
    </row>
    <row r="923" spans="1:16" ht="15.75" customHeight="1">
      <c r="A923" s="130"/>
      <c r="B923" s="137"/>
      <c r="C923" s="138"/>
      <c r="D923" s="139"/>
      <c r="E923" s="138"/>
      <c r="F923" s="140"/>
      <c r="G923" s="140"/>
      <c r="H923" s="139"/>
      <c r="I923" s="138"/>
      <c r="J923" s="121"/>
      <c r="K923" s="132"/>
      <c r="L923" s="121"/>
      <c r="M923" s="96"/>
      <c r="N923" s="96"/>
      <c r="O923" s="85"/>
      <c r="P923" s="133"/>
    </row>
    <row r="924" spans="1:16" ht="15.75" customHeight="1">
      <c r="A924" s="130"/>
      <c r="B924" s="137"/>
      <c r="C924" s="138"/>
      <c r="D924" s="139"/>
      <c r="E924" s="138"/>
      <c r="F924" s="140"/>
      <c r="G924" s="140"/>
      <c r="H924" s="139"/>
      <c r="I924" s="138"/>
      <c r="J924" s="121"/>
      <c r="K924" s="132"/>
      <c r="L924" s="121"/>
      <c r="M924" s="96"/>
      <c r="N924" s="96"/>
      <c r="O924" s="85"/>
      <c r="P924" s="133"/>
    </row>
    <row r="925" spans="1:16" ht="15.75" customHeight="1">
      <c r="A925" s="130"/>
      <c r="B925" s="137"/>
      <c r="C925" s="138"/>
      <c r="D925" s="139"/>
      <c r="E925" s="138"/>
      <c r="F925" s="140"/>
      <c r="G925" s="140"/>
      <c r="H925" s="139"/>
      <c r="I925" s="138"/>
      <c r="J925" s="121"/>
      <c r="K925" s="132"/>
      <c r="L925" s="121"/>
      <c r="M925" s="96"/>
      <c r="N925" s="96"/>
      <c r="O925" s="85"/>
      <c r="P925" s="133"/>
    </row>
    <row r="926" spans="1:16" ht="15.75" customHeight="1">
      <c r="A926" s="130"/>
      <c r="B926" s="137"/>
      <c r="C926" s="138"/>
      <c r="D926" s="139"/>
      <c r="E926" s="138"/>
      <c r="F926" s="140"/>
      <c r="G926" s="140"/>
      <c r="H926" s="139"/>
      <c r="I926" s="138"/>
      <c r="J926" s="121"/>
      <c r="K926" s="132"/>
      <c r="L926" s="121"/>
      <c r="M926" s="96"/>
      <c r="N926" s="96"/>
      <c r="O926" s="85"/>
      <c r="P926" s="133"/>
    </row>
    <row r="927" spans="1:16" ht="15.75" customHeight="1">
      <c r="A927" s="130"/>
      <c r="B927" s="137"/>
      <c r="C927" s="138"/>
      <c r="D927" s="139"/>
      <c r="E927" s="138"/>
      <c r="F927" s="140"/>
      <c r="G927" s="140"/>
      <c r="H927" s="139"/>
      <c r="I927" s="138"/>
      <c r="J927" s="121"/>
      <c r="K927" s="132"/>
      <c r="L927" s="121"/>
      <c r="M927" s="96"/>
      <c r="N927" s="96"/>
      <c r="O927" s="85"/>
      <c r="P927" s="133"/>
    </row>
    <row r="928" spans="1:16" ht="15.75" customHeight="1">
      <c r="A928" s="130"/>
      <c r="B928" s="137"/>
      <c r="C928" s="138"/>
      <c r="D928" s="139"/>
      <c r="E928" s="138"/>
      <c r="F928" s="140"/>
      <c r="G928" s="140"/>
      <c r="H928" s="139"/>
      <c r="I928" s="138"/>
      <c r="J928" s="121"/>
      <c r="K928" s="132"/>
      <c r="L928" s="121"/>
      <c r="M928" s="96"/>
      <c r="N928" s="96"/>
      <c r="O928" s="85"/>
      <c r="P928" s="133"/>
    </row>
    <row r="929" spans="1:16" ht="15.75" customHeight="1">
      <c r="A929" s="130"/>
      <c r="B929" s="137"/>
      <c r="C929" s="138"/>
      <c r="D929" s="139"/>
      <c r="E929" s="138"/>
      <c r="F929" s="140"/>
      <c r="G929" s="140"/>
      <c r="H929" s="139"/>
      <c r="I929" s="138"/>
      <c r="J929" s="121"/>
      <c r="K929" s="132"/>
      <c r="L929" s="121"/>
      <c r="M929" s="96"/>
      <c r="N929" s="96"/>
      <c r="O929" s="85"/>
      <c r="P929" s="133"/>
    </row>
    <row r="930" spans="1:16" ht="15.75" customHeight="1">
      <c r="A930" s="130"/>
      <c r="B930" s="137"/>
      <c r="C930" s="138"/>
      <c r="D930" s="139"/>
      <c r="E930" s="138"/>
      <c r="F930" s="140"/>
      <c r="G930" s="140"/>
      <c r="H930" s="139"/>
      <c r="I930" s="138"/>
      <c r="J930" s="121"/>
      <c r="K930" s="132"/>
      <c r="L930" s="121"/>
      <c r="M930" s="96"/>
      <c r="N930" s="96"/>
      <c r="O930" s="85"/>
      <c r="P930" s="133"/>
    </row>
    <row r="931" spans="1:16" ht="15.75" customHeight="1">
      <c r="A931" s="130"/>
      <c r="B931" s="137"/>
      <c r="C931" s="138"/>
      <c r="D931" s="139"/>
      <c r="E931" s="138"/>
      <c r="F931" s="140"/>
      <c r="G931" s="140"/>
      <c r="H931" s="139"/>
      <c r="I931" s="138"/>
      <c r="J931" s="121"/>
      <c r="K931" s="132"/>
      <c r="L931" s="121"/>
      <c r="M931" s="96"/>
      <c r="N931" s="96"/>
      <c r="O931" s="85"/>
      <c r="P931" s="133"/>
    </row>
    <row r="932" spans="1:16" ht="15.75" customHeight="1">
      <c r="A932" s="130"/>
      <c r="B932" s="137"/>
      <c r="C932" s="138"/>
      <c r="D932" s="139"/>
      <c r="E932" s="138"/>
      <c r="F932" s="140"/>
      <c r="G932" s="140"/>
      <c r="H932" s="139"/>
      <c r="I932" s="138"/>
      <c r="J932" s="121"/>
      <c r="K932" s="132"/>
      <c r="L932" s="121"/>
      <c r="M932" s="96"/>
      <c r="N932" s="96"/>
      <c r="O932" s="85"/>
      <c r="P932" s="133"/>
    </row>
    <row r="933" spans="1:16" ht="15.75" customHeight="1">
      <c r="A933" s="130"/>
      <c r="B933" s="137"/>
      <c r="C933" s="138"/>
      <c r="D933" s="139"/>
      <c r="E933" s="138"/>
      <c r="F933" s="140"/>
      <c r="G933" s="140"/>
      <c r="H933" s="139"/>
      <c r="I933" s="138"/>
      <c r="J933" s="121"/>
      <c r="K933" s="132"/>
      <c r="L933" s="121"/>
      <c r="M933" s="96"/>
      <c r="N933" s="96"/>
      <c r="O933" s="85"/>
      <c r="P933" s="133"/>
    </row>
    <row r="934" spans="1:16" ht="15.75" customHeight="1">
      <c r="A934" s="130"/>
      <c r="B934" s="137"/>
      <c r="C934" s="138"/>
      <c r="D934" s="139"/>
      <c r="E934" s="138"/>
      <c r="F934" s="140"/>
      <c r="G934" s="140"/>
      <c r="H934" s="139"/>
      <c r="I934" s="138"/>
      <c r="J934" s="121"/>
      <c r="K934" s="132"/>
      <c r="L934" s="121"/>
      <c r="M934" s="96"/>
      <c r="N934" s="96"/>
      <c r="O934" s="85"/>
      <c r="P934" s="133"/>
    </row>
    <row r="935" spans="1:16" ht="15.75" customHeight="1">
      <c r="A935" s="130"/>
      <c r="B935" s="137"/>
      <c r="C935" s="138"/>
      <c r="D935" s="139"/>
      <c r="E935" s="138"/>
      <c r="F935" s="140"/>
      <c r="G935" s="140"/>
      <c r="H935" s="139"/>
      <c r="I935" s="138"/>
      <c r="J935" s="121"/>
      <c r="K935" s="132"/>
      <c r="L935" s="121"/>
      <c r="M935" s="96"/>
      <c r="N935" s="96"/>
      <c r="O935" s="85"/>
      <c r="P935" s="133"/>
    </row>
    <row r="936" spans="1:16" ht="15.75" customHeight="1">
      <c r="A936" s="130"/>
      <c r="B936" s="137"/>
      <c r="C936" s="138"/>
      <c r="D936" s="139"/>
      <c r="E936" s="138"/>
      <c r="F936" s="140"/>
      <c r="G936" s="140"/>
      <c r="H936" s="139"/>
      <c r="I936" s="138"/>
      <c r="J936" s="121"/>
      <c r="K936" s="132"/>
      <c r="L936" s="121"/>
      <c r="M936" s="96"/>
      <c r="N936" s="96"/>
      <c r="O936" s="85"/>
      <c r="P936" s="133"/>
    </row>
    <row r="937" spans="1:16" ht="15.75" customHeight="1">
      <c r="A937" s="130"/>
      <c r="B937" s="137"/>
      <c r="C937" s="138"/>
      <c r="D937" s="139"/>
      <c r="E937" s="138"/>
      <c r="F937" s="140"/>
      <c r="G937" s="140"/>
      <c r="H937" s="139"/>
      <c r="I937" s="138"/>
      <c r="J937" s="121"/>
      <c r="K937" s="132"/>
      <c r="L937" s="121"/>
      <c r="M937" s="96"/>
      <c r="N937" s="96"/>
      <c r="O937" s="85"/>
      <c r="P937" s="133"/>
    </row>
    <row r="938" spans="1:16" ht="15.75" customHeight="1">
      <c r="A938" s="130"/>
      <c r="B938" s="137"/>
      <c r="C938" s="138"/>
      <c r="D938" s="139"/>
      <c r="E938" s="138"/>
      <c r="F938" s="140"/>
      <c r="G938" s="140"/>
      <c r="H938" s="139"/>
      <c r="I938" s="138"/>
      <c r="J938" s="121"/>
      <c r="K938" s="132"/>
      <c r="L938" s="121"/>
      <c r="M938" s="96"/>
      <c r="N938" s="96"/>
      <c r="O938" s="85"/>
      <c r="P938" s="133"/>
    </row>
    <row r="939" spans="1:16" ht="15.75" customHeight="1">
      <c r="A939" s="130"/>
      <c r="B939" s="137"/>
      <c r="C939" s="138"/>
      <c r="D939" s="139"/>
      <c r="E939" s="138"/>
      <c r="F939" s="140"/>
      <c r="G939" s="140"/>
      <c r="H939" s="139"/>
      <c r="I939" s="138"/>
      <c r="J939" s="121"/>
      <c r="K939" s="132"/>
      <c r="L939" s="121"/>
      <c r="M939" s="96"/>
      <c r="N939" s="96"/>
      <c r="O939" s="85"/>
      <c r="P939" s="133"/>
    </row>
    <row r="940" spans="1:16" ht="15.75" customHeight="1">
      <c r="A940" s="130"/>
      <c r="B940" s="137"/>
      <c r="C940" s="138"/>
      <c r="D940" s="139"/>
      <c r="E940" s="138"/>
      <c r="F940" s="140"/>
      <c r="G940" s="140"/>
      <c r="H940" s="139"/>
      <c r="I940" s="138"/>
      <c r="J940" s="121"/>
      <c r="K940" s="132"/>
      <c r="L940" s="121"/>
      <c r="M940" s="96"/>
      <c r="N940" s="96"/>
      <c r="O940" s="85"/>
      <c r="P940" s="133"/>
    </row>
    <row r="941" spans="1:16" ht="15.75" customHeight="1">
      <c r="A941" s="130"/>
      <c r="B941" s="137"/>
      <c r="C941" s="138"/>
      <c r="D941" s="139"/>
      <c r="E941" s="138"/>
      <c r="F941" s="140"/>
      <c r="G941" s="140"/>
      <c r="H941" s="139"/>
      <c r="I941" s="138"/>
      <c r="J941" s="121"/>
      <c r="K941" s="132"/>
      <c r="L941" s="121"/>
      <c r="M941" s="96"/>
      <c r="N941" s="96"/>
      <c r="O941" s="85"/>
      <c r="P941" s="133"/>
    </row>
    <row r="942" spans="1:16" ht="15.75" customHeight="1">
      <c r="A942" s="130"/>
      <c r="B942" s="137"/>
      <c r="C942" s="138"/>
      <c r="D942" s="139"/>
      <c r="E942" s="138"/>
      <c r="F942" s="140"/>
      <c r="G942" s="140"/>
      <c r="H942" s="139"/>
      <c r="I942" s="138"/>
      <c r="J942" s="121"/>
      <c r="K942" s="132"/>
      <c r="L942" s="121"/>
      <c r="M942" s="96"/>
      <c r="N942" s="96"/>
      <c r="O942" s="85"/>
      <c r="P942" s="133"/>
    </row>
    <row r="943" spans="1:16" ht="15.75" customHeight="1">
      <c r="A943" s="130"/>
      <c r="B943" s="137"/>
      <c r="C943" s="138"/>
      <c r="D943" s="139"/>
      <c r="E943" s="138"/>
      <c r="F943" s="140"/>
      <c r="G943" s="140"/>
      <c r="H943" s="139"/>
      <c r="I943" s="138"/>
      <c r="J943" s="121"/>
      <c r="K943" s="132"/>
      <c r="L943" s="121"/>
      <c r="M943" s="96"/>
      <c r="N943" s="96"/>
      <c r="O943" s="85"/>
      <c r="P943" s="133"/>
    </row>
    <row r="944" spans="1:16" ht="15.75" customHeight="1">
      <c r="A944" s="130"/>
      <c r="B944" s="137"/>
      <c r="C944" s="138"/>
      <c r="D944" s="139"/>
      <c r="E944" s="138"/>
      <c r="F944" s="140"/>
      <c r="G944" s="140"/>
      <c r="H944" s="139"/>
      <c r="I944" s="138"/>
      <c r="J944" s="121"/>
      <c r="K944" s="132"/>
      <c r="L944" s="121"/>
      <c r="M944" s="96"/>
      <c r="N944" s="96"/>
      <c r="O944" s="85"/>
      <c r="P944" s="133"/>
    </row>
    <row r="945" spans="1:16" ht="15.75" customHeight="1">
      <c r="A945" s="130"/>
      <c r="B945" s="137"/>
      <c r="C945" s="138"/>
      <c r="D945" s="139"/>
      <c r="E945" s="138"/>
      <c r="F945" s="140"/>
      <c r="G945" s="140"/>
      <c r="H945" s="139"/>
      <c r="I945" s="138"/>
      <c r="J945" s="121"/>
      <c r="K945" s="132"/>
      <c r="L945" s="121"/>
      <c r="M945" s="96"/>
      <c r="N945" s="96"/>
      <c r="O945" s="85"/>
      <c r="P945" s="133"/>
    </row>
    <row r="946" spans="1:16" ht="15.75" customHeight="1">
      <c r="A946" s="130"/>
      <c r="B946" s="137"/>
      <c r="C946" s="138"/>
      <c r="D946" s="139"/>
      <c r="E946" s="138"/>
      <c r="F946" s="140"/>
      <c r="G946" s="140"/>
      <c r="H946" s="139"/>
      <c r="I946" s="138"/>
      <c r="J946" s="121"/>
      <c r="K946" s="132"/>
      <c r="L946" s="121"/>
      <c r="M946" s="96"/>
      <c r="N946" s="96"/>
      <c r="O946" s="85"/>
      <c r="P946" s="133"/>
    </row>
    <row r="947" spans="1:16" ht="15.75" customHeight="1">
      <c r="A947" s="130"/>
      <c r="B947" s="137"/>
      <c r="C947" s="138"/>
      <c r="D947" s="139"/>
      <c r="E947" s="138"/>
      <c r="F947" s="140"/>
      <c r="G947" s="140"/>
      <c r="H947" s="139"/>
      <c r="I947" s="138"/>
      <c r="J947" s="121"/>
      <c r="K947" s="132"/>
      <c r="L947" s="121"/>
      <c r="M947" s="96"/>
      <c r="N947" s="96"/>
      <c r="O947" s="85"/>
      <c r="P947" s="133"/>
    </row>
    <row r="948" spans="1:16" ht="15.75" customHeight="1">
      <c r="A948" s="130"/>
      <c r="B948" s="137"/>
      <c r="C948" s="138"/>
      <c r="D948" s="139"/>
      <c r="E948" s="138"/>
      <c r="F948" s="140"/>
      <c r="G948" s="140"/>
      <c r="H948" s="139"/>
      <c r="I948" s="138"/>
      <c r="J948" s="121"/>
      <c r="K948" s="132"/>
      <c r="L948" s="121"/>
      <c r="M948" s="96"/>
      <c r="N948" s="96"/>
      <c r="O948" s="85"/>
      <c r="P948" s="133"/>
    </row>
    <row r="949" spans="1:16" ht="15.75" customHeight="1">
      <c r="A949" s="130"/>
      <c r="B949" s="137"/>
      <c r="C949" s="138"/>
      <c r="D949" s="139"/>
      <c r="E949" s="138"/>
      <c r="F949" s="140"/>
      <c r="G949" s="140"/>
      <c r="H949" s="139"/>
      <c r="I949" s="138"/>
      <c r="J949" s="121"/>
      <c r="K949" s="132"/>
      <c r="L949" s="121"/>
      <c r="M949" s="96"/>
      <c r="N949" s="96"/>
      <c r="O949" s="85"/>
      <c r="P949" s="133"/>
    </row>
    <row r="950" spans="1:16" ht="15.75" customHeight="1">
      <c r="A950" s="130"/>
      <c r="B950" s="137"/>
      <c r="C950" s="138"/>
      <c r="D950" s="139"/>
      <c r="E950" s="138"/>
      <c r="F950" s="140"/>
      <c r="G950" s="140"/>
      <c r="H950" s="139"/>
      <c r="I950" s="138"/>
      <c r="J950" s="121"/>
      <c r="K950" s="132"/>
      <c r="L950" s="121"/>
      <c r="M950" s="96"/>
      <c r="N950" s="96"/>
      <c r="O950" s="85"/>
      <c r="P950" s="133"/>
    </row>
    <row r="951" spans="1:16" ht="15.75" customHeight="1">
      <c r="A951" s="130"/>
      <c r="B951" s="137"/>
      <c r="C951" s="138"/>
      <c r="D951" s="139"/>
      <c r="E951" s="138"/>
      <c r="F951" s="140"/>
      <c r="G951" s="140"/>
      <c r="H951" s="139"/>
      <c r="I951" s="138"/>
      <c r="J951" s="121"/>
      <c r="K951" s="132"/>
      <c r="L951" s="121"/>
      <c r="M951" s="96"/>
      <c r="N951" s="96"/>
      <c r="O951" s="85"/>
      <c r="P951" s="133"/>
    </row>
    <row r="952" spans="1:16" ht="15.75" customHeight="1">
      <c r="A952" s="130"/>
      <c r="B952" s="137"/>
      <c r="C952" s="138"/>
      <c r="D952" s="139"/>
      <c r="E952" s="138"/>
      <c r="F952" s="140"/>
      <c r="G952" s="140"/>
      <c r="H952" s="139"/>
      <c r="I952" s="138"/>
      <c r="J952" s="121"/>
      <c r="K952" s="132"/>
      <c r="L952" s="121"/>
      <c r="M952" s="96"/>
      <c r="N952" s="96"/>
      <c r="O952" s="85"/>
      <c r="P952" s="133"/>
    </row>
    <row r="953" spans="1:16" ht="15.75" customHeight="1">
      <c r="A953" s="130"/>
      <c r="B953" s="137"/>
      <c r="C953" s="138"/>
      <c r="D953" s="139"/>
      <c r="E953" s="138"/>
      <c r="F953" s="140"/>
      <c r="G953" s="140"/>
      <c r="H953" s="139"/>
      <c r="I953" s="138"/>
      <c r="J953" s="121"/>
      <c r="K953" s="132"/>
      <c r="L953" s="121"/>
      <c r="M953" s="96"/>
      <c r="N953" s="96"/>
      <c r="O953" s="85"/>
      <c r="P953" s="133"/>
    </row>
    <row r="954" spans="1:16" ht="15.75" customHeight="1">
      <c r="A954" s="130"/>
      <c r="B954" s="137"/>
      <c r="C954" s="138"/>
      <c r="D954" s="139"/>
      <c r="E954" s="138"/>
      <c r="F954" s="140"/>
      <c r="G954" s="140"/>
      <c r="H954" s="139"/>
      <c r="I954" s="138"/>
      <c r="J954" s="121"/>
      <c r="K954" s="132"/>
      <c r="L954" s="121"/>
      <c r="M954" s="96"/>
      <c r="N954" s="96"/>
      <c r="O954" s="85"/>
      <c r="P954" s="133"/>
    </row>
    <row r="955" spans="1:16" ht="15.75" customHeight="1">
      <c r="A955" s="130"/>
      <c r="B955" s="137"/>
      <c r="C955" s="138"/>
      <c r="D955" s="139"/>
      <c r="E955" s="138"/>
      <c r="F955" s="140"/>
      <c r="G955" s="140"/>
      <c r="H955" s="139"/>
      <c r="I955" s="138"/>
      <c r="J955" s="121"/>
      <c r="K955" s="132"/>
      <c r="L955" s="121"/>
      <c r="M955" s="96"/>
      <c r="N955" s="96"/>
      <c r="O955" s="85"/>
      <c r="P955" s="133"/>
    </row>
    <row r="956" spans="1:16" ht="15.75" customHeight="1">
      <c r="A956" s="130"/>
      <c r="B956" s="137"/>
      <c r="C956" s="138"/>
      <c r="D956" s="139"/>
      <c r="E956" s="138"/>
      <c r="F956" s="140"/>
      <c r="G956" s="140"/>
      <c r="H956" s="139"/>
      <c r="I956" s="138"/>
      <c r="J956" s="121"/>
      <c r="K956" s="132"/>
      <c r="L956" s="121"/>
      <c r="M956" s="96"/>
      <c r="N956" s="96"/>
      <c r="O956" s="85"/>
      <c r="P956" s="133"/>
    </row>
    <row r="957" spans="1:16" ht="15.75" customHeight="1">
      <c r="A957" s="130"/>
      <c r="B957" s="137"/>
      <c r="C957" s="138"/>
      <c r="D957" s="139"/>
      <c r="E957" s="138"/>
      <c r="F957" s="140"/>
      <c r="G957" s="140"/>
      <c r="H957" s="139"/>
      <c r="I957" s="138"/>
      <c r="J957" s="121"/>
      <c r="K957" s="132"/>
      <c r="L957" s="121"/>
      <c r="M957" s="96"/>
      <c r="N957" s="96"/>
      <c r="O957" s="85"/>
      <c r="P957" s="133"/>
    </row>
    <row r="958" spans="1:16" ht="15.75" customHeight="1">
      <c r="A958" s="130"/>
      <c r="B958" s="137"/>
      <c r="C958" s="138"/>
      <c r="D958" s="139"/>
      <c r="E958" s="138"/>
      <c r="F958" s="140"/>
      <c r="G958" s="140"/>
      <c r="H958" s="139"/>
      <c r="I958" s="138"/>
      <c r="J958" s="121"/>
      <c r="K958" s="132"/>
      <c r="L958" s="121"/>
      <c r="M958" s="96"/>
      <c r="N958" s="96"/>
      <c r="O958" s="85"/>
      <c r="P958" s="133"/>
    </row>
    <row r="959" spans="1:16" ht="15.75" customHeight="1">
      <c r="A959" s="130"/>
      <c r="B959" s="137"/>
      <c r="C959" s="138"/>
      <c r="D959" s="139"/>
      <c r="E959" s="138"/>
      <c r="F959" s="140"/>
      <c r="G959" s="140"/>
      <c r="H959" s="139"/>
      <c r="I959" s="138"/>
      <c r="J959" s="121"/>
      <c r="K959" s="132"/>
      <c r="L959" s="121"/>
      <c r="M959" s="96"/>
      <c r="N959" s="96"/>
      <c r="O959" s="85"/>
      <c r="P959" s="133"/>
    </row>
    <row r="960" spans="1:16" ht="15.75" customHeight="1">
      <c r="A960" s="130"/>
      <c r="B960" s="137"/>
      <c r="C960" s="138"/>
      <c r="D960" s="139"/>
      <c r="E960" s="138"/>
      <c r="F960" s="140"/>
      <c r="G960" s="140"/>
      <c r="H960" s="139"/>
      <c r="I960" s="138"/>
      <c r="J960" s="121"/>
      <c r="K960" s="132"/>
      <c r="L960" s="121"/>
      <c r="M960" s="96"/>
      <c r="N960" s="96"/>
      <c r="O960" s="85"/>
      <c r="P960" s="133"/>
    </row>
    <row r="961" spans="1:16" ht="15.75" customHeight="1">
      <c r="A961" s="130"/>
      <c r="B961" s="137"/>
      <c r="C961" s="138"/>
      <c r="D961" s="139"/>
      <c r="E961" s="138"/>
      <c r="F961" s="140"/>
      <c r="G961" s="140"/>
      <c r="H961" s="139"/>
      <c r="I961" s="138"/>
      <c r="J961" s="121"/>
      <c r="K961" s="132"/>
      <c r="L961" s="121"/>
      <c r="M961" s="96"/>
      <c r="N961" s="96"/>
      <c r="O961" s="85"/>
      <c r="P961" s="133"/>
    </row>
    <row r="962" spans="1:16" ht="15.75" customHeight="1">
      <c r="A962" s="130"/>
      <c r="B962" s="137"/>
      <c r="C962" s="138"/>
      <c r="D962" s="139"/>
      <c r="E962" s="138"/>
      <c r="F962" s="140"/>
      <c r="G962" s="140"/>
      <c r="H962" s="139"/>
      <c r="I962" s="138"/>
      <c r="J962" s="121"/>
      <c r="K962" s="132"/>
      <c r="L962" s="121"/>
      <c r="M962" s="96"/>
      <c r="N962" s="96"/>
      <c r="O962" s="85"/>
      <c r="P962" s="133"/>
    </row>
    <row r="963" spans="1:16" ht="15.75" customHeight="1">
      <c r="A963" s="130"/>
      <c r="B963" s="137"/>
      <c r="C963" s="138"/>
      <c r="D963" s="139"/>
      <c r="E963" s="138"/>
      <c r="F963" s="140"/>
      <c r="G963" s="140"/>
      <c r="H963" s="139"/>
      <c r="I963" s="138"/>
      <c r="J963" s="121"/>
      <c r="K963" s="132"/>
      <c r="L963" s="121"/>
      <c r="M963" s="96"/>
      <c r="N963" s="96"/>
      <c r="O963" s="85"/>
      <c r="P963" s="133"/>
    </row>
    <row r="964" spans="1:16" ht="15.75" customHeight="1">
      <c r="A964" s="130"/>
      <c r="B964" s="137"/>
      <c r="C964" s="138"/>
      <c r="D964" s="139"/>
      <c r="E964" s="138"/>
      <c r="F964" s="140"/>
      <c r="G964" s="140"/>
      <c r="H964" s="139"/>
      <c r="I964" s="138"/>
      <c r="J964" s="121"/>
      <c r="K964" s="132"/>
      <c r="L964" s="121"/>
      <c r="M964" s="96"/>
      <c r="N964" s="96"/>
      <c r="O964" s="85"/>
      <c r="P964" s="133"/>
    </row>
    <row r="965" spans="1:16" ht="15.75" customHeight="1">
      <c r="A965" s="130"/>
      <c r="B965" s="137"/>
      <c r="C965" s="138"/>
      <c r="D965" s="139"/>
      <c r="E965" s="138"/>
      <c r="F965" s="140"/>
      <c r="G965" s="140"/>
      <c r="H965" s="139"/>
      <c r="I965" s="138"/>
      <c r="J965" s="121"/>
      <c r="K965" s="132"/>
      <c r="L965" s="121"/>
      <c r="M965" s="96"/>
      <c r="N965" s="96"/>
      <c r="O965" s="85"/>
      <c r="P965" s="133"/>
    </row>
    <row r="966" spans="1:16" ht="15.75" customHeight="1">
      <c r="A966" s="130"/>
      <c r="B966" s="137"/>
      <c r="C966" s="138"/>
      <c r="D966" s="139"/>
      <c r="E966" s="138"/>
      <c r="F966" s="140"/>
      <c r="G966" s="140"/>
      <c r="H966" s="139"/>
      <c r="I966" s="138"/>
      <c r="J966" s="121"/>
      <c r="K966" s="132"/>
      <c r="L966" s="121"/>
      <c r="M966" s="96"/>
      <c r="N966" s="96"/>
      <c r="O966" s="85"/>
      <c r="P966" s="133"/>
    </row>
    <row r="967" spans="1:16" ht="15.75" customHeight="1">
      <c r="A967" s="130"/>
      <c r="B967" s="137"/>
      <c r="C967" s="138"/>
      <c r="D967" s="139"/>
      <c r="E967" s="138"/>
      <c r="F967" s="140"/>
      <c r="G967" s="140"/>
      <c r="H967" s="139"/>
      <c r="I967" s="138"/>
      <c r="J967" s="121"/>
      <c r="K967" s="132"/>
      <c r="L967" s="121"/>
      <c r="M967" s="96"/>
      <c r="N967" s="96"/>
      <c r="O967" s="85"/>
      <c r="P967" s="133"/>
    </row>
    <row r="968" spans="1:16" ht="15.75" customHeight="1">
      <c r="A968" s="130"/>
      <c r="B968" s="137"/>
      <c r="C968" s="138"/>
      <c r="D968" s="139"/>
      <c r="E968" s="138"/>
      <c r="F968" s="140"/>
      <c r="G968" s="140"/>
      <c r="H968" s="139"/>
      <c r="I968" s="138"/>
      <c r="J968" s="121"/>
      <c r="K968" s="132"/>
      <c r="L968" s="121"/>
      <c r="M968" s="96"/>
      <c r="N968" s="96"/>
      <c r="O968" s="85"/>
      <c r="P968" s="133"/>
    </row>
    <row r="969" spans="1:16" ht="15.75" customHeight="1">
      <c r="A969" s="130"/>
      <c r="B969" s="137"/>
      <c r="C969" s="138"/>
      <c r="D969" s="139"/>
      <c r="E969" s="138"/>
      <c r="F969" s="140"/>
      <c r="G969" s="140"/>
      <c r="H969" s="139"/>
      <c r="I969" s="138"/>
      <c r="J969" s="121"/>
      <c r="K969" s="132"/>
      <c r="L969" s="121"/>
      <c r="M969" s="96"/>
      <c r="N969" s="96"/>
      <c r="O969" s="85"/>
      <c r="P969" s="133"/>
    </row>
    <row r="970" spans="1:16" ht="15.75" customHeight="1">
      <c r="A970" s="130"/>
      <c r="B970" s="137"/>
      <c r="C970" s="138"/>
      <c r="D970" s="139"/>
      <c r="E970" s="138"/>
      <c r="F970" s="140"/>
      <c r="G970" s="140"/>
      <c r="H970" s="139"/>
      <c r="I970" s="138"/>
      <c r="J970" s="121"/>
      <c r="K970" s="132"/>
      <c r="L970" s="121"/>
      <c r="M970" s="96"/>
      <c r="N970" s="96"/>
      <c r="O970" s="85"/>
      <c r="P970" s="133"/>
    </row>
    <row r="971" spans="1:16" ht="15.75" customHeight="1">
      <c r="A971" s="130"/>
      <c r="B971" s="137"/>
      <c r="C971" s="138"/>
      <c r="D971" s="139"/>
      <c r="E971" s="138"/>
      <c r="F971" s="140"/>
      <c r="G971" s="140"/>
      <c r="H971" s="139"/>
      <c r="I971" s="138"/>
      <c r="J971" s="121"/>
      <c r="K971" s="132"/>
      <c r="L971" s="121"/>
      <c r="M971" s="96"/>
      <c r="N971" s="96"/>
      <c r="O971" s="85"/>
      <c r="P971" s="133"/>
    </row>
    <row r="972" spans="1:16" ht="15.75" customHeight="1">
      <c r="A972" s="130"/>
      <c r="B972" s="137"/>
      <c r="C972" s="138"/>
      <c r="D972" s="139"/>
      <c r="E972" s="138"/>
      <c r="F972" s="140"/>
      <c r="G972" s="140"/>
      <c r="H972" s="139"/>
      <c r="I972" s="138"/>
      <c r="J972" s="121"/>
      <c r="K972" s="132"/>
      <c r="L972" s="121"/>
      <c r="M972" s="96"/>
      <c r="N972" s="96"/>
      <c r="O972" s="85"/>
      <c r="P972" s="133"/>
    </row>
    <row r="973" spans="1:16" ht="15.75" customHeight="1">
      <c r="A973" s="130"/>
      <c r="B973" s="137"/>
      <c r="C973" s="138"/>
      <c r="D973" s="139"/>
      <c r="E973" s="138"/>
      <c r="F973" s="140"/>
      <c r="G973" s="140"/>
      <c r="H973" s="139"/>
      <c r="I973" s="138"/>
      <c r="J973" s="121"/>
      <c r="K973" s="132"/>
      <c r="L973" s="121"/>
      <c r="M973" s="96"/>
      <c r="N973" s="96"/>
      <c r="O973" s="85"/>
      <c r="P973" s="133"/>
    </row>
    <row r="974" spans="1:16" ht="15.75" customHeight="1">
      <c r="A974" s="130"/>
      <c r="B974" s="137"/>
      <c r="C974" s="138"/>
      <c r="D974" s="139"/>
      <c r="E974" s="138"/>
      <c r="F974" s="140"/>
      <c r="G974" s="140"/>
      <c r="H974" s="139"/>
      <c r="I974" s="138"/>
      <c r="J974" s="121"/>
      <c r="K974" s="132"/>
      <c r="L974" s="121"/>
      <c r="M974" s="96"/>
      <c r="N974" s="96"/>
      <c r="O974" s="85"/>
      <c r="P974" s="133"/>
    </row>
    <row r="975" spans="1:16" ht="15.75" customHeight="1">
      <c r="A975" s="130"/>
      <c r="B975" s="137"/>
      <c r="C975" s="138"/>
      <c r="D975" s="139"/>
      <c r="E975" s="138"/>
      <c r="F975" s="140"/>
      <c r="G975" s="140"/>
      <c r="H975" s="139"/>
      <c r="I975" s="138"/>
      <c r="J975" s="121"/>
      <c r="K975" s="132"/>
      <c r="L975" s="121"/>
      <c r="M975" s="96"/>
      <c r="N975" s="96"/>
      <c r="O975" s="85"/>
      <c r="P975" s="133"/>
    </row>
    <row r="976" spans="1:16" ht="15.75" customHeight="1">
      <c r="A976" s="130"/>
      <c r="B976" s="137"/>
      <c r="C976" s="138"/>
      <c r="D976" s="139"/>
      <c r="E976" s="138"/>
      <c r="F976" s="140"/>
      <c r="G976" s="140"/>
      <c r="H976" s="139"/>
      <c r="I976" s="138"/>
      <c r="J976" s="121"/>
      <c r="K976" s="132"/>
      <c r="L976" s="121"/>
      <c r="M976" s="96"/>
      <c r="N976" s="96"/>
      <c r="O976" s="85"/>
      <c r="P976" s="133"/>
    </row>
    <row r="977" spans="1:16" ht="15.75" customHeight="1">
      <c r="A977" s="130"/>
      <c r="B977" s="137"/>
      <c r="C977" s="138"/>
      <c r="D977" s="139"/>
      <c r="E977" s="138"/>
      <c r="F977" s="140"/>
      <c r="G977" s="140"/>
      <c r="H977" s="139"/>
      <c r="I977" s="138"/>
      <c r="J977" s="121"/>
      <c r="K977" s="132"/>
      <c r="L977" s="121"/>
      <c r="M977" s="96"/>
      <c r="N977" s="96"/>
      <c r="O977" s="85"/>
      <c r="P977" s="133"/>
    </row>
    <row r="978" spans="1:16" ht="15.75" customHeight="1">
      <c r="A978" s="130"/>
      <c r="B978" s="137"/>
      <c r="C978" s="138"/>
      <c r="D978" s="139"/>
      <c r="E978" s="138"/>
      <c r="F978" s="140"/>
      <c r="G978" s="140"/>
      <c r="H978" s="139"/>
      <c r="I978" s="138"/>
      <c r="J978" s="121"/>
      <c r="K978" s="132"/>
      <c r="L978" s="121"/>
      <c r="M978" s="96"/>
      <c r="N978" s="96"/>
      <c r="O978" s="85"/>
      <c r="P978" s="133"/>
    </row>
    <row r="979" spans="1:16" ht="15.75" customHeight="1">
      <c r="A979" s="130"/>
      <c r="B979" s="137"/>
      <c r="C979" s="138"/>
      <c r="D979" s="139"/>
      <c r="E979" s="138"/>
      <c r="F979" s="140"/>
      <c r="G979" s="140"/>
      <c r="H979" s="139"/>
      <c r="I979" s="138"/>
      <c r="J979" s="121"/>
      <c r="K979" s="132"/>
      <c r="L979" s="121"/>
      <c r="M979" s="96"/>
      <c r="N979" s="96"/>
      <c r="O979" s="85"/>
      <c r="P979" s="133"/>
    </row>
    <row r="980" spans="1:16" ht="15.75" customHeight="1">
      <c r="A980" s="130"/>
      <c r="B980" s="137"/>
      <c r="C980" s="138"/>
      <c r="D980" s="139"/>
      <c r="E980" s="138"/>
      <c r="F980" s="140"/>
      <c r="G980" s="140"/>
      <c r="H980" s="139"/>
      <c r="I980" s="138"/>
      <c r="J980" s="121"/>
      <c r="K980" s="132"/>
      <c r="L980" s="121"/>
      <c r="M980" s="96"/>
      <c r="N980" s="96"/>
      <c r="O980" s="85"/>
      <c r="P980" s="133"/>
    </row>
    <row r="981" spans="1:16" ht="15.75" customHeight="1">
      <c r="A981" s="130"/>
      <c r="B981" s="137"/>
      <c r="C981" s="138"/>
      <c r="D981" s="139"/>
      <c r="E981" s="138"/>
      <c r="F981" s="140"/>
      <c r="G981" s="140"/>
      <c r="H981" s="139"/>
      <c r="I981" s="138"/>
      <c r="J981" s="121"/>
      <c r="K981" s="132"/>
      <c r="L981" s="121"/>
      <c r="M981" s="96"/>
      <c r="N981" s="96"/>
      <c r="O981" s="85"/>
      <c r="P981" s="133"/>
    </row>
    <row r="982" spans="1:16" ht="15.75" customHeight="1">
      <c r="A982" s="130"/>
      <c r="B982" s="137"/>
      <c r="C982" s="138"/>
      <c r="D982" s="139"/>
      <c r="E982" s="138"/>
      <c r="F982" s="140"/>
      <c r="G982" s="140"/>
      <c r="H982" s="139"/>
      <c r="I982" s="138"/>
      <c r="J982" s="121"/>
      <c r="K982" s="132"/>
      <c r="L982" s="121"/>
      <c r="M982" s="96"/>
      <c r="N982" s="96"/>
      <c r="O982" s="85"/>
      <c r="P982" s="133"/>
    </row>
    <row r="983" spans="1:16" ht="15.75" customHeight="1">
      <c r="A983" s="130"/>
      <c r="B983" s="137"/>
      <c r="C983" s="138"/>
      <c r="D983" s="139"/>
      <c r="E983" s="138"/>
      <c r="F983" s="140"/>
      <c r="G983" s="140"/>
      <c r="H983" s="139"/>
      <c r="I983" s="138"/>
      <c r="J983" s="121"/>
      <c r="K983" s="132"/>
      <c r="L983" s="121"/>
      <c r="M983" s="96"/>
      <c r="N983" s="96"/>
      <c r="O983" s="85"/>
      <c r="P983" s="133"/>
    </row>
    <row r="984" spans="1:16" ht="15.75" customHeight="1">
      <c r="A984" s="130"/>
      <c r="B984" s="137"/>
      <c r="C984" s="138"/>
      <c r="D984" s="139"/>
      <c r="E984" s="138"/>
      <c r="F984" s="140"/>
      <c r="G984" s="140"/>
      <c r="H984" s="139"/>
      <c r="I984" s="138"/>
      <c r="J984" s="121"/>
      <c r="K984" s="132"/>
      <c r="L984" s="121"/>
      <c r="M984" s="96"/>
      <c r="N984" s="96"/>
      <c r="O984" s="85"/>
      <c r="P984" s="133"/>
    </row>
    <row r="985" spans="1:16" ht="15.75" customHeight="1">
      <c r="A985" s="130"/>
      <c r="B985" s="137"/>
      <c r="C985" s="138"/>
      <c r="D985" s="139"/>
      <c r="E985" s="138"/>
      <c r="F985" s="140"/>
      <c r="G985" s="140"/>
      <c r="H985" s="139"/>
      <c r="I985" s="138"/>
      <c r="J985" s="121"/>
      <c r="K985" s="132"/>
      <c r="L985" s="121"/>
      <c r="M985" s="96"/>
      <c r="N985" s="96"/>
      <c r="O985" s="85"/>
      <c r="P985" s="133"/>
    </row>
    <row r="986" spans="1:16" ht="15.75" customHeight="1">
      <c r="A986" s="130"/>
      <c r="B986" s="137"/>
      <c r="C986" s="138"/>
      <c r="D986" s="139"/>
      <c r="E986" s="138"/>
      <c r="F986" s="140"/>
      <c r="G986" s="140"/>
      <c r="H986" s="139"/>
      <c r="I986" s="138"/>
      <c r="J986" s="121"/>
      <c r="K986" s="132"/>
      <c r="L986" s="121"/>
      <c r="M986" s="96"/>
      <c r="N986" s="96"/>
      <c r="O986" s="85"/>
      <c r="P986" s="133"/>
    </row>
    <row r="987" spans="1:16" ht="15.75" customHeight="1">
      <c r="A987" s="130"/>
      <c r="B987" s="137"/>
      <c r="C987" s="138"/>
      <c r="D987" s="139"/>
      <c r="E987" s="138"/>
      <c r="F987" s="140"/>
      <c r="G987" s="140"/>
      <c r="H987" s="139"/>
      <c r="I987" s="138"/>
      <c r="J987" s="121"/>
      <c r="K987" s="132"/>
      <c r="L987" s="121"/>
      <c r="M987" s="96"/>
      <c r="N987" s="96"/>
      <c r="O987" s="85"/>
      <c r="P987" s="133"/>
    </row>
    <row r="988" spans="1:16" ht="15.75" customHeight="1">
      <c r="A988" s="130"/>
      <c r="B988" s="137"/>
      <c r="C988" s="138"/>
      <c r="D988" s="139"/>
      <c r="E988" s="138"/>
      <c r="F988" s="140"/>
      <c r="G988" s="140"/>
      <c r="H988" s="139"/>
      <c r="I988" s="138"/>
      <c r="J988" s="121"/>
      <c r="K988" s="132"/>
      <c r="L988" s="121"/>
      <c r="M988" s="96"/>
      <c r="N988" s="96"/>
      <c r="O988" s="85"/>
      <c r="P988" s="133"/>
    </row>
    <row r="989" spans="1:16" ht="15.75" customHeight="1">
      <c r="A989" s="130"/>
      <c r="B989" s="137"/>
      <c r="C989" s="138"/>
      <c r="D989" s="139"/>
      <c r="E989" s="138"/>
      <c r="F989" s="140"/>
      <c r="G989" s="140"/>
      <c r="H989" s="139"/>
      <c r="I989" s="138"/>
      <c r="J989" s="121"/>
      <c r="K989" s="132"/>
      <c r="L989" s="121"/>
      <c r="M989" s="96"/>
      <c r="N989" s="96"/>
      <c r="O989" s="85"/>
      <c r="P989" s="133"/>
    </row>
    <row r="990" spans="1:16" ht="15.75" customHeight="1">
      <c r="A990" s="130"/>
      <c r="B990" s="137"/>
      <c r="C990" s="138"/>
      <c r="D990" s="139"/>
      <c r="E990" s="138"/>
      <c r="F990" s="140"/>
      <c r="G990" s="140"/>
      <c r="H990" s="139"/>
      <c r="I990" s="138"/>
      <c r="J990" s="121"/>
      <c r="K990" s="132"/>
      <c r="L990" s="121"/>
      <c r="M990" s="96"/>
      <c r="N990" s="96"/>
      <c r="O990" s="85"/>
      <c r="P990" s="133"/>
    </row>
    <row r="991" spans="1:16" ht="15.75" customHeight="1">
      <c r="A991" s="130"/>
      <c r="B991" s="137"/>
      <c r="C991" s="138"/>
      <c r="D991" s="139"/>
      <c r="E991" s="138"/>
      <c r="F991" s="140"/>
      <c r="G991" s="140"/>
      <c r="H991" s="139"/>
      <c r="I991" s="138"/>
      <c r="J991" s="121"/>
      <c r="K991" s="132"/>
      <c r="L991" s="121"/>
      <c r="M991" s="96"/>
      <c r="N991" s="96"/>
      <c r="O991" s="85"/>
      <c r="P991" s="133"/>
    </row>
    <row r="992" spans="1:16" ht="15.75" customHeight="1">
      <c r="A992" s="130"/>
      <c r="B992" s="137"/>
      <c r="C992" s="138"/>
      <c r="D992" s="139"/>
      <c r="E992" s="138"/>
      <c r="F992" s="140"/>
      <c r="G992" s="140"/>
      <c r="H992" s="139"/>
      <c r="I992" s="138"/>
      <c r="J992" s="121"/>
      <c r="K992" s="132"/>
      <c r="L992" s="121"/>
      <c r="M992" s="96"/>
      <c r="N992" s="96"/>
      <c r="O992" s="85"/>
      <c r="P992" s="133"/>
    </row>
    <row r="993" spans="1:16" ht="15.75" customHeight="1">
      <c r="A993" s="130"/>
      <c r="B993" s="137"/>
      <c r="C993" s="138"/>
      <c r="D993" s="139"/>
      <c r="E993" s="138"/>
      <c r="F993" s="140"/>
      <c r="G993" s="140"/>
      <c r="H993" s="139"/>
      <c r="I993" s="138"/>
      <c r="J993" s="121"/>
      <c r="K993" s="132"/>
      <c r="L993" s="121"/>
      <c r="M993" s="96"/>
      <c r="N993" s="96"/>
      <c r="O993" s="85"/>
      <c r="P993" s="133"/>
    </row>
    <row r="994" spans="1:16" ht="15.75" customHeight="1">
      <c r="A994" s="130"/>
      <c r="B994" s="137"/>
      <c r="C994" s="138"/>
      <c r="D994" s="139"/>
      <c r="E994" s="138"/>
      <c r="F994" s="140"/>
      <c r="G994" s="140"/>
      <c r="H994" s="139"/>
      <c r="I994" s="138"/>
      <c r="J994" s="121"/>
      <c r="K994" s="132"/>
      <c r="L994" s="121"/>
      <c r="M994" s="96"/>
      <c r="N994" s="96"/>
      <c r="O994" s="85"/>
      <c r="P994" s="133"/>
    </row>
    <row r="995" spans="1:16" ht="15.75" customHeight="1">
      <c r="A995" s="130"/>
      <c r="B995" s="137"/>
      <c r="C995" s="138"/>
      <c r="D995" s="139"/>
      <c r="E995" s="138"/>
      <c r="F995" s="140"/>
      <c r="G995" s="140"/>
      <c r="H995" s="139"/>
      <c r="I995" s="138"/>
      <c r="J995" s="121"/>
      <c r="K995" s="132"/>
      <c r="L995" s="121"/>
      <c r="M995" s="96"/>
      <c r="N995" s="96"/>
      <c r="O995" s="85"/>
      <c r="P995" s="133"/>
    </row>
    <row r="996" spans="1:16" ht="15.75" customHeight="1">
      <c r="A996" s="130"/>
      <c r="B996" s="137"/>
      <c r="C996" s="138"/>
      <c r="D996" s="139"/>
      <c r="E996" s="138"/>
      <c r="F996" s="140"/>
      <c r="G996" s="140"/>
      <c r="H996" s="139"/>
      <c r="I996" s="138"/>
      <c r="J996" s="121"/>
      <c r="K996" s="132"/>
      <c r="L996" s="121"/>
      <c r="M996" s="96"/>
      <c r="N996" s="96"/>
      <c r="O996" s="85"/>
      <c r="P996" s="133"/>
    </row>
    <row r="997" spans="1:16" ht="15.75" customHeight="1">
      <c r="A997" s="130"/>
      <c r="B997" s="137"/>
      <c r="C997" s="138"/>
      <c r="D997" s="139"/>
      <c r="E997" s="138"/>
      <c r="F997" s="140"/>
      <c r="G997" s="140"/>
      <c r="H997" s="139"/>
      <c r="I997" s="138"/>
      <c r="J997" s="121"/>
      <c r="K997" s="132"/>
      <c r="L997" s="121"/>
      <c r="M997" s="96"/>
      <c r="N997" s="96"/>
      <c r="O997" s="85"/>
      <c r="P997" s="133"/>
    </row>
    <row r="998" spans="1:16" ht="15.75" customHeight="1">
      <c r="A998" s="130"/>
      <c r="B998" s="137"/>
      <c r="C998" s="138"/>
      <c r="D998" s="139"/>
      <c r="E998" s="138"/>
      <c r="F998" s="140"/>
      <c r="G998" s="140"/>
      <c r="H998" s="139"/>
      <c r="I998" s="138"/>
      <c r="J998" s="121"/>
      <c r="K998" s="132"/>
      <c r="L998" s="121"/>
      <c r="M998" s="96"/>
      <c r="N998" s="96"/>
      <c r="O998" s="85"/>
      <c r="P998" s="133"/>
    </row>
    <row r="999" spans="1:16" ht="15.75" customHeight="1">
      <c r="A999" s="130"/>
      <c r="B999" s="137"/>
      <c r="C999" s="138"/>
      <c r="D999" s="139"/>
      <c r="E999" s="138"/>
      <c r="F999" s="140"/>
      <c r="G999" s="140"/>
      <c r="H999" s="139"/>
      <c r="I999" s="138"/>
      <c r="J999" s="121"/>
      <c r="K999" s="132"/>
      <c r="L999" s="121"/>
      <c r="M999" s="96"/>
      <c r="N999" s="96"/>
      <c r="O999" s="85"/>
      <c r="P999" s="133"/>
    </row>
    <row r="1000" spans="1:16" ht="15.75" customHeight="1">
      <c r="A1000" s="130"/>
      <c r="B1000" s="137"/>
      <c r="C1000" s="138"/>
      <c r="D1000" s="139"/>
      <c r="E1000" s="138"/>
      <c r="F1000" s="140"/>
      <c r="G1000" s="140"/>
      <c r="H1000" s="139"/>
      <c r="I1000" s="138"/>
      <c r="J1000" s="121"/>
      <c r="K1000" s="132"/>
      <c r="L1000" s="121"/>
      <c r="M1000" s="96"/>
      <c r="N1000" s="96"/>
      <c r="O1000" s="85"/>
      <c r="P1000" s="133"/>
    </row>
    <row r="1001" spans="1:16" ht="15.75" customHeight="1">
      <c r="A1001" s="130"/>
      <c r="B1001" s="137"/>
      <c r="C1001" s="138"/>
      <c r="D1001" s="139"/>
      <c r="E1001" s="138"/>
      <c r="F1001" s="140"/>
      <c r="G1001" s="140"/>
      <c r="H1001" s="139"/>
      <c r="I1001" s="138"/>
      <c r="J1001" s="121"/>
      <c r="K1001" s="132"/>
      <c r="L1001" s="121"/>
      <c r="M1001" s="96"/>
      <c r="N1001" s="96"/>
      <c r="O1001" s="85"/>
      <c r="P1001" s="13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81"/>
  <sheetViews>
    <sheetView workbookViewId="0"/>
  </sheetViews>
  <sheetFormatPr defaultColWidth="11.25" defaultRowHeight="15" customHeight="1"/>
  <cols>
    <col min="1" max="1" width="9.375" customWidth="1"/>
    <col min="2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6" width="7.5" customWidth="1"/>
    <col min="17" max="17" width="23.25" customWidth="1"/>
    <col min="18" max="28" width="10.5" customWidth="1"/>
  </cols>
  <sheetData>
    <row r="1" spans="1:28" ht="60">
      <c r="A1" s="141" t="s">
        <v>0</v>
      </c>
      <c r="B1" s="142" t="s">
        <v>257</v>
      </c>
      <c r="C1" s="143" t="s">
        <v>258</v>
      </c>
      <c r="D1" s="144" t="s">
        <v>2</v>
      </c>
      <c r="E1" s="143" t="s">
        <v>259</v>
      </c>
      <c r="F1" s="144" t="s">
        <v>260</v>
      </c>
      <c r="G1" s="142" t="s">
        <v>261</v>
      </c>
      <c r="H1" s="145" t="s">
        <v>262</v>
      </c>
      <c r="I1" s="142" t="s">
        <v>263</v>
      </c>
      <c r="J1" s="142" t="s">
        <v>264</v>
      </c>
      <c r="K1" s="142" t="s">
        <v>265</v>
      </c>
      <c r="L1" s="146" t="s">
        <v>266</v>
      </c>
      <c r="M1" s="146" t="s">
        <v>8</v>
      </c>
      <c r="N1" s="142" t="s">
        <v>267</v>
      </c>
      <c r="O1" s="147" t="s">
        <v>7</v>
      </c>
      <c r="P1" s="148" t="s">
        <v>268</v>
      </c>
      <c r="Q1" s="149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8" ht="15.75" customHeight="1">
      <c r="A2" s="151" t="s">
        <v>81</v>
      </c>
      <c r="B2" s="152" t="s">
        <v>75</v>
      </c>
      <c r="C2" s="152" t="s">
        <v>75</v>
      </c>
      <c r="D2" s="153" t="s">
        <v>75</v>
      </c>
      <c r="E2" s="154">
        <v>45390</v>
      </c>
      <c r="F2" s="153">
        <v>0.54513888888888884</v>
      </c>
      <c r="G2" s="152">
        <v>104.4</v>
      </c>
      <c r="H2" s="155">
        <v>1</v>
      </c>
      <c r="I2" s="152">
        <v>104.4</v>
      </c>
      <c r="J2" s="152">
        <v>104.6</v>
      </c>
      <c r="K2" s="152" t="s">
        <v>230</v>
      </c>
      <c r="L2" s="156" t="s">
        <v>269</v>
      </c>
      <c r="M2" s="156" t="s">
        <v>13</v>
      </c>
      <c r="N2" s="152">
        <f t="shared" ref="N2:N58" si="0">(J2-G2)/H2</f>
        <v>0.19999999999998863</v>
      </c>
      <c r="O2" s="157" t="s">
        <v>12</v>
      </c>
      <c r="P2" s="157" t="s">
        <v>270</v>
      </c>
      <c r="Q2" s="158"/>
      <c r="R2" s="159"/>
      <c r="S2" s="160"/>
      <c r="T2" s="161"/>
      <c r="U2" s="161"/>
      <c r="V2" s="14"/>
      <c r="W2" s="14"/>
      <c r="X2" s="14"/>
      <c r="Y2" s="14"/>
      <c r="Z2" s="14"/>
      <c r="AA2" s="14"/>
      <c r="AB2" s="14"/>
    </row>
    <row r="3" spans="1:28" ht="15.75" customHeight="1">
      <c r="A3" s="162" t="s">
        <v>271</v>
      </c>
      <c r="B3" s="152">
        <v>102</v>
      </c>
      <c r="C3" s="154" t="s">
        <v>75</v>
      </c>
      <c r="D3" s="153" t="s">
        <v>75</v>
      </c>
      <c r="E3" s="154">
        <v>45390</v>
      </c>
      <c r="F3" s="153">
        <v>0.54166666666666663</v>
      </c>
      <c r="G3" s="152">
        <v>104.6</v>
      </c>
      <c r="H3" s="155">
        <v>1</v>
      </c>
      <c r="I3" s="152">
        <v>209.9</v>
      </c>
      <c r="J3" s="152">
        <v>209</v>
      </c>
      <c r="K3" s="152" t="s">
        <v>230</v>
      </c>
      <c r="L3" s="156" t="s">
        <v>272</v>
      </c>
      <c r="M3" s="156" t="s">
        <v>13</v>
      </c>
      <c r="N3" s="152">
        <f t="shared" si="0"/>
        <v>104.4</v>
      </c>
      <c r="O3" s="157" t="s">
        <v>12</v>
      </c>
      <c r="P3" s="157" t="s">
        <v>270</v>
      </c>
      <c r="Q3" s="158"/>
      <c r="R3" s="159"/>
      <c r="S3" s="160"/>
      <c r="T3" s="163"/>
      <c r="U3" s="14"/>
      <c r="V3" s="14"/>
      <c r="W3" s="14"/>
      <c r="X3" s="14"/>
      <c r="Y3" s="14"/>
      <c r="Z3" s="14"/>
      <c r="AA3" s="14"/>
      <c r="AB3" s="14"/>
    </row>
    <row r="4" spans="1:28" ht="15.75">
      <c r="A4" s="162" t="s">
        <v>273</v>
      </c>
      <c r="B4" s="152" t="s">
        <v>75</v>
      </c>
      <c r="C4" s="154">
        <v>45390</v>
      </c>
      <c r="D4" s="153">
        <v>0.35555555555555557</v>
      </c>
      <c r="E4" s="154">
        <v>45390</v>
      </c>
      <c r="F4" s="153">
        <v>0.5493055555555556</v>
      </c>
      <c r="G4" s="152">
        <v>104.4</v>
      </c>
      <c r="H4" s="155">
        <v>1</v>
      </c>
      <c r="I4" s="152">
        <v>111.9</v>
      </c>
      <c r="J4" s="152">
        <v>111.7</v>
      </c>
      <c r="K4" s="152" t="s">
        <v>230</v>
      </c>
      <c r="L4" s="156" t="s">
        <v>274</v>
      </c>
      <c r="M4" s="156" t="s">
        <v>13</v>
      </c>
      <c r="N4" s="152">
        <f t="shared" si="0"/>
        <v>7.2999999999999972</v>
      </c>
      <c r="O4" s="157" t="s">
        <v>12</v>
      </c>
      <c r="P4" s="157" t="s">
        <v>270</v>
      </c>
      <c r="Q4" s="164"/>
      <c r="R4" s="159"/>
      <c r="S4" s="14"/>
      <c r="T4" s="161"/>
      <c r="U4" s="14"/>
      <c r="V4" s="14"/>
      <c r="W4" s="14"/>
      <c r="X4" s="14"/>
      <c r="Y4" s="14"/>
      <c r="Z4" s="14"/>
      <c r="AA4" s="14"/>
      <c r="AB4" s="14"/>
    </row>
    <row r="5" spans="1:28" ht="15.75">
      <c r="A5" s="162" t="s">
        <v>275</v>
      </c>
      <c r="B5" s="152" t="s">
        <v>75</v>
      </c>
      <c r="C5" s="154">
        <v>45390</v>
      </c>
      <c r="D5" s="153">
        <v>0.38750000000000001</v>
      </c>
      <c r="E5" s="154">
        <v>45390</v>
      </c>
      <c r="F5" s="153">
        <v>0.55000000000000004</v>
      </c>
      <c r="G5" s="152">
        <v>103.8</v>
      </c>
      <c r="H5" s="155">
        <v>1</v>
      </c>
      <c r="I5" s="152">
        <v>109.8</v>
      </c>
      <c r="J5" s="152">
        <v>109.2</v>
      </c>
      <c r="K5" s="152" t="s">
        <v>230</v>
      </c>
      <c r="L5" s="156" t="s">
        <v>276</v>
      </c>
      <c r="M5" s="156" t="s">
        <v>13</v>
      </c>
      <c r="N5" s="152">
        <f t="shared" si="0"/>
        <v>5.4000000000000057</v>
      </c>
      <c r="O5" s="157" t="s">
        <v>12</v>
      </c>
      <c r="P5" s="157" t="s">
        <v>270</v>
      </c>
      <c r="Q5" s="164"/>
      <c r="R5" s="159"/>
      <c r="S5" s="63"/>
      <c r="T5" s="63"/>
      <c r="U5" s="63"/>
      <c r="V5" s="63"/>
      <c r="W5" s="63"/>
      <c r="X5" s="63"/>
      <c r="Y5" s="63"/>
      <c r="Z5" s="63"/>
      <c r="AA5" s="63"/>
      <c r="AB5" s="63"/>
    </row>
    <row r="6" spans="1:28" ht="15.75" customHeight="1">
      <c r="A6" s="162" t="s">
        <v>277</v>
      </c>
      <c r="B6" s="152" t="s">
        <v>75</v>
      </c>
      <c r="C6" s="154">
        <v>45390</v>
      </c>
      <c r="D6" s="153">
        <v>0.40833333333333333</v>
      </c>
      <c r="E6" s="154">
        <v>45390</v>
      </c>
      <c r="F6" s="153">
        <v>0.55138888888888893</v>
      </c>
      <c r="G6" s="152">
        <v>104.9</v>
      </c>
      <c r="H6" s="155">
        <v>1</v>
      </c>
      <c r="I6" s="152">
        <v>111.5</v>
      </c>
      <c r="J6" s="152">
        <v>111.6</v>
      </c>
      <c r="K6" s="152" t="s">
        <v>230</v>
      </c>
      <c r="L6" s="156" t="s">
        <v>278</v>
      </c>
      <c r="M6" s="156" t="s">
        <v>13</v>
      </c>
      <c r="N6" s="152">
        <f t="shared" si="0"/>
        <v>6.6999999999999886</v>
      </c>
      <c r="O6" s="157" t="s">
        <v>12</v>
      </c>
      <c r="P6" s="157" t="s">
        <v>270</v>
      </c>
      <c r="Q6" s="164"/>
      <c r="R6" s="159"/>
      <c r="S6" s="63"/>
      <c r="T6" s="63"/>
      <c r="U6" s="63"/>
      <c r="V6" s="63"/>
      <c r="W6" s="63"/>
      <c r="X6" s="63"/>
      <c r="Y6" s="63"/>
      <c r="Z6" s="63"/>
      <c r="AA6" s="63"/>
      <c r="AB6" s="63"/>
    </row>
    <row r="7" spans="1:28" ht="15.75" customHeight="1">
      <c r="A7" s="162" t="s">
        <v>279</v>
      </c>
      <c r="B7" s="152" t="s">
        <v>75</v>
      </c>
      <c r="C7" s="154">
        <v>45391</v>
      </c>
      <c r="D7" s="153">
        <v>0.32430555555555557</v>
      </c>
      <c r="E7" s="154">
        <v>45391</v>
      </c>
      <c r="F7" s="153">
        <v>0.57152777777777775</v>
      </c>
      <c r="G7" s="152">
        <v>106.9</v>
      </c>
      <c r="H7" s="155">
        <v>1</v>
      </c>
      <c r="I7" s="152">
        <v>112.2</v>
      </c>
      <c r="J7" s="152">
        <v>112</v>
      </c>
      <c r="K7" s="152" t="s">
        <v>230</v>
      </c>
      <c r="L7" s="156" t="s">
        <v>280</v>
      </c>
      <c r="M7" s="156" t="s">
        <v>13</v>
      </c>
      <c r="N7" s="152">
        <f t="shared" si="0"/>
        <v>5.0999999999999943</v>
      </c>
      <c r="O7" s="157" t="s">
        <v>12</v>
      </c>
      <c r="P7" s="157" t="s">
        <v>270</v>
      </c>
      <c r="Q7" s="164"/>
      <c r="R7" s="159"/>
      <c r="S7" s="63"/>
      <c r="T7" s="63"/>
      <c r="U7" s="63"/>
      <c r="V7" s="63"/>
      <c r="W7" s="63"/>
      <c r="X7" s="63"/>
      <c r="Y7" s="63"/>
      <c r="Z7" s="63"/>
      <c r="AA7" s="63"/>
      <c r="AB7" s="63"/>
    </row>
    <row r="8" spans="1:28" ht="15.75" customHeight="1">
      <c r="A8" s="162" t="s">
        <v>281</v>
      </c>
      <c r="B8" s="152" t="s">
        <v>75</v>
      </c>
      <c r="C8" s="154">
        <v>45391</v>
      </c>
      <c r="D8" s="153">
        <v>0.34722222222222221</v>
      </c>
      <c r="E8" s="154">
        <v>45391</v>
      </c>
      <c r="F8" s="153">
        <v>0.5756944444444444</v>
      </c>
      <c r="G8" s="152">
        <v>105.5</v>
      </c>
      <c r="H8" s="155">
        <v>1</v>
      </c>
      <c r="I8" s="152">
        <v>110.7</v>
      </c>
      <c r="J8" s="152">
        <v>110.9</v>
      </c>
      <c r="K8" s="152" t="s">
        <v>230</v>
      </c>
      <c r="L8" s="156" t="s">
        <v>282</v>
      </c>
      <c r="M8" s="156" t="s">
        <v>13</v>
      </c>
      <c r="N8" s="152">
        <f t="shared" si="0"/>
        <v>5.4000000000000057</v>
      </c>
      <c r="O8" s="157" t="s">
        <v>12</v>
      </c>
      <c r="P8" s="157" t="s">
        <v>270</v>
      </c>
      <c r="Q8" s="164"/>
      <c r="R8" s="159"/>
      <c r="S8" s="63"/>
      <c r="T8" s="63"/>
      <c r="U8" s="63"/>
      <c r="V8" s="63"/>
      <c r="W8" s="63"/>
      <c r="X8" s="63"/>
      <c r="Y8" s="63"/>
      <c r="Z8" s="63"/>
      <c r="AA8" s="63"/>
      <c r="AB8" s="63"/>
    </row>
    <row r="9" spans="1:28" ht="15.75" customHeight="1">
      <c r="A9" s="162" t="s">
        <v>283</v>
      </c>
      <c r="B9" s="152" t="s">
        <v>75</v>
      </c>
      <c r="C9" s="154">
        <v>45391</v>
      </c>
      <c r="D9" s="153">
        <v>0.38194444444444442</v>
      </c>
      <c r="E9" s="154">
        <v>45391</v>
      </c>
      <c r="F9" s="153">
        <v>0.57847222222222228</v>
      </c>
      <c r="G9" s="152">
        <v>104.4</v>
      </c>
      <c r="H9" s="155">
        <v>1</v>
      </c>
      <c r="I9" s="152">
        <v>110.5</v>
      </c>
      <c r="J9" s="152">
        <v>110.5</v>
      </c>
      <c r="K9" s="152" t="s">
        <v>230</v>
      </c>
      <c r="L9" s="155" t="s">
        <v>284</v>
      </c>
      <c r="M9" s="156" t="s">
        <v>13</v>
      </c>
      <c r="N9" s="152">
        <f t="shared" si="0"/>
        <v>6.0999999999999943</v>
      </c>
      <c r="O9" s="157" t="s">
        <v>12</v>
      </c>
      <c r="P9" s="157" t="s">
        <v>270</v>
      </c>
      <c r="Q9" s="164"/>
      <c r="R9" s="159"/>
      <c r="S9" s="63"/>
      <c r="T9" s="63"/>
      <c r="U9" s="63"/>
      <c r="V9" s="63"/>
      <c r="W9" s="63"/>
      <c r="X9" s="63"/>
      <c r="Y9" s="63"/>
      <c r="Z9" s="63"/>
      <c r="AA9" s="63"/>
      <c r="AB9" s="63"/>
    </row>
    <row r="10" spans="1:28" ht="15.75" customHeight="1">
      <c r="A10" s="162" t="s">
        <v>285</v>
      </c>
      <c r="B10" s="152" t="s">
        <v>75</v>
      </c>
      <c r="C10" s="154">
        <v>45391</v>
      </c>
      <c r="D10" s="153">
        <v>0.43125000000000002</v>
      </c>
      <c r="E10" s="154">
        <v>45391</v>
      </c>
      <c r="F10" s="153">
        <v>0.58125000000000004</v>
      </c>
      <c r="G10" s="152">
        <v>105.9</v>
      </c>
      <c r="H10" s="155">
        <v>1</v>
      </c>
      <c r="I10" s="152">
        <v>113.9</v>
      </c>
      <c r="J10" s="152">
        <v>113.7</v>
      </c>
      <c r="K10" s="152" t="s">
        <v>230</v>
      </c>
      <c r="L10" s="155" t="s">
        <v>286</v>
      </c>
      <c r="M10" s="156" t="s">
        <v>13</v>
      </c>
      <c r="N10" s="152">
        <f t="shared" si="0"/>
        <v>7.7999999999999972</v>
      </c>
      <c r="O10" s="157" t="s">
        <v>12</v>
      </c>
      <c r="P10" s="157" t="s">
        <v>270</v>
      </c>
      <c r="Q10" s="164" t="s">
        <v>287</v>
      </c>
      <c r="R10" s="159"/>
      <c r="S10" s="63"/>
      <c r="T10" s="63"/>
      <c r="U10" s="63"/>
      <c r="V10" s="63"/>
      <c r="W10" s="63"/>
      <c r="X10" s="63"/>
      <c r="Y10" s="63"/>
      <c r="Z10" s="63"/>
      <c r="AA10" s="63"/>
      <c r="AB10" s="63"/>
    </row>
    <row r="11" spans="1:28" ht="15.75" customHeight="1">
      <c r="A11" s="165" t="s">
        <v>288</v>
      </c>
      <c r="B11" s="152" t="s">
        <v>75</v>
      </c>
      <c r="C11" s="154">
        <v>45392</v>
      </c>
      <c r="D11" s="153">
        <v>0.34930555555555554</v>
      </c>
      <c r="E11" s="154">
        <v>45392</v>
      </c>
      <c r="F11" s="153">
        <v>0.57708333333333328</v>
      </c>
      <c r="G11" s="152">
        <v>104.5</v>
      </c>
      <c r="H11" s="155">
        <v>1</v>
      </c>
      <c r="I11" s="152">
        <v>111.2</v>
      </c>
      <c r="J11" s="152">
        <v>111.1</v>
      </c>
      <c r="K11" s="152" t="s">
        <v>230</v>
      </c>
      <c r="L11" s="156" t="s">
        <v>289</v>
      </c>
      <c r="M11" s="156" t="s">
        <v>13</v>
      </c>
      <c r="N11" s="152">
        <f t="shared" si="0"/>
        <v>6.5999999999999943</v>
      </c>
      <c r="O11" s="157" t="s">
        <v>12</v>
      </c>
      <c r="P11" s="157" t="s">
        <v>270</v>
      </c>
      <c r="Q11" s="164"/>
      <c r="R11" s="159"/>
      <c r="S11" s="63"/>
      <c r="T11" s="63"/>
      <c r="U11" s="63"/>
      <c r="V11" s="63"/>
      <c r="W11" s="63"/>
      <c r="X11" s="63"/>
      <c r="Y11" s="63"/>
      <c r="Z11" s="63"/>
      <c r="AA11" s="63"/>
      <c r="AB11" s="63"/>
    </row>
    <row r="12" spans="1:28" ht="15.75" customHeight="1">
      <c r="A12" s="165" t="s">
        <v>290</v>
      </c>
      <c r="B12" s="152" t="s">
        <v>75</v>
      </c>
      <c r="C12" s="154">
        <v>45392</v>
      </c>
      <c r="D12" s="153">
        <v>0.36944444444444446</v>
      </c>
      <c r="E12" s="154">
        <v>45392</v>
      </c>
      <c r="F12" s="153">
        <v>0.57847222222222228</v>
      </c>
      <c r="G12" s="152">
        <v>104.5</v>
      </c>
      <c r="H12" s="155">
        <v>1</v>
      </c>
      <c r="I12" s="152">
        <v>110.9</v>
      </c>
      <c r="J12" s="152">
        <v>110.5</v>
      </c>
      <c r="K12" s="152" t="s">
        <v>230</v>
      </c>
      <c r="L12" s="155" t="s">
        <v>291</v>
      </c>
      <c r="M12" s="156" t="s">
        <v>13</v>
      </c>
      <c r="N12" s="152">
        <f t="shared" si="0"/>
        <v>6</v>
      </c>
      <c r="O12" s="157" t="s">
        <v>12</v>
      </c>
      <c r="P12" s="157" t="s">
        <v>270</v>
      </c>
      <c r="Q12" s="164"/>
      <c r="R12" s="159"/>
      <c r="S12" s="63"/>
      <c r="T12" s="63"/>
      <c r="U12" s="63"/>
      <c r="V12" s="63"/>
      <c r="W12" s="63"/>
      <c r="X12" s="63"/>
      <c r="Y12" s="63"/>
      <c r="Z12" s="63"/>
      <c r="AA12" s="63"/>
      <c r="AB12" s="63"/>
    </row>
    <row r="13" spans="1:28" ht="15.75" customHeight="1">
      <c r="A13" s="165" t="s">
        <v>292</v>
      </c>
      <c r="B13" s="152" t="s">
        <v>75</v>
      </c>
      <c r="C13" s="154">
        <v>45392</v>
      </c>
      <c r="D13" s="153">
        <v>0.42708333333333331</v>
      </c>
      <c r="E13" s="154">
        <v>45392</v>
      </c>
      <c r="F13" s="153">
        <v>0.5805555555555556</v>
      </c>
      <c r="G13" s="152">
        <v>103.9</v>
      </c>
      <c r="H13" s="155">
        <v>1</v>
      </c>
      <c r="I13" s="152">
        <v>112</v>
      </c>
      <c r="J13" s="152">
        <v>111.7</v>
      </c>
      <c r="K13" s="152" t="s">
        <v>230</v>
      </c>
      <c r="L13" s="155" t="s">
        <v>293</v>
      </c>
      <c r="M13" s="156" t="s">
        <v>13</v>
      </c>
      <c r="N13" s="152">
        <f t="shared" si="0"/>
        <v>7.7999999999999972</v>
      </c>
      <c r="O13" s="157" t="s">
        <v>12</v>
      </c>
      <c r="P13" s="157" t="s">
        <v>270</v>
      </c>
      <c r="Q13" s="164"/>
      <c r="R13" s="159"/>
      <c r="S13" s="63"/>
      <c r="T13" s="63"/>
      <c r="U13" s="63"/>
      <c r="V13" s="63"/>
      <c r="W13" s="63"/>
      <c r="X13" s="63"/>
      <c r="Y13" s="63"/>
      <c r="Z13" s="63"/>
      <c r="AA13" s="63"/>
      <c r="AB13" s="63"/>
    </row>
    <row r="14" spans="1:28" ht="15.75" customHeight="1">
      <c r="A14" s="151" t="s">
        <v>81</v>
      </c>
      <c r="B14" s="152" t="s">
        <v>75</v>
      </c>
      <c r="C14" s="152" t="s">
        <v>75</v>
      </c>
      <c r="D14" s="153" t="s">
        <v>75</v>
      </c>
      <c r="E14" s="154">
        <v>45392</v>
      </c>
      <c r="F14" s="166">
        <v>0.53680555555555554</v>
      </c>
      <c r="G14" s="152">
        <v>104.5</v>
      </c>
      <c r="H14" s="155">
        <v>1</v>
      </c>
      <c r="I14" s="152">
        <v>105.5</v>
      </c>
      <c r="J14" s="152">
        <v>105.5</v>
      </c>
      <c r="K14" s="152" t="s">
        <v>230</v>
      </c>
      <c r="L14" s="155" t="s">
        <v>294</v>
      </c>
      <c r="M14" s="156" t="s">
        <v>13</v>
      </c>
      <c r="N14" s="152">
        <f t="shared" si="0"/>
        <v>1</v>
      </c>
      <c r="O14" s="157" t="s">
        <v>12</v>
      </c>
      <c r="P14" s="157" t="s">
        <v>270</v>
      </c>
      <c r="Q14" s="164"/>
      <c r="R14" s="159"/>
      <c r="S14" s="63"/>
      <c r="T14" s="63"/>
      <c r="U14" s="63"/>
      <c r="V14" s="63"/>
      <c r="W14" s="63"/>
      <c r="X14" s="63"/>
      <c r="Y14" s="63"/>
      <c r="Z14" s="63"/>
      <c r="AA14" s="63"/>
      <c r="AB14" s="63"/>
    </row>
    <row r="15" spans="1:28" ht="15.75" customHeight="1">
      <c r="A15" s="162" t="s">
        <v>271</v>
      </c>
      <c r="B15" s="152">
        <v>100.7</v>
      </c>
      <c r="C15" s="152" t="s">
        <v>75</v>
      </c>
      <c r="D15" s="153" t="s">
        <v>75</v>
      </c>
      <c r="E15" s="154">
        <v>45392</v>
      </c>
      <c r="F15" s="153">
        <v>0.57291666666666663</v>
      </c>
      <c r="G15" s="152">
        <v>106.6</v>
      </c>
      <c r="H15" s="155">
        <v>1</v>
      </c>
      <c r="I15" s="152">
        <v>203.7</v>
      </c>
      <c r="J15" s="152">
        <v>204.3</v>
      </c>
      <c r="K15" s="152">
        <v>204.3</v>
      </c>
      <c r="L15" s="155" t="s">
        <v>295</v>
      </c>
      <c r="M15" s="156" t="s">
        <v>13</v>
      </c>
      <c r="N15" s="152">
        <f t="shared" si="0"/>
        <v>97.700000000000017</v>
      </c>
      <c r="O15" s="157" t="s">
        <v>12</v>
      </c>
      <c r="P15" s="157" t="s">
        <v>270</v>
      </c>
      <c r="Q15" s="158"/>
      <c r="R15" s="159"/>
      <c r="S15" s="63"/>
      <c r="T15" s="63"/>
      <c r="U15" s="63"/>
      <c r="V15" s="63"/>
      <c r="W15" s="63"/>
      <c r="X15" s="63"/>
      <c r="Y15" s="63"/>
      <c r="Z15" s="63"/>
      <c r="AA15" s="63"/>
      <c r="AB15" s="63"/>
    </row>
    <row r="16" spans="1:28" ht="15.75" customHeight="1">
      <c r="A16" s="165" t="s">
        <v>296</v>
      </c>
      <c r="B16" s="152" t="s">
        <v>75</v>
      </c>
      <c r="C16" s="154">
        <v>45392</v>
      </c>
      <c r="D16" s="153">
        <v>0.47847222222222224</v>
      </c>
      <c r="E16" s="154">
        <v>45392</v>
      </c>
      <c r="F16" s="153">
        <v>0.58472222222222225</v>
      </c>
      <c r="G16" s="152">
        <v>104.7</v>
      </c>
      <c r="H16" s="155">
        <v>1</v>
      </c>
      <c r="I16" s="152">
        <v>127.3</v>
      </c>
      <c r="J16" s="152">
        <v>125.6</v>
      </c>
      <c r="K16" s="152">
        <v>125.5</v>
      </c>
      <c r="L16" s="155" t="s">
        <v>297</v>
      </c>
      <c r="M16" s="156" t="s">
        <v>13</v>
      </c>
      <c r="N16" s="152">
        <f t="shared" si="0"/>
        <v>20.899999999999991</v>
      </c>
      <c r="O16" s="157" t="s">
        <v>12</v>
      </c>
      <c r="P16" s="157" t="s">
        <v>270</v>
      </c>
      <c r="Q16" s="164" t="s">
        <v>298</v>
      </c>
      <c r="R16" s="159"/>
      <c r="S16" s="150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5.75" customHeight="1">
      <c r="A17" s="165" t="s">
        <v>299</v>
      </c>
      <c r="B17" s="152" t="s">
        <v>75</v>
      </c>
      <c r="C17" s="154">
        <v>45392</v>
      </c>
      <c r="D17" s="167">
        <v>0.49861111111111112</v>
      </c>
      <c r="E17" s="154">
        <v>45392</v>
      </c>
      <c r="F17" s="153">
        <v>0.58680555555555558</v>
      </c>
      <c r="G17" s="152">
        <v>104.3</v>
      </c>
      <c r="H17" s="155">
        <v>1</v>
      </c>
      <c r="I17" s="152">
        <v>109.7</v>
      </c>
      <c r="J17" s="152">
        <v>109</v>
      </c>
      <c r="K17" s="152">
        <v>109</v>
      </c>
      <c r="L17" s="155" t="s">
        <v>300</v>
      </c>
      <c r="M17" s="156" t="s">
        <v>13</v>
      </c>
      <c r="N17" s="152">
        <f t="shared" si="0"/>
        <v>4.7000000000000028</v>
      </c>
      <c r="O17" s="157" t="s">
        <v>12</v>
      </c>
      <c r="P17" s="157" t="s">
        <v>270</v>
      </c>
      <c r="Q17" s="164"/>
      <c r="R17" s="159"/>
      <c r="S17" s="150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5.75" customHeight="1">
      <c r="A18" s="165" t="s">
        <v>301</v>
      </c>
      <c r="B18" s="152" t="s">
        <v>75</v>
      </c>
      <c r="C18" s="154">
        <v>45400</v>
      </c>
      <c r="D18" s="153">
        <v>0.36458333333333331</v>
      </c>
      <c r="E18" s="154">
        <v>45400</v>
      </c>
      <c r="F18" s="153">
        <v>0.61041666666666672</v>
      </c>
      <c r="G18" s="152">
        <v>104.4</v>
      </c>
      <c r="H18" s="155">
        <v>1</v>
      </c>
      <c r="I18" s="152">
        <v>111.4</v>
      </c>
      <c r="J18" s="152">
        <v>111.3</v>
      </c>
      <c r="K18" s="152" t="s">
        <v>230</v>
      </c>
      <c r="L18" s="168" t="s">
        <v>302</v>
      </c>
      <c r="M18" s="156" t="s">
        <v>13</v>
      </c>
      <c r="N18" s="152">
        <f t="shared" si="0"/>
        <v>6.8999999999999915</v>
      </c>
      <c r="O18" s="157" t="s">
        <v>12</v>
      </c>
      <c r="P18" s="157" t="s">
        <v>270</v>
      </c>
      <c r="Q18" s="164"/>
      <c r="R18" s="159"/>
      <c r="S18" s="150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5.75" customHeight="1">
      <c r="A19" s="165" t="s">
        <v>303</v>
      </c>
      <c r="B19" s="152" t="s">
        <v>75</v>
      </c>
      <c r="C19" s="154">
        <v>45400</v>
      </c>
      <c r="D19" s="153">
        <v>0.39513888888888887</v>
      </c>
      <c r="E19" s="154">
        <v>45400</v>
      </c>
      <c r="F19" s="153">
        <v>0.61736111111111114</v>
      </c>
      <c r="G19" s="152">
        <v>104.3</v>
      </c>
      <c r="H19" s="155">
        <v>1</v>
      </c>
      <c r="I19" s="152">
        <v>114.2</v>
      </c>
      <c r="J19" s="152">
        <v>114.1</v>
      </c>
      <c r="K19" s="152" t="s">
        <v>230</v>
      </c>
      <c r="L19" s="168" t="s">
        <v>304</v>
      </c>
      <c r="M19" s="156" t="s">
        <v>13</v>
      </c>
      <c r="N19" s="152">
        <f t="shared" si="0"/>
        <v>9.7999999999999972</v>
      </c>
      <c r="O19" s="157" t="s">
        <v>12</v>
      </c>
      <c r="P19" s="157" t="s">
        <v>270</v>
      </c>
      <c r="Q19" s="164"/>
      <c r="R19" s="159"/>
      <c r="S19" s="150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5.75" customHeight="1">
      <c r="A20" s="165" t="s">
        <v>305</v>
      </c>
      <c r="B20" s="152" t="s">
        <v>75</v>
      </c>
      <c r="C20" s="154">
        <v>45400</v>
      </c>
      <c r="D20" s="153">
        <v>0.44444444444444442</v>
      </c>
      <c r="E20" s="154">
        <v>45400</v>
      </c>
      <c r="F20" s="153">
        <v>0.62083333333333335</v>
      </c>
      <c r="G20" s="152">
        <v>104.3</v>
      </c>
      <c r="H20" s="155">
        <v>1</v>
      </c>
      <c r="I20" s="152">
        <v>110.2</v>
      </c>
      <c r="J20" s="152">
        <v>110.4</v>
      </c>
      <c r="K20" s="152" t="s">
        <v>230</v>
      </c>
      <c r="L20" s="168" t="s">
        <v>306</v>
      </c>
      <c r="M20" s="156" t="s">
        <v>13</v>
      </c>
      <c r="N20" s="152">
        <f t="shared" si="0"/>
        <v>6.1000000000000085</v>
      </c>
      <c r="O20" s="157" t="s">
        <v>12</v>
      </c>
      <c r="P20" s="157" t="s">
        <v>270</v>
      </c>
      <c r="Q20" s="164"/>
      <c r="R20" s="159"/>
      <c r="S20" s="150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5.75" customHeight="1">
      <c r="A21" s="165" t="s">
        <v>307</v>
      </c>
      <c r="B21" s="152" t="s">
        <v>75</v>
      </c>
      <c r="C21" s="154">
        <v>45400</v>
      </c>
      <c r="D21" s="169">
        <v>0.47222222222222221</v>
      </c>
      <c r="E21" s="154">
        <v>45400</v>
      </c>
      <c r="F21" s="153">
        <v>0.62361111111111112</v>
      </c>
      <c r="G21" s="170">
        <v>106.3</v>
      </c>
      <c r="H21" s="155">
        <v>1</v>
      </c>
      <c r="I21" s="170">
        <v>113.3</v>
      </c>
      <c r="J21" s="170">
        <v>113.3</v>
      </c>
      <c r="K21" s="152" t="s">
        <v>230</v>
      </c>
      <c r="L21" s="168" t="s">
        <v>308</v>
      </c>
      <c r="M21" s="156" t="s">
        <v>13</v>
      </c>
      <c r="N21" s="152">
        <f t="shared" si="0"/>
        <v>7</v>
      </c>
      <c r="O21" s="157" t="s">
        <v>12</v>
      </c>
      <c r="P21" s="157" t="s">
        <v>270</v>
      </c>
      <c r="Q21" s="171"/>
      <c r="R21" s="159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</row>
    <row r="22" spans="1:28" ht="15.75" customHeight="1">
      <c r="A22" s="165" t="s">
        <v>309</v>
      </c>
      <c r="B22" s="152" t="s">
        <v>75</v>
      </c>
      <c r="C22" s="154">
        <v>45400</v>
      </c>
      <c r="D22" s="169">
        <v>0.53194444444444444</v>
      </c>
      <c r="E22" s="154">
        <v>45400</v>
      </c>
      <c r="F22" s="153">
        <v>0.62638888888888888</v>
      </c>
      <c r="G22" s="170">
        <v>104.4</v>
      </c>
      <c r="H22" s="155">
        <v>1</v>
      </c>
      <c r="I22" s="170">
        <v>111.2</v>
      </c>
      <c r="J22" s="170">
        <v>111.2</v>
      </c>
      <c r="K22" s="152" t="s">
        <v>230</v>
      </c>
      <c r="L22" s="168" t="s">
        <v>310</v>
      </c>
      <c r="M22" s="156" t="s">
        <v>13</v>
      </c>
      <c r="N22" s="152">
        <f t="shared" si="0"/>
        <v>6.7999999999999972</v>
      </c>
      <c r="O22" s="157" t="s">
        <v>12</v>
      </c>
      <c r="P22" s="157" t="s">
        <v>270</v>
      </c>
      <c r="Q22" s="171"/>
      <c r="R22" s="159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spans="1:28" ht="15.75" customHeight="1">
      <c r="A23" s="173" t="s">
        <v>311</v>
      </c>
      <c r="B23" s="152" t="s">
        <v>75</v>
      </c>
      <c r="C23" s="154">
        <v>45405</v>
      </c>
      <c r="D23" s="169">
        <v>0.3972222222222222</v>
      </c>
      <c r="E23" s="154">
        <v>45405</v>
      </c>
      <c r="F23" s="153">
        <v>0.53888888888888886</v>
      </c>
      <c r="G23" s="174">
        <v>105</v>
      </c>
      <c r="H23" s="155">
        <v>1</v>
      </c>
      <c r="I23" s="174">
        <v>115.1</v>
      </c>
      <c r="J23" s="174">
        <v>114.9</v>
      </c>
      <c r="K23" s="152" t="s">
        <v>230</v>
      </c>
      <c r="L23" s="155" t="s">
        <v>312</v>
      </c>
      <c r="M23" s="156" t="s">
        <v>13</v>
      </c>
      <c r="N23" s="152">
        <f t="shared" si="0"/>
        <v>9.9000000000000057</v>
      </c>
      <c r="O23" s="157" t="s">
        <v>12</v>
      </c>
      <c r="P23" s="157" t="s">
        <v>270</v>
      </c>
      <c r="Q23" s="171"/>
      <c r="R23" s="159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</row>
    <row r="24" spans="1:28" ht="15.75" customHeight="1">
      <c r="A24" s="173" t="s">
        <v>313</v>
      </c>
      <c r="B24" s="152" t="s">
        <v>75</v>
      </c>
      <c r="C24" s="154">
        <v>45405</v>
      </c>
      <c r="D24" s="169">
        <v>0.41041666666666665</v>
      </c>
      <c r="E24" s="154">
        <v>45405</v>
      </c>
      <c r="F24" s="153">
        <v>0.54236111111111107</v>
      </c>
      <c r="G24" s="170">
        <v>109.2</v>
      </c>
      <c r="H24" s="155">
        <v>1</v>
      </c>
      <c r="I24" s="170">
        <v>115.7</v>
      </c>
      <c r="J24" s="170">
        <v>115.4</v>
      </c>
      <c r="K24" s="152" t="s">
        <v>230</v>
      </c>
      <c r="L24" s="155" t="s">
        <v>314</v>
      </c>
      <c r="M24" s="156" t="s">
        <v>13</v>
      </c>
      <c r="N24" s="152">
        <f t="shared" si="0"/>
        <v>6.2000000000000028</v>
      </c>
      <c r="O24" s="157" t="s">
        <v>12</v>
      </c>
      <c r="P24" s="157" t="s">
        <v>270</v>
      </c>
      <c r="Q24" s="171"/>
      <c r="R24" s="159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</row>
    <row r="25" spans="1:28" ht="15.75">
      <c r="A25" s="162" t="s">
        <v>315</v>
      </c>
      <c r="B25" s="152" t="s">
        <v>75</v>
      </c>
      <c r="C25" s="154">
        <v>45405</v>
      </c>
      <c r="D25" s="167">
        <v>0.37013888888888891</v>
      </c>
      <c r="E25" s="154">
        <v>45405</v>
      </c>
      <c r="F25" s="153">
        <v>0.55625000000000002</v>
      </c>
      <c r="G25" s="175">
        <v>105</v>
      </c>
      <c r="H25" s="155">
        <v>1</v>
      </c>
      <c r="I25" s="175">
        <v>107.7</v>
      </c>
      <c r="J25" s="175">
        <v>107.3</v>
      </c>
      <c r="K25" s="152" t="s">
        <v>230</v>
      </c>
      <c r="L25" s="155" t="s">
        <v>316</v>
      </c>
      <c r="M25" s="156" t="s">
        <v>13</v>
      </c>
      <c r="N25" s="152">
        <f t="shared" si="0"/>
        <v>2.2999999999999972</v>
      </c>
      <c r="O25" s="157" t="s">
        <v>12</v>
      </c>
      <c r="P25" s="157" t="s">
        <v>270</v>
      </c>
      <c r="Q25" s="164"/>
      <c r="R25" s="159"/>
    </row>
    <row r="26" spans="1:28" ht="15.75" customHeight="1">
      <c r="A26" s="151" t="s">
        <v>81</v>
      </c>
      <c r="B26" s="152" t="s">
        <v>75</v>
      </c>
      <c r="C26" s="152" t="s">
        <v>75</v>
      </c>
      <c r="D26" s="153" t="s">
        <v>75</v>
      </c>
      <c r="E26" s="154">
        <v>45405</v>
      </c>
      <c r="F26" s="153">
        <v>0.43125000000000002</v>
      </c>
      <c r="G26" s="152">
        <v>104.8</v>
      </c>
      <c r="H26" s="155">
        <v>1</v>
      </c>
      <c r="I26" s="152">
        <v>106.4</v>
      </c>
      <c r="J26" s="152">
        <v>106.6</v>
      </c>
      <c r="K26" s="152" t="s">
        <v>230</v>
      </c>
      <c r="L26" s="155" t="s">
        <v>317</v>
      </c>
      <c r="M26" s="156" t="s">
        <v>13</v>
      </c>
      <c r="N26" s="152">
        <f t="shared" si="0"/>
        <v>1.7999999999999972</v>
      </c>
      <c r="O26" s="157" t="s">
        <v>12</v>
      </c>
      <c r="P26" s="157" t="s">
        <v>270</v>
      </c>
      <c r="Q26" s="164"/>
      <c r="R26" s="159"/>
      <c r="S26" s="63"/>
      <c r="T26" s="63"/>
      <c r="U26" s="63"/>
      <c r="V26" s="63"/>
      <c r="W26" s="63"/>
      <c r="X26" s="63"/>
      <c r="Y26" s="63"/>
      <c r="Z26" s="63"/>
      <c r="AA26" s="63"/>
      <c r="AB26" s="63"/>
    </row>
    <row r="27" spans="1:28" ht="15.75" customHeight="1">
      <c r="A27" s="162" t="s">
        <v>271</v>
      </c>
      <c r="B27" s="152">
        <v>100</v>
      </c>
      <c r="C27" s="152" t="s">
        <v>75</v>
      </c>
      <c r="D27" s="153" t="s">
        <v>75</v>
      </c>
      <c r="E27" s="154">
        <v>45405</v>
      </c>
      <c r="F27" s="153">
        <v>0.44305555555555554</v>
      </c>
      <c r="G27" s="152">
        <v>104.9</v>
      </c>
      <c r="H27" s="155">
        <v>1</v>
      </c>
      <c r="I27" s="152">
        <v>203.9</v>
      </c>
      <c r="J27" s="152">
        <v>203.7</v>
      </c>
      <c r="K27" s="152" t="s">
        <v>230</v>
      </c>
      <c r="L27" s="155" t="s">
        <v>318</v>
      </c>
      <c r="M27" s="156" t="s">
        <v>13</v>
      </c>
      <c r="N27" s="152">
        <f t="shared" si="0"/>
        <v>98.799999999999983</v>
      </c>
      <c r="O27" s="157" t="s">
        <v>12</v>
      </c>
      <c r="P27" s="157" t="s">
        <v>270</v>
      </c>
      <c r="Q27" s="158"/>
      <c r="R27" s="159"/>
      <c r="S27" s="63"/>
      <c r="T27" s="63"/>
      <c r="U27" s="63"/>
      <c r="V27" s="63"/>
      <c r="W27" s="63"/>
      <c r="X27" s="63"/>
      <c r="Y27" s="63"/>
      <c r="Z27" s="63"/>
      <c r="AA27" s="63"/>
      <c r="AB27" s="63"/>
    </row>
    <row r="28" spans="1:28" ht="15.75" customHeight="1">
      <c r="A28" s="152" t="s">
        <v>319</v>
      </c>
      <c r="B28" s="152" t="s">
        <v>75</v>
      </c>
      <c r="C28" s="154">
        <v>45405</v>
      </c>
      <c r="D28" s="153">
        <v>0.47361111111111109</v>
      </c>
      <c r="E28" s="154">
        <v>45405</v>
      </c>
      <c r="F28" s="153">
        <v>0.62569444444444444</v>
      </c>
      <c r="G28" s="170">
        <v>106</v>
      </c>
      <c r="H28" s="155">
        <v>1</v>
      </c>
      <c r="I28" s="170">
        <v>112.2</v>
      </c>
      <c r="J28" s="170">
        <v>112.1</v>
      </c>
      <c r="K28" s="152" t="s">
        <v>230</v>
      </c>
      <c r="L28" s="155" t="s">
        <v>320</v>
      </c>
      <c r="M28" s="156" t="s">
        <v>13</v>
      </c>
      <c r="N28" s="152">
        <f t="shared" si="0"/>
        <v>6.0999999999999943</v>
      </c>
      <c r="O28" s="157" t="s">
        <v>12</v>
      </c>
      <c r="P28" s="157" t="s">
        <v>270</v>
      </c>
      <c r="Q28" s="171"/>
      <c r="R28" s="159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spans="1:28" ht="15.75" customHeight="1">
      <c r="A29" s="152" t="s">
        <v>321</v>
      </c>
      <c r="B29" s="152" t="s">
        <v>75</v>
      </c>
      <c r="C29" s="154">
        <v>45405</v>
      </c>
      <c r="D29" s="167">
        <v>0.49305555555555558</v>
      </c>
      <c r="E29" s="154">
        <v>45405</v>
      </c>
      <c r="F29" s="153">
        <v>0.62291666666666667</v>
      </c>
      <c r="G29" s="175">
        <v>105</v>
      </c>
      <c r="H29" s="155">
        <v>1</v>
      </c>
      <c r="I29" s="176">
        <v>110.6</v>
      </c>
      <c r="J29" s="177">
        <v>110.4</v>
      </c>
      <c r="K29" s="152" t="s">
        <v>230</v>
      </c>
      <c r="L29" s="155" t="s">
        <v>322</v>
      </c>
      <c r="M29" s="156" t="s">
        <v>13</v>
      </c>
      <c r="N29" s="152">
        <f t="shared" si="0"/>
        <v>5.4000000000000057</v>
      </c>
      <c r="O29" s="157" t="s">
        <v>12</v>
      </c>
      <c r="P29" s="157" t="s">
        <v>270</v>
      </c>
      <c r="Q29" s="178"/>
      <c r="R29" s="15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spans="1:28" ht="15.75" customHeight="1">
      <c r="A30" s="180" t="s">
        <v>323</v>
      </c>
      <c r="B30" s="152" t="s">
        <v>75</v>
      </c>
      <c r="C30" s="154">
        <v>45405</v>
      </c>
      <c r="D30" s="181">
        <v>0.51249999999999996</v>
      </c>
      <c r="E30" s="154">
        <v>45405</v>
      </c>
      <c r="F30" s="182">
        <v>0.62916666666666665</v>
      </c>
      <c r="G30" s="183">
        <v>104.3</v>
      </c>
      <c r="H30" s="155">
        <v>1</v>
      </c>
      <c r="I30" s="184">
        <v>110.3</v>
      </c>
      <c r="J30" s="183">
        <v>110.3</v>
      </c>
      <c r="K30" s="152" t="s">
        <v>230</v>
      </c>
      <c r="L30" s="185" t="s">
        <v>324</v>
      </c>
      <c r="M30" s="156" t="s">
        <v>13</v>
      </c>
      <c r="N30" s="152">
        <f t="shared" si="0"/>
        <v>6</v>
      </c>
      <c r="O30" s="157" t="s">
        <v>12</v>
      </c>
      <c r="P30" s="157" t="s">
        <v>270</v>
      </c>
      <c r="Q30" s="186"/>
      <c r="R30" s="187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spans="1:28" ht="15.75" customHeight="1">
      <c r="A31" s="180" t="s">
        <v>325</v>
      </c>
      <c r="B31" s="152" t="s">
        <v>75</v>
      </c>
      <c r="C31" s="188">
        <v>45407</v>
      </c>
      <c r="D31" s="153">
        <v>0.33194444444444443</v>
      </c>
      <c r="E31" s="154">
        <v>45408</v>
      </c>
      <c r="F31" s="153">
        <v>0.38611111111111113</v>
      </c>
      <c r="G31" s="177">
        <v>104.5</v>
      </c>
      <c r="H31" s="155">
        <v>1</v>
      </c>
      <c r="I31" s="176">
        <v>111.4</v>
      </c>
      <c r="J31" s="177">
        <v>111.1</v>
      </c>
      <c r="K31" s="152" t="s">
        <v>230</v>
      </c>
      <c r="L31" s="155" t="s">
        <v>326</v>
      </c>
      <c r="M31" s="156" t="s">
        <v>13</v>
      </c>
      <c r="N31" s="152">
        <f t="shared" si="0"/>
        <v>6.5999999999999943</v>
      </c>
      <c r="O31" s="157" t="s">
        <v>12</v>
      </c>
      <c r="P31" s="157" t="s">
        <v>270</v>
      </c>
      <c r="Q31" s="164"/>
      <c r="R31" s="159"/>
      <c r="S31" s="63"/>
      <c r="T31" s="63"/>
      <c r="U31" s="63"/>
      <c r="V31" s="63"/>
      <c r="W31" s="63"/>
      <c r="X31" s="63"/>
      <c r="Y31" s="63"/>
      <c r="Z31" s="63"/>
      <c r="AA31" s="63"/>
      <c r="AB31" s="63"/>
    </row>
    <row r="32" spans="1:28" ht="15.75" customHeight="1">
      <c r="A32" s="180" t="s">
        <v>327</v>
      </c>
      <c r="B32" s="152" t="s">
        <v>75</v>
      </c>
      <c r="C32" s="188">
        <v>45407</v>
      </c>
      <c r="D32" s="169">
        <v>0.36180555555555555</v>
      </c>
      <c r="E32" s="154">
        <v>45408</v>
      </c>
      <c r="F32" s="153">
        <v>0.39791666666666664</v>
      </c>
      <c r="G32" s="177">
        <v>105.1</v>
      </c>
      <c r="H32" s="155">
        <v>1</v>
      </c>
      <c r="I32" s="176">
        <v>111.9</v>
      </c>
      <c r="J32" s="177">
        <v>112</v>
      </c>
      <c r="K32" s="152" t="s">
        <v>230</v>
      </c>
      <c r="L32" s="155" t="s">
        <v>328</v>
      </c>
      <c r="M32" s="156" t="s">
        <v>13</v>
      </c>
      <c r="N32" s="152">
        <f t="shared" si="0"/>
        <v>6.9000000000000057</v>
      </c>
      <c r="O32" s="157" t="s">
        <v>12</v>
      </c>
      <c r="P32" s="157" t="s">
        <v>270</v>
      </c>
      <c r="Q32" s="178"/>
      <c r="R32" s="15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spans="1:28" ht="15.75" customHeight="1">
      <c r="A33" s="180" t="s">
        <v>329</v>
      </c>
      <c r="B33" s="152" t="s">
        <v>75</v>
      </c>
      <c r="C33" s="188">
        <v>45407</v>
      </c>
      <c r="D33" s="169">
        <v>0.3888888888888889</v>
      </c>
      <c r="E33" s="154">
        <v>45408</v>
      </c>
      <c r="F33" s="153">
        <v>0.38750000000000001</v>
      </c>
      <c r="G33" s="177">
        <v>104.5</v>
      </c>
      <c r="H33" s="155">
        <v>1</v>
      </c>
      <c r="I33" s="176">
        <v>112.2</v>
      </c>
      <c r="J33" s="177">
        <v>112.5</v>
      </c>
      <c r="K33" s="152" t="s">
        <v>230</v>
      </c>
      <c r="L33" s="155" t="s">
        <v>330</v>
      </c>
      <c r="M33" s="156" t="s">
        <v>13</v>
      </c>
      <c r="N33" s="152">
        <f t="shared" si="0"/>
        <v>8</v>
      </c>
      <c r="O33" s="157" t="s">
        <v>12</v>
      </c>
      <c r="P33" s="157" t="s">
        <v>270</v>
      </c>
      <c r="Q33" s="178"/>
      <c r="R33" s="15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spans="1:28" ht="15.75" customHeight="1">
      <c r="A34" s="180" t="s">
        <v>331</v>
      </c>
      <c r="B34" s="152" t="s">
        <v>75</v>
      </c>
      <c r="C34" s="188">
        <v>45407</v>
      </c>
      <c r="D34" s="181">
        <v>0.43055555555555558</v>
      </c>
      <c r="E34" s="154">
        <v>45408</v>
      </c>
      <c r="F34" s="169">
        <v>0.39583333333333331</v>
      </c>
      <c r="G34" s="177">
        <v>104.8</v>
      </c>
      <c r="H34" s="155">
        <v>1</v>
      </c>
      <c r="I34" s="176">
        <v>111.8</v>
      </c>
      <c r="J34" s="177">
        <v>111.2</v>
      </c>
      <c r="K34" s="152">
        <v>111.1</v>
      </c>
      <c r="L34" s="155" t="s">
        <v>332</v>
      </c>
      <c r="M34" s="156" t="s">
        <v>13</v>
      </c>
      <c r="N34" s="152">
        <f t="shared" si="0"/>
        <v>6.4000000000000057</v>
      </c>
      <c r="O34" s="157" t="s">
        <v>12</v>
      </c>
      <c r="P34" s="157" t="s">
        <v>270</v>
      </c>
      <c r="Q34" s="178"/>
      <c r="R34" s="15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spans="1:28" ht="15.75" customHeight="1">
      <c r="A35" s="180" t="s">
        <v>333</v>
      </c>
      <c r="B35" s="152" t="s">
        <v>75</v>
      </c>
      <c r="C35" s="188">
        <v>45407</v>
      </c>
      <c r="D35" s="181">
        <v>0.45069444444444445</v>
      </c>
      <c r="E35" s="154">
        <v>45408</v>
      </c>
      <c r="F35" s="169">
        <v>0.3840277777777778</v>
      </c>
      <c r="G35" s="177">
        <v>106.3</v>
      </c>
      <c r="H35" s="155">
        <v>1</v>
      </c>
      <c r="I35" s="176">
        <v>116</v>
      </c>
      <c r="J35" s="177">
        <v>115.9</v>
      </c>
      <c r="K35" s="152" t="s">
        <v>230</v>
      </c>
      <c r="L35" s="155" t="s">
        <v>334</v>
      </c>
      <c r="M35" s="156" t="s">
        <v>13</v>
      </c>
      <c r="N35" s="152">
        <f t="shared" si="0"/>
        <v>9.6000000000000085</v>
      </c>
      <c r="O35" s="157" t="s">
        <v>12</v>
      </c>
      <c r="P35" s="157" t="s">
        <v>270</v>
      </c>
      <c r="Q35" s="178"/>
      <c r="R35" s="15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spans="1:28" ht="15.75" customHeight="1">
      <c r="A36" s="180" t="s">
        <v>335</v>
      </c>
      <c r="B36" s="152" t="s">
        <v>75</v>
      </c>
      <c r="C36" s="188">
        <v>45407</v>
      </c>
      <c r="D36" s="181">
        <v>0.4777777777777778</v>
      </c>
      <c r="E36" s="154">
        <v>45408</v>
      </c>
      <c r="F36" s="169">
        <v>0.39374999999999999</v>
      </c>
      <c r="G36" s="177">
        <v>105</v>
      </c>
      <c r="H36" s="155">
        <v>1</v>
      </c>
      <c r="I36" s="176">
        <v>115.6</v>
      </c>
      <c r="J36" s="177">
        <v>114.6</v>
      </c>
      <c r="K36" s="152">
        <v>114.8</v>
      </c>
      <c r="L36" s="155" t="s">
        <v>336</v>
      </c>
      <c r="M36" s="156" t="s">
        <v>13</v>
      </c>
      <c r="N36" s="152">
        <f t="shared" si="0"/>
        <v>9.5999999999999943</v>
      </c>
      <c r="O36" s="157" t="s">
        <v>12</v>
      </c>
      <c r="P36" s="157" t="s">
        <v>270</v>
      </c>
      <c r="Q36" s="178"/>
      <c r="R36" s="15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spans="1:28" ht="15.75" customHeight="1">
      <c r="A37" s="180" t="s">
        <v>337</v>
      </c>
      <c r="B37" s="152" t="s">
        <v>75</v>
      </c>
      <c r="C37" s="188">
        <v>45407</v>
      </c>
      <c r="D37" s="181">
        <v>0.5</v>
      </c>
      <c r="E37" s="154">
        <v>45408</v>
      </c>
      <c r="F37" s="169">
        <v>0.4</v>
      </c>
      <c r="G37" s="177">
        <v>104.8</v>
      </c>
      <c r="H37" s="155">
        <v>1</v>
      </c>
      <c r="I37" s="176">
        <v>130.9</v>
      </c>
      <c r="J37" s="177">
        <v>130.4</v>
      </c>
      <c r="K37" s="152" t="s">
        <v>230</v>
      </c>
      <c r="L37" s="155" t="s">
        <v>338</v>
      </c>
      <c r="M37" s="156" t="s">
        <v>13</v>
      </c>
      <c r="N37" s="152">
        <f t="shared" si="0"/>
        <v>25.600000000000009</v>
      </c>
      <c r="O37" s="157" t="s">
        <v>12</v>
      </c>
      <c r="P37" s="157" t="s">
        <v>270</v>
      </c>
      <c r="Q37" s="178"/>
      <c r="R37" s="15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spans="1:28" ht="15.75" customHeight="1">
      <c r="A38" s="151" t="s">
        <v>81</v>
      </c>
      <c r="B38" s="152" t="s">
        <v>75</v>
      </c>
      <c r="C38" s="152" t="s">
        <v>75</v>
      </c>
      <c r="D38" s="152" t="s">
        <v>75</v>
      </c>
      <c r="E38" s="154">
        <v>45408</v>
      </c>
      <c r="F38" s="153">
        <v>0.40347222222222223</v>
      </c>
      <c r="G38" s="152">
        <v>105.2</v>
      </c>
      <c r="H38" s="155">
        <v>1</v>
      </c>
      <c r="I38" s="152">
        <v>106.9</v>
      </c>
      <c r="J38" s="152">
        <v>106.5</v>
      </c>
      <c r="K38" s="152">
        <v>106.7</v>
      </c>
      <c r="L38" s="155" t="s">
        <v>339</v>
      </c>
      <c r="M38" s="156" t="s">
        <v>13</v>
      </c>
      <c r="N38" s="152">
        <f t="shared" si="0"/>
        <v>1.2999999999999972</v>
      </c>
      <c r="O38" s="157" t="s">
        <v>12</v>
      </c>
      <c r="P38" s="157" t="s">
        <v>270</v>
      </c>
      <c r="Q38" s="178"/>
      <c r="R38" s="159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spans="1:28" ht="15.75" customHeight="1">
      <c r="A39" s="189" t="s">
        <v>271</v>
      </c>
      <c r="B39" s="190">
        <v>100.9</v>
      </c>
      <c r="C39" s="152" t="s">
        <v>75</v>
      </c>
      <c r="D39" s="152" t="s">
        <v>75</v>
      </c>
      <c r="E39" s="154">
        <v>45408</v>
      </c>
      <c r="F39" s="191">
        <v>0.40902777777777777</v>
      </c>
      <c r="G39" s="190">
        <v>105.5</v>
      </c>
      <c r="H39" s="155">
        <v>1</v>
      </c>
      <c r="I39" s="190">
        <v>204.8</v>
      </c>
      <c r="J39" s="190">
        <v>204.7</v>
      </c>
      <c r="K39" s="190">
        <v>204.7</v>
      </c>
      <c r="L39" s="155" t="s">
        <v>340</v>
      </c>
      <c r="M39" s="156" t="s">
        <v>13</v>
      </c>
      <c r="N39" s="152">
        <f t="shared" si="0"/>
        <v>99.199999999999989</v>
      </c>
      <c r="O39" s="157" t="s">
        <v>12</v>
      </c>
      <c r="P39" s="157" t="s">
        <v>270</v>
      </c>
      <c r="Q39" s="178"/>
      <c r="R39" s="159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spans="1:28" ht="15.75" customHeight="1">
      <c r="A40" s="180" t="s">
        <v>341</v>
      </c>
      <c r="B40" s="152" t="s">
        <v>75</v>
      </c>
      <c r="C40" s="188">
        <v>45407</v>
      </c>
      <c r="D40" s="192">
        <v>0.5131944444444444</v>
      </c>
      <c r="E40" s="154">
        <v>45408</v>
      </c>
      <c r="F40" s="169">
        <v>0.40138888888888891</v>
      </c>
      <c r="G40" s="177">
        <v>105</v>
      </c>
      <c r="H40" s="155">
        <v>1</v>
      </c>
      <c r="I40" s="176">
        <v>128.80000000000001</v>
      </c>
      <c r="J40" s="177">
        <v>128.69999999999999</v>
      </c>
      <c r="K40" s="152" t="s">
        <v>230</v>
      </c>
      <c r="L40" s="155" t="s">
        <v>342</v>
      </c>
      <c r="M40" s="156" t="s">
        <v>13</v>
      </c>
      <c r="N40" s="152">
        <f t="shared" si="0"/>
        <v>23.699999999999989</v>
      </c>
      <c r="O40" s="157" t="s">
        <v>12</v>
      </c>
      <c r="P40" s="157" t="s">
        <v>270</v>
      </c>
      <c r="Q40" s="178" t="s">
        <v>343</v>
      </c>
      <c r="R40" s="15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spans="1:28" ht="15.75" customHeight="1">
      <c r="A41" s="180" t="s">
        <v>344</v>
      </c>
      <c r="B41" s="152" t="s">
        <v>75</v>
      </c>
      <c r="C41" s="188">
        <v>45407</v>
      </c>
      <c r="D41" s="192">
        <v>0.40833333333333333</v>
      </c>
      <c r="E41" s="154">
        <v>45408</v>
      </c>
      <c r="F41" s="193">
        <v>0.89097222222222228</v>
      </c>
      <c r="G41" s="194">
        <v>103.8</v>
      </c>
      <c r="H41" s="155">
        <v>1</v>
      </c>
      <c r="I41" s="174">
        <v>110.5</v>
      </c>
      <c r="J41" s="174">
        <v>110.3</v>
      </c>
      <c r="K41" s="152" t="s">
        <v>230</v>
      </c>
      <c r="L41" s="155" t="s">
        <v>345</v>
      </c>
      <c r="M41" s="156" t="s">
        <v>13</v>
      </c>
      <c r="N41" s="152">
        <f t="shared" si="0"/>
        <v>6.5</v>
      </c>
      <c r="O41" s="157" t="s">
        <v>12</v>
      </c>
      <c r="P41" s="157" t="s">
        <v>270</v>
      </c>
      <c r="Q41" s="178"/>
      <c r="R41" s="15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spans="1:28" ht="15.75" customHeight="1">
      <c r="A42" s="180" t="s">
        <v>346</v>
      </c>
      <c r="B42" s="152" t="s">
        <v>75</v>
      </c>
      <c r="C42" s="154">
        <v>45415</v>
      </c>
      <c r="D42" s="153">
        <v>0.2986111111111111</v>
      </c>
      <c r="E42" s="154">
        <v>45415</v>
      </c>
      <c r="F42" s="195">
        <v>0.68263888888888891</v>
      </c>
      <c r="G42" s="174">
        <v>104.1</v>
      </c>
      <c r="H42" s="155">
        <v>1</v>
      </c>
      <c r="I42" s="174">
        <v>108.5</v>
      </c>
      <c r="J42" s="174">
        <v>108.5</v>
      </c>
      <c r="K42" s="152" t="s">
        <v>230</v>
      </c>
      <c r="L42" s="155" t="s">
        <v>347</v>
      </c>
      <c r="M42" s="156" t="s">
        <v>13</v>
      </c>
      <c r="N42" s="152">
        <f t="shared" si="0"/>
        <v>4.4000000000000057</v>
      </c>
      <c r="O42" s="157" t="s">
        <v>12</v>
      </c>
      <c r="P42" s="157" t="s">
        <v>270</v>
      </c>
      <c r="Q42" s="178"/>
      <c r="R42" s="15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spans="1:28" ht="15.75" customHeight="1">
      <c r="A43" s="180" t="s">
        <v>348</v>
      </c>
      <c r="B43" s="152" t="s">
        <v>75</v>
      </c>
      <c r="C43" s="154">
        <v>45415</v>
      </c>
      <c r="D43" s="153">
        <v>0.32013888888888886</v>
      </c>
      <c r="E43" s="154">
        <v>45415</v>
      </c>
      <c r="F43" s="153">
        <v>0.68680555555555556</v>
      </c>
      <c r="G43" s="174">
        <v>106</v>
      </c>
      <c r="H43" s="155">
        <v>1</v>
      </c>
      <c r="I43" s="174">
        <v>111.2</v>
      </c>
      <c r="J43" s="174">
        <v>111.4</v>
      </c>
      <c r="K43" s="152" t="s">
        <v>230</v>
      </c>
      <c r="L43" s="155" t="s">
        <v>349</v>
      </c>
      <c r="M43" s="156" t="s">
        <v>13</v>
      </c>
      <c r="N43" s="152">
        <f t="shared" si="0"/>
        <v>5.4000000000000057</v>
      </c>
      <c r="O43" s="157" t="s">
        <v>12</v>
      </c>
      <c r="P43" s="157" t="s">
        <v>270</v>
      </c>
      <c r="Q43" s="178"/>
      <c r="R43" s="15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spans="1:28" ht="15.75" customHeight="1">
      <c r="A44" s="180" t="s">
        <v>350</v>
      </c>
      <c r="B44" s="152" t="s">
        <v>75</v>
      </c>
      <c r="C44" s="154">
        <v>45415</v>
      </c>
      <c r="D44" s="153">
        <v>0.41875000000000001</v>
      </c>
      <c r="E44" s="154">
        <v>45415</v>
      </c>
      <c r="F44" s="153">
        <v>0.68055555555555558</v>
      </c>
      <c r="G44" s="152">
        <v>105.5</v>
      </c>
      <c r="H44" s="155">
        <v>1</v>
      </c>
      <c r="I44" s="152">
        <v>110.9</v>
      </c>
      <c r="J44" s="152">
        <v>110.6</v>
      </c>
      <c r="K44" s="152" t="s">
        <v>230</v>
      </c>
      <c r="L44" s="155" t="s">
        <v>351</v>
      </c>
      <c r="M44" s="156" t="s">
        <v>13</v>
      </c>
      <c r="N44" s="152">
        <f t="shared" si="0"/>
        <v>5.0999999999999943</v>
      </c>
      <c r="O44" s="157" t="s">
        <v>12</v>
      </c>
      <c r="P44" s="157" t="s">
        <v>270</v>
      </c>
      <c r="Q44" s="178"/>
      <c r="R44" s="159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spans="1:28" ht="15.75" customHeight="1">
      <c r="A45" s="180" t="s">
        <v>352</v>
      </c>
      <c r="B45" s="152" t="s">
        <v>75</v>
      </c>
      <c r="C45" s="154">
        <v>45415</v>
      </c>
      <c r="D45" s="153">
        <v>0.43402777777777779</v>
      </c>
      <c r="E45" s="154">
        <v>45415</v>
      </c>
      <c r="F45" s="153">
        <v>0.68541666666666667</v>
      </c>
      <c r="G45" s="152">
        <v>104.8</v>
      </c>
      <c r="H45" s="155">
        <v>1</v>
      </c>
      <c r="I45" s="152">
        <v>108.2</v>
      </c>
      <c r="J45" s="152">
        <v>108.2</v>
      </c>
      <c r="K45" s="152" t="s">
        <v>230</v>
      </c>
      <c r="L45" s="155" t="s">
        <v>353</v>
      </c>
      <c r="M45" s="156" t="s">
        <v>13</v>
      </c>
      <c r="N45" s="152">
        <f t="shared" si="0"/>
        <v>3.4000000000000057</v>
      </c>
      <c r="O45" s="157" t="s">
        <v>12</v>
      </c>
      <c r="P45" s="157" t="s">
        <v>270</v>
      </c>
      <c r="Q45" s="178"/>
      <c r="R45" s="159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spans="1:28" ht="15.75" customHeight="1">
      <c r="A46" s="180" t="s">
        <v>354</v>
      </c>
      <c r="B46" s="152" t="s">
        <v>75</v>
      </c>
      <c r="C46" s="154">
        <v>45416</v>
      </c>
      <c r="D46" s="153">
        <v>0.36736111111111114</v>
      </c>
      <c r="E46" s="154">
        <v>45417</v>
      </c>
      <c r="F46" s="153">
        <v>0.71805555555555556</v>
      </c>
      <c r="G46" s="152">
        <v>105</v>
      </c>
      <c r="H46" s="155">
        <v>1</v>
      </c>
      <c r="I46" s="152">
        <v>107.9</v>
      </c>
      <c r="J46" s="152">
        <v>108</v>
      </c>
      <c r="K46" s="152" t="s">
        <v>230</v>
      </c>
      <c r="L46" s="155" t="s">
        <v>355</v>
      </c>
      <c r="M46" s="156" t="s">
        <v>53</v>
      </c>
      <c r="N46" s="152">
        <f t="shared" si="0"/>
        <v>3</v>
      </c>
      <c r="O46" s="157" t="s">
        <v>12</v>
      </c>
      <c r="P46" s="157" t="s">
        <v>270</v>
      </c>
      <c r="Q46" s="178"/>
      <c r="R46" s="159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spans="1:28" ht="15.75" customHeight="1">
      <c r="A47" s="180" t="s">
        <v>356</v>
      </c>
      <c r="B47" s="152" t="s">
        <v>75</v>
      </c>
      <c r="C47" s="154">
        <v>45416</v>
      </c>
      <c r="D47" s="153">
        <v>0.44861111111111113</v>
      </c>
      <c r="E47" s="154">
        <v>45417</v>
      </c>
      <c r="F47" s="153">
        <v>0.71944444444444444</v>
      </c>
      <c r="G47" s="152">
        <v>105.2</v>
      </c>
      <c r="H47" s="155">
        <v>1</v>
      </c>
      <c r="I47" s="152">
        <v>107.5</v>
      </c>
      <c r="J47" s="152">
        <v>107.6</v>
      </c>
      <c r="K47" s="152" t="s">
        <v>230</v>
      </c>
      <c r="L47" s="155" t="s">
        <v>357</v>
      </c>
      <c r="M47" s="156" t="s">
        <v>53</v>
      </c>
      <c r="N47" s="152">
        <f t="shared" si="0"/>
        <v>2.3999999999999915</v>
      </c>
      <c r="O47" s="157" t="s">
        <v>12</v>
      </c>
      <c r="P47" s="157" t="s">
        <v>270</v>
      </c>
      <c r="Q47" s="178"/>
      <c r="R47" s="159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spans="1:28" ht="15.75" customHeight="1">
      <c r="A48" s="180" t="s">
        <v>358</v>
      </c>
      <c r="B48" s="152" t="s">
        <v>75</v>
      </c>
      <c r="C48" s="154">
        <v>45416</v>
      </c>
      <c r="D48" s="153">
        <v>0.47986111111111113</v>
      </c>
      <c r="E48" s="154">
        <v>45417</v>
      </c>
      <c r="F48" s="153">
        <v>0.72430555555555554</v>
      </c>
      <c r="G48" s="152">
        <v>105.1</v>
      </c>
      <c r="H48" s="155">
        <v>1</v>
      </c>
      <c r="I48" s="152">
        <v>114</v>
      </c>
      <c r="J48" s="152">
        <v>114.2</v>
      </c>
      <c r="K48" s="152" t="s">
        <v>230</v>
      </c>
      <c r="L48" s="155" t="s">
        <v>359</v>
      </c>
      <c r="M48" s="156" t="s">
        <v>53</v>
      </c>
      <c r="N48" s="152">
        <f t="shared" si="0"/>
        <v>9.1000000000000085</v>
      </c>
      <c r="O48" s="157" t="s">
        <v>12</v>
      </c>
      <c r="P48" s="157" t="s">
        <v>270</v>
      </c>
      <c r="Q48" s="178"/>
      <c r="R48" s="159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spans="1:28" ht="15.75" customHeight="1">
      <c r="A49" s="180" t="s">
        <v>360</v>
      </c>
      <c r="B49" s="152" t="s">
        <v>75</v>
      </c>
      <c r="C49" s="154">
        <v>45416</v>
      </c>
      <c r="D49" s="153">
        <v>0.53125</v>
      </c>
      <c r="E49" s="154">
        <v>45417</v>
      </c>
      <c r="F49" s="153">
        <v>0.72638888888888886</v>
      </c>
      <c r="G49" s="152">
        <v>104.5</v>
      </c>
      <c r="H49" s="155">
        <v>1</v>
      </c>
      <c r="I49" s="152">
        <v>107.4</v>
      </c>
      <c r="J49" s="152">
        <v>107.5</v>
      </c>
      <c r="K49" s="152" t="s">
        <v>230</v>
      </c>
      <c r="L49" s="155" t="s">
        <v>361</v>
      </c>
      <c r="M49" s="156" t="s">
        <v>53</v>
      </c>
      <c r="N49" s="152">
        <f t="shared" si="0"/>
        <v>3</v>
      </c>
      <c r="O49" s="157" t="s">
        <v>12</v>
      </c>
      <c r="P49" s="157" t="s">
        <v>270</v>
      </c>
      <c r="Q49" s="178"/>
      <c r="R49" s="159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spans="1:28" ht="15.75" customHeight="1">
      <c r="A50" s="151" t="s">
        <v>81</v>
      </c>
      <c r="B50" s="152" t="s">
        <v>75</v>
      </c>
      <c r="C50" s="190" t="s">
        <v>75</v>
      </c>
      <c r="D50" s="191" t="s">
        <v>75</v>
      </c>
      <c r="E50" s="154">
        <v>45417</v>
      </c>
      <c r="F50" s="191">
        <v>0.69861111111111107</v>
      </c>
      <c r="G50" s="190">
        <v>104.8</v>
      </c>
      <c r="H50" s="155">
        <v>1</v>
      </c>
      <c r="I50" s="177">
        <v>105</v>
      </c>
      <c r="J50" s="177">
        <v>105</v>
      </c>
      <c r="K50" s="152" t="s">
        <v>230</v>
      </c>
      <c r="L50" s="155" t="s">
        <v>362</v>
      </c>
      <c r="M50" s="156" t="s">
        <v>53</v>
      </c>
      <c r="N50" s="152">
        <f t="shared" si="0"/>
        <v>0.20000000000000284</v>
      </c>
      <c r="O50" s="157" t="s">
        <v>12</v>
      </c>
      <c r="P50" s="157" t="s">
        <v>270</v>
      </c>
      <c r="Q50" s="178"/>
      <c r="R50" s="159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spans="1:28" ht="15.75" customHeight="1">
      <c r="A51" s="162" t="s">
        <v>271</v>
      </c>
      <c r="B51" s="152">
        <v>100.6</v>
      </c>
      <c r="C51" s="190" t="s">
        <v>75</v>
      </c>
      <c r="D51" s="191" t="s">
        <v>75</v>
      </c>
      <c r="E51" s="154">
        <v>45417</v>
      </c>
      <c r="F51" s="169">
        <v>0.70833333333333337</v>
      </c>
      <c r="G51" s="177">
        <v>104.3</v>
      </c>
      <c r="H51" s="155">
        <v>1</v>
      </c>
      <c r="I51" s="190">
        <v>201.8</v>
      </c>
      <c r="J51" s="190">
        <v>201.9</v>
      </c>
      <c r="K51" s="190">
        <v>201.8</v>
      </c>
      <c r="L51" s="155" t="s">
        <v>363</v>
      </c>
      <c r="M51" s="156" t="s">
        <v>53</v>
      </c>
      <c r="N51" s="152">
        <f t="shared" si="0"/>
        <v>97.600000000000009</v>
      </c>
      <c r="O51" s="157" t="s">
        <v>12</v>
      </c>
      <c r="P51" s="157" t="s">
        <v>270</v>
      </c>
      <c r="Q51" s="178"/>
      <c r="R51" s="159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spans="1:28" ht="15.75" customHeight="1">
      <c r="A52" s="180" t="s">
        <v>364</v>
      </c>
      <c r="B52" s="152" t="s">
        <v>75</v>
      </c>
      <c r="C52" s="196">
        <v>45417</v>
      </c>
      <c r="D52" s="191">
        <v>0.2951388888888889</v>
      </c>
      <c r="E52" s="154">
        <v>45417</v>
      </c>
      <c r="F52" s="191">
        <v>0.76875000000000004</v>
      </c>
      <c r="G52" s="190">
        <v>105.7</v>
      </c>
      <c r="H52" s="155">
        <v>1</v>
      </c>
      <c r="I52" s="190">
        <v>112.9</v>
      </c>
      <c r="J52" s="190">
        <v>112.6</v>
      </c>
      <c r="K52" s="152" t="s">
        <v>230</v>
      </c>
      <c r="L52" s="155" t="s">
        <v>365</v>
      </c>
      <c r="M52" s="156" t="s">
        <v>53</v>
      </c>
      <c r="N52" s="152">
        <f t="shared" si="0"/>
        <v>6.8999999999999915</v>
      </c>
      <c r="O52" s="157" t="s">
        <v>12</v>
      </c>
      <c r="P52" s="157" t="s">
        <v>270</v>
      </c>
      <c r="Q52" s="178"/>
      <c r="R52" s="159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spans="1:28" ht="15.75" customHeight="1">
      <c r="A53" s="180" t="s">
        <v>366</v>
      </c>
      <c r="B53" s="152" t="s">
        <v>75</v>
      </c>
      <c r="C53" s="196">
        <v>45417</v>
      </c>
      <c r="D53" s="153">
        <v>0.33124999999999999</v>
      </c>
      <c r="E53" s="154">
        <v>45417</v>
      </c>
      <c r="F53" s="153">
        <v>0.77083333333333337</v>
      </c>
      <c r="G53" s="152">
        <v>105.8</v>
      </c>
      <c r="H53" s="155">
        <v>1</v>
      </c>
      <c r="I53" s="152">
        <v>111.8</v>
      </c>
      <c r="J53" s="152">
        <v>111.6</v>
      </c>
      <c r="K53" s="152" t="s">
        <v>230</v>
      </c>
      <c r="L53" s="155" t="s">
        <v>367</v>
      </c>
      <c r="M53" s="156" t="s">
        <v>53</v>
      </c>
      <c r="N53" s="152">
        <f t="shared" si="0"/>
        <v>5.7999999999999972</v>
      </c>
      <c r="O53" s="157" t="s">
        <v>12</v>
      </c>
      <c r="P53" s="157" t="s">
        <v>270</v>
      </c>
      <c r="Q53" s="178"/>
      <c r="R53" s="159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spans="1:28" ht="15.75" customHeight="1">
      <c r="A54" s="180" t="s">
        <v>368</v>
      </c>
      <c r="B54" s="152" t="s">
        <v>75</v>
      </c>
      <c r="C54" s="196">
        <v>45417</v>
      </c>
      <c r="D54" s="153">
        <v>0.35069444444444442</v>
      </c>
      <c r="E54" s="154">
        <v>45417</v>
      </c>
      <c r="F54" s="153">
        <v>0.77222222222222225</v>
      </c>
      <c r="G54" s="152">
        <v>103.9</v>
      </c>
      <c r="H54" s="155">
        <v>1</v>
      </c>
      <c r="I54" s="197">
        <v>107.9</v>
      </c>
      <c r="J54" s="152">
        <v>108</v>
      </c>
      <c r="K54" s="152">
        <v>108.1</v>
      </c>
      <c r="L54" s="155" t="s">
        <v>369</v>
      </c>
      <c r="M54" s="156" t="s">
        <v>53</v>
      </c>
      <c r="N54" s="152">
        <f t="shared" si="0"/>
        <v>4.0999999999999943</v>
      </c>
      <c r="O54" s="157" t="s">
        <v>12</v>
      </c>
      <c r="P54" s="157" t="s">
        <v>270</v>
      </c>
      <c r="Q54" s="178"/>
      <c r="R54" s="159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28" ht="15.75" customHeight="1">
      <c r="A55" s="180" t="s">
        <v>370</v>
      </c>
      <c r="B55" s="152" t="s">
        <v>75</v>
      </c>
      <c r="C55" s="196">
        <v>45417</v>
      </c>
      <c r="D55" s="153">
        <v>0.39444444444444443</v>
      </c>
      <c r="E55" s="154">
        <v>45417</v>
      </c>
      <c r="F55" s="153">
        <v>0.78333333333333333</v>
      </c>
      <c r="G55" s="152">
        <v>104.7</v>
      </c>
      <c r="H55" s="155">
        <v>1</v>
      </c>
      <c r="I55" s="152">
        <v>107.9</v>
      </c>
      <c r="J55" s="152">
        <v>107.1</v>
      </c>
      <c r="K55" s="190">
        <v>107.1</v>
      </c>
      <c r="L55" s="155" t="s">
        <v>371</v>
      </c>
      <c r="M55" s="156" t="s">
        <v>53</v>
      </c>
      <c r="N55" s="152">
        <f t="shared" si="0"/>
        <v>2.3999999999999915</v>
      </c>
      <c r="O55" s="157" t="s">
        <v>12</v>
      </c>
      <c r="P55" s="157" t="s">
        <v>270</v>
      </c>
      <c r="Q55" s="178"/>
      <c r="R55" s="159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spans="1:28" ht="15.75" customHeight="1">
      <c r="A56" s="180" t="s">
        <v>372</v>
      </c>
      <c r="B56" s="152" t="s">
        <v>75</v>
      </c>
      <c r="C56" s="196">
        <v>45417</v>
      </c>
      <c r="D56" s="153">
        <v>0.40555555555555556</v>
      </c>
      <c r="E56" s="154">
        <v>45417</v>
      </c>
      <c r="F56" s="153">
        <v>0.78472222222222221</v>
      </c>
      <c r="G56" s="152">
        <v>104.8</v>
      </c>
      <c r="H56" s="155">
        <v>1</v>
      </c>
      <c r="I56" s="152">
        <v>109.4</v>
      </c>
      <c r="J56" s="152">
        <v>109.4</v>
      </c>
      <c r="K56" s="190">
        <v>109.1</v>
      </c>
      <c r="L56" s="155" t="s">
        <v>373</v>
      </c>
      <c r="M56" s="156" t="s">
        <v>53</v>
      </c>
      <c r="N56" s="152">
        <f t="shared" si="0"/>
        <v>4.6000000000000085</v>
      </c>
      <c r="O56" s="157" t="s">
        <v>12</v>
      </c>
      <c r="P56" s="157" t="s">
        <v>270</v>
      </c>
      <c r="Q56" s="178"/>
      <c r="R56" s="159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spans="1:28" ht="15.75" customHeight="1">
      <c r="A57" s="180" t="s">
        <v>374</v>
      </c>
      <c r="B57" s="152" t="s">
        <v>75</v>
      </c>
      <c r="C57" s="196">
        <v>45417</v>
      </c>
      <c r="D57" s="198">
        <v>0.42986111111111114</v>
      </c>
      <c r="E57" s="154">
        <v>45417</v>
      </c>
      <c r="F57" s="153">
        <v>0.78611111111111109</v>
      </c>
      <c r="G57" s="152">
        <v>104.5</v>
      </c>
      <c r="H57" s="155">
        <v>1</v>
      </c>
      <c r="I57" s="152">
        <v>107.6</v>
      </c>
      <c r="J57" s="152">
        <v>107.6</v>
      </c>
      <c r="K57" s="152">
        <v>107.5</v>
      </c>
      <c r="L57" s="155" t="s">
        <v>375</v>
      </c>
      <c r="M57" s="156" t="s">
        <v>53</v>
      </c>
      <c r="N57" s="152">
        <f t="shared" si="0"/>
        <v>3.0999999999999943</v>
      </c>
      <c r="O57" s="157" t="s">
        <v>12</v>
      </c>
      <c r="P57" s="157" t="s">
        <v>270</v>
      </c>
      <c r="Q57" s="178"/>
      <c r="R57" s="159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spans="1:28" ht="15.75" customHeight="1">
      <c r="A58" s="180" t="s">
        <v>376</v>
      </c>
      <c r="B58" s="152" t="s">
        <v>75</v>
      </c>
      <c r="C58" s="196">
        <v>45417</v>
      </c>
      <c r="D58" s="199">
        <v>0.45624999999999999</v>
      </c>
      <c r="E58" s="154">
        <v>45417</v>
      </c>
      <c r="F58" s="153">
        <v>0.78749999999999998</v>
      </c>
      <c r="G58" s="152">
        <v>106.5</v>
      </c>
      <c r="H58" s="155">
        <v>1</v>
      </c>
      <c r="I58" s="170">
        <v>112</v>
      </c>
      <c r="J58" s="170">
        <v>112</v>
      </c>
      <c r="K58" s="152">
        <v>111.9</v>
      </c>
      <c r="L58" s="155" t="s">
        <v>377</v>
      </c>
      <c r="M58" s="156" t="s">
        <v>53</v>
      </c>
      <c r="N58" s="152">
        <f t="shared" si="0"/>
        <v>5.5</v>
      </c>
      <c r="O58" s="157" t="s">
        <v>12</v>
      </c>
      <c r="P58" s="157" t="s">
        <v>270</v>
      </c>
      <c r="Q58" s="178"/>
      <c r="R58" s="159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spans="1:28" ht="15.75" customHeight="1">
      <c r="A59" s="200"/>
      <c r="B59" s="74"/>
      <c r="C59" s="201"/>
      <c r="D59" s="73"/>
      <c r="E59" s="72"/>
      <c r="F59" s="73"/>
      <c r="G59" s="74"/>
      <c r="H59" s="202"/>
      <c r="I59" s="74"/>
      <c r="J59" s="74"/>
      <c r="K59" s="74"/>
      <c r="L59" s="75"/>
      <c r="M59" s="75"/>
      <c r="N59" s="74"/>
      <c r="O59" s="203"/>
      <c r="P59" s="20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spans="1:28" ht="15.75" customHeight="1">
      <c r="A60" s="200"/>
      <c r="B60" s="204"/>
      <c r="C60" s="205"/>
      <c r="D60" s="73"/>
      <c r="E60" s="72"/>
      <c r="F60" s="73"/>
      <c r="G60" s="74"/>
      <c r="H60" s="202"/>
      <c r="I60" s="74"/>
      <c r="J60" s="74"/>
      <c r="K60" s="74"/>
      <c r="L60" s="75"/>
      <c r="M60" s="75"/>
      <c r="N60" s="74"/>
      <c r="O60" s="203"/>
      <c r="P60" s="20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spans="1:28" ht="15.75" customHeight="1">
      <c r="A61" s="200"/>
      <c r="B61" s="204"/>
      <c r="C61" s="205"/>
      <c r="D61" s="73"/>
      <c r="E61" s="72"/>
      <c r="F61" s="73"/>
      <c r="G61" s="74"/>
      <c r="H61" s="202"/>
      <c r="I61" s="74"/>
      <c r="J61" s="74"/>
      <c r="K61" s="74"/>
      <c r="L61" s="75"/>
      <c r="M61" s="75"/>
      <c r="N61" s="74"/>
      <c r="O61" s="203"/>
      <c r="P61" s="20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spans="1:28" ht="15.75" customHeight="1">
      <c r="A62" s="200"/>
      <c r="B62" s="204"/>
      <c r="C62" s="205"/>
      <c r="D62" s="73"/>
      <c r="E62" s="72"/>
      <c r="F62" s="73"/>
      <c r="G62" s="74"/>
      <c r="H62" s="202"/>
      <c r="I62" s="74"/>
      <c r="J62" s="74"/>
      <c r="K62" s="74"/>
      <c r="L62" s="75"/>
      <c r="M62" s="75"/>
      <c r="N62" s="74"/>
      <c r="O62" s="203"/>
      <c r="P62" s="20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spans="1:28" ht="15.75" customHeight="1">
      <c r="A63" s="200"/>
      <c r="B63" s="204"/>
      <c r="C63" s="205"/>
      <c r="D63" s="73"/>
      <c r="E63" s="72"/>
      <c r="F63" s="73"/>
      <c r="G63" s="74"/>
      <c r="H63" s="202"/>
      <c r="I63" s="74"/>
      <c r="J63" s="74"/>
      <c r="K63" s="74"/>
      <c r="L63" s="75"/>
      <c r="M63" s="75"/>
      <c r="N63" s="74"/>
      <c r="O63" s="203"/>
      <c r="P63" s="20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spans="1:28" ht="15.75" customHeight="1">
      <c r="A64" s="200"/>
      <c r="B64" s="204"/>
      <c r="C64" s="206"/>
      <c r="D64" s="73"/>
      <c r="E64" s="72"/>
      <c r="F64" s="73"/>
      <c r="G64" s="74"/>
      <c r="H64" s="202"/>
      <c r="I64" s="74"/>
      <c r="J64" s="74"/>
      <c r="K64" s="74"/>
      <c r="L64" s="75"/>
      <c r="M64" s="75"/>
      <c r="N64" s="74"/>
      <c r="O64" s="203"/>
      <c r="P64" s="20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spans="1:28" ht="15.75" customHeight="1">
      <c r="A65" s="200"/>
      <c r="B65" s="204"/>
      <c r="C65" s="206"/>
      <c r="D65" s="73"/>
      <c r="E65" s="72"/>
      <c r="F65" s="73"/>
      <c r="G65" s="74"/>
      <c r="H65" s="202"/>
      <c r="I65" s="74"/>
      <c r="J65" s="74"/>
      <c r="K65" s="74"/>
      <c r="L65" s="75"/>
      <c r="M65" s="75"/>
      <c r="N65" s="74"/>
      <c r="O65" s="203"/>
      <c r="P65" s="20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spans="1:28" ht="15.75" customHeight="1">
      <c r="A66" s="200"/>
      <c r="B66" s="204"/>
      <c r="C66" s="206"/>
      <c r="D66" s="73"/>
      <c r="E66" s="72"/>
      <c r="F66" s="73"/>
      <c r="G66" s="74"/>
      <c r="H66" s="202"/>
      <c r="I66" s="74"/>
      <c r="J66" s="74"/>
      <c r="K66" s="74"/>
      <c r="L66" s="75"/>
      <c r="M66" s="75"/>
      <c r="N66" s="74"/>
      <c r="O66" s="203"/>
      <c r="P66" s="20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spans="1:28" ht="15.75" customHeight="1">
      <c r="A67" s="200"/>
      <c r="B67" s="204"/>
      <c r="C67" s="206"/>
      <c r="D67" s="73"/>
      <c r="E67" s="72"/>
      <c r="F67" s="73"/>
      <c r="G67" s="74"/>
      <c r="H67" s="202"/>
      <c r="I67" s="74"/>
      <c r="J67" s="74"/>
      <c r="K67" s="74"/>
      <c r="L67" s="75"/>
      <c r="M67" s="75"/>
      <c r="N67" s="74"/>
      <c r="O67" s="203"/>
      <c r="P67" s="20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spans="1:28" ht="15.75" customHeight="1">
      <c r="A68" s="200"/>
      <c r="B68" s="204"/>
      <c r="C68" s="206"/>
      <c r="D68" s="73"/>
      <c r="E68" s="72"/>
      <c r="F68" s="73"/>
      <c r="G68" s="74"/>
      <c r="H68" s="202"/>
      <c r="I68" s="74"/>
      <c r="J68" s="74"/>
      <c r="K68" s="74"/>
      <c r="L68" s="75"/>
      <c r="M68" s="75"/>
      <c r="N68" s="74"/>
      <c r="O68" s="203"/>
      <c r="P68" s="20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spans="1:28" ht="15.75" customHeight="1">
      <c r="A69" s="200"/>
      <c r="B69" s="204"/>
      <c r="C69" s="206"/>
      <c r="D69" s="73"/>
      <c r="E69" s="72"/>
      <c r="F69" s="73"/>
      <c r="G69" s="74"/>
      <c r="H69" s="202"/>
      <c r="I69" s="74"/>
      <c r="J69" s="74"/>
      <c r="K69" s="74"/>
      <c r="L69" s="75"/>
      <c r="M69" s="75"/>
      <c r="N69" s="74"/>
      <c r="O69" s="203"/>
      <c r="P69" s="20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spans="1:28" ht="15.75" customHeight="1">
      <c r="A70" s="200"/>
      <c r="B70" s="207"/>
      <c r="C70" s="206"/>
      <c r="D70" s="73"/>
      <c r="E70" s="72"/>
      <c r="F70" s="73"/>
      <c r="G70" s="74"/>
      <c r="H70" s="202"/>
      <c r="I70" s="74"/>
      <c r="J70" s="74"/>
      <c r="K70" s="74"/>
      <c r="L70" s="75"/>
      <c r="M70" s="75"/>
      <c r="N70" s="74"/>
      <c r="O70" s="203"/>
      <c r="P70" s="20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spans="1:28" ht="15.75" customHeight="1">
      <c r="A71" s="200"/>
      <c r="B71" s="207"/>
      <c r="C71" s="206"/>
      <c r="D71" s="73"/>
      <c r="E71" s="72"/>
      <c r="F71" s="73"/>
      <c r="G71" s="74"/>
      <c r="H71" s="202"/>
      <c r="I71" s="74"/>
      <c r="J71" s="74"/>
      <c r="K71" s="74"/>
      <c r="L71" s="75"/>
      <c r="M71" s="75"/>
      <c r="N71" s="74"/>
      <c r="O71" s="203"/>
      <c r="P71" s="20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spans="1:28" ht="15.75" customHeight="1">
      <c r="A72" s="200"/>
      <c r="B72" s="207"/>
      <c r="C72" s="206"/>
      <c r="D72" s="73"/>
      <c r="E72" s="72"/>
      <c r="F72" s="73"/>
      <c r="G72" s="74"/>
      <c r="H72" s="202"/>
      <c r="I72" s="74"/>
      <c r="J72" s="74"/>
      <c r="K72" s="74"/>
      <c r="L72" s="75"/>
      <c r="M72" s="75"/>
      <c r="N72" s="74"/>
      <c r="O72" s="203"/>
      <c r="P72" s="20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spans="1:28" ht="15.75" customHeight="1">
      <c r="A73" s="200"/>
      <c r="B73" s="207"/>
      <c r="C73" s="206"/>
      <c r="D73" s="73"/>
      <c r="E73" s="72"/>
      <c r="F73" s="73"/>
      <c r="G73" s="74"/>
      <c r="H73" s="202"/>
      <c r="I73" s="74"/>
      <c r="J73" s="74"/>
      <c r="K73" s="74"/>
      <c r="L73" s="75"/>
      <c r="M73" s="75"/>
      <c r="N73" s="74"/>
      <c r="O73" s="203"/>
      <c r="P73" s="20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spans="1:28" ht="15.75" customHeight="1">
      <c r="A74" s="200"/>
      <c r="B74" s="74"/>
      <c r="C74" s="72"/>
      <c r="D74" s="73"/>
      <c r="E74" s="72"/>
      <c r="F74" s="73"/>
      <c r="G74" s="74"/>
      <c r="H74" s="202"/>
      <c r="I74" s="74"/>
      <c r="J74" s="74"/>
      <c r="K74" s="74"/>
      <c r="L74" s="75"/>
      <c r="M74" s="75"/>
      <c r="N74" s="74"/>
      <c r="O74" s="203"/>
      <c r="P74" s="20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spans="1:28" ht="15.75" customHeight="1">
      <c r="A75" s="200"/>
      <c r="B75" s="74"/>
      <c r="C75" s="72"/>
      <c r="D75" s="73"/>
      <c r="E75" s="72"/>
      <c r="F75" s="73"/>
      <c r="G75" s="74"/>
      <c r="H75" s="202"/>
      <c r="I75" s="74"/>
      <c r="J75" s="74"/>
      <c r="K75" s="74"/>
      <c r="L75" s="75"/>
      <c r="M75" s="75"/>
      <c r="N75" s="74"/>
      <c r="O75" s="203"/>
      <c r="P75" s="20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spans="1:28" ht="15.75" customHeight="1">
      <c r="A76" s="200"/>
      <c r="B76" s="74"/>
      <c r="C76" s="72"/>
      <c r="D76" s="73"/>
      <c r="E76" s="72"/>
      <c r="F76" s="73"/>
      <c r="G76" s="74"/>
      <c r="H76" s="202"/>
      <c r="I76" s="74"/>
      <c r="J76" s="74"/>
      <c r="K76" s="74"/>
      <c r="L76" s="75"/>
      <c r="M76" s="75"/>
      <c r="N76" s="74"/>
      <c r="O76" s="203"/>
      <c r="P76" s="20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spans="1:28" ht="15.75" customHeight="1">
      <c r="A77" s="200"/>
      <c r="B77" s="74"/>
      <c r="C77" s="72"/>
      <c r="D77" s="73"/>
      <c r="E77" s="72"/>
      <c r="F77" s="73"/>
      <c r="G77" s="74"/>
      <c r="H77" s="202"/>
      <c r="I77" s="74"/>
      <c r="J77" s="74"/>
      <c r="K77" s="74"/>
      <c r="L77" s="75"/>
      <c r="M77" s="75"/>
      <c r="N77" s="74"/>
      <c r="O77" s="203"/>
      <c r="P77" s="20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spans="1:28" ht="15.75" customHeight="1">
      <c r="A78" s="200"/>
      <c r="B78" s="74"/>
      <c r="C78" s="72"/>
      <c r="D78" s="73"/>
      <c r="E78" s="72"/>
      <c r="F78" s="73"/>
      <c r="G78" s="74"/>
      <c r="H78" s="202"/>
      <c r="I78" s="74"/>
      <c r="J78" s="74"/>
      <c r="K78" s="74"/>
      <c r="L78" s="75"/>
      <c r="M78" s="75"/>
      <c r="N78" s="74"/>
      <c r="O78" s="203"/>
      <c r="P78" s="20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spans="1:28" ht="15.75" customHeight="1">
      <c r="A79" s="200"/>
      <c r="B79" s="74"/>
      <c r="C79" s="72"/>
      <c r="D79" s="73"/>
      <c r="E79" s="72"/>
      <c r="F79" s="73"/>
      <c r="G79" s="74"/>
      <c r="H79" s="202"/>
      <c r="I79" s="74"/>
      <c r="J79" s="74"/>
      <c r="K79" s="74"/>
      <c r="L79" s="75"/>
      <c r="M79" s="75"/>
      <c r="N79" s="74"/>
      <c r="O79" s="203"/>
      <c r="P79" s="20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spans="1:28" ht="15.75" customHeight="1">
      <c r="A80" s="200"/>
      <c r="B80" s="74"/>
      <c r="C80" s="72"/>
      <c r="D80" s="73"/>
      <c r="E80" s="72"/>
      <c r="F80" s="73"/>
      <c r="G80" s="74"/>
      <c r="H80" s="202"/>
      <c r="I80" s="74"/>
      <c r="J80" s="74"/>
      <c r="K80" s="74"/>
      <c r="L80" s="75"/>
      <c r="M80" s="75"/>
      <c r="N80" s="74"/>
      <c r="O80" s="203"/>
      <c r="P80" s="20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spans="1:28" ht="15.75" customHeight="1">
      <c r="A81" s="200"/>
      <c r="B81" s="74"/>
      <c r="C81" s="72"/>
      <c r="D81" s="73"/>
      <c r="E81" s="72"/>
      <c r="F81" s="73"/>
      <c r="G81" s="74"/>
      <c r="H81" s="202"/>
      <c r="I81" s="74"/>
      <c r="J81" s="74"/>
      <c r="K81" s="74"/>
      <c r="L81" s="75"/>
      <c r="M81" s="75"/>
      <c r="N81" s="74"/>
      <c r="O81" s="203"/>
      <c r="P81" s="20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spans="1:28" ht="15.75" customHeight="1">
      <c r="A82" s="200"/>
      <c r="B82" s="74"/>
      <c r="C82" s="72"/>
      <c r="D82" s="73"/>
      <c r="E82" s="72"/>
      <c r="F82" s="73"/>
      <c r="G82" s="74"/>
      <c r="H82" s="202"/>
      <c r="I82" s="74"/>
      <c r="J82" s="74"/>
      <c r="K82" s="74"/>
      <c r="L82" s="75"/>
      <c r="M82" s="75"/>
      <c r="N82" s="74"/>
      <c r="O82" s="203"/>
      <c r="P82" s="20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spans="1:28" ht="15.75" customHeight="1">
      <c r="A83" s="200"/>
      <c r="B83" s="74"/>
      <c r="C83" s="72"/>
      <c r="D83" s="73"/>
      <c r="E83" s="72"/>
      <c r="F83" s="73"/>
      <c r="G83" s="74"/>
      <c r="H83" s="202"/>
      <c r="I83" s="74"/>
      <c r="J83" s="74"/>
      <c r="K83" s="74"/>
      <c r="L83" s="75"/>
      <c r="M83" s="75"/>
      <c r="N83" s="74"/>
      <c r="O83" s="203"/>
      <c r="P83" s="20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spans="1:28" ht="15.75" customHeight="1">
      <c r="A84" s="200"/>
      <c r="B84" s="74"/>
      <c r="C84" s="72"/>
      <c r="D84" s="73"/>
      <c r="E84" s="72"/>
      <c r="F84" s="73"/>
      <c r="G84" s="74"/>
      <c r="H84" s="202"/>
      <c r="I84" s="74"/>
      <c r="J84" s="74"/>
      <c r="K84" s="74"/>
      <c r="L84" s="75"/>
      <c r="M84" s="75"/>
      <c r="N84" s="74"/>
      <c r="O84" s="203"/>
      <c r="P84" s="20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spans="1:28" ht="15.75" customHeight="1">
      <c r="A85" s="200"/>
      <c r="B85" s="74"/>
      <c r="C85" s="72"/>
      <c r="D85" s="73"/>
      <c r="E85" s="72"/>
      <c r="F85" s="73"/>
      <c r="G85" s="74"/>
      <c r="H85" s="202"/>
      <c r="I85" s="74"/>
      <c r="J85" s="74"/>
      <c r="K85" s="74"/>
      <c r="L85" s="75"/>
      <c r="M85" s="75"/>
      <c r="N85" s="74"/>
      <c r="O85" s="203"/>
      <c r="P85" s="20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spans="1:28" ht="15.75" customHeight="1">
      <c r="A86" s="200"/>
      <c r="B86" s="74"/>
      <c r="C86" s="72"/>
      <c r="D86" s="73"/>
      <c r="E86" s="72"/>
      <c r="F86" s="73"/>
      <c r="G86" s="74"/>
      <c r="H86" s="202"/>
      <c r="I86" s="74"/>
      <c r="J86" s="74"/>
      <c r="K86" s="74"/>
      <c r="L86" s="75"/>
      <c r="M86" s="75"/>
      <c r="N86" s="74"/>
      <c r="O86" s="203"/>
      <c r="P86" s="20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spans="1:28" ht="15.75" customHeight="1">
      <c r="A87" s="200"/>
      <c r="B87" s="74"/>
      <c r="C87" s="72"/>
      <c r="D87" s="73"/>
      <c r="E87" s="72"/>
      <c r="F87" s="73"/>
      <c r="G87" s="74"/>
      <c r="H87" s="202"/>
      <c r="I87" s="74"/>
      <c r="J87" s="74"/>
      <c r="K87" s="74"/>
      <c r="L87" s="75"/>
      <c r="M87" s="75"/>
      <c r="N87" s="74"/>
      <c r="O87" s="203"/>
      <c r="P87" s="20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spans="1:28" ht="15.75" customHeight="1">
      <c r="A88" s="200"/>
      <c r="B88" s="74"/>
      <c r="C88" s="72"/>
      <c r="D88" s="73"/>
      <c r="E88" s="72"/>
      <c r="F88" s="73"/>
      <c r="G88" s="74"/>
      <c r="H88" s="202"/>
      <c r="I88" s="74"/>
      <c r="J88" s="74"/>
      <c r="K88" s="74"/>
      <c r="L88" s="75"/>
      <c r="M88" s="75"/>
      <c r="N88" s="74"/>
      <c r="O88" s="203"/>
      <c r="P88" s="20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spans="1:28" ht="15.75" customHeight="1">
      <c r="A89" s="200"/>
      <c r="B89" s="74"/>
      <c r="C89" s="72"/>
      <c r="D89" s="73"/>
      <c r="E89" s="72"/>
      <c r="F89" s="73"/>
      <c r="G89" s="74"/>
      <c r="H89" s="202"/>
      <c r="I89" s="74"/>
      <c r="J89" s="74"/>
      <c r="K89" s="74"/>
      <c r="L89" s="75"/>
      <c r="M89" s="75"/>
      <c r="N89" s="74"/>
      <c r="O89" s="203"/>
      <c r="P89" s="20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spans="1:28" ht="15.75" customHeight="1">
      <c r="A90" s="200"/>
      <c r="B90" s="74"/>
      <c r="C90" s="72"/>
      <c r="D90" s="73"/>
      <c r="E90" s="72"/>
      <c r="F90" s="73"/>
      <c r="G90" s="74"/>
      <c r="H90" s="202"/>
      <c r="I90" s="74"/>
      <c r="J90" s="74"/>
      <c r="K90" s="74"/>
      <c r="L90" s="75"/>
      <c r="M90" s="75"/>
      <c r="N90" s="74"/>
      <c r="O90" s="203"/>
      <c r="P90" s="20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spans="1:28" ht="15.75" customHeight="1">
      <c r="A91" s="200"/>
      <c r="B91" s="74"/>
      <c r="C91" s="72"/>
      <c r="D91" s="73"/>
      <c r="E91" s="72"/>
      <c r="F91" s="73"/>
      <c r="G91" s="74"/>
      <c r="H91" s="202"/>
      <c r="I91" s="74"/>
      <c r="J91" s="74"/>
      <c r="K91" s="74"/>
      <c r="L91" s="75"/>
      <c r="M91" s="75"/>
      <c r="N91" s="74"/>
      <c r="O91" s="203"/>
      <c r="P91" s="20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spans="1:28" ht="15.75" customHeight="1">
      <c r="A92" s="200"/>
      <c r="B92" s="74"/>
      <c r="C92" s="72"/>
      <c r="D92" s="73"/>
      <c r="E92" s="72"/>
      <c r="F92" s="73"/>
      <c r="G92" s="74"/>
      <c r="H92" s="202"/>
      <c r="I92" s="74"/>
      <c r="J92" s="74"/>
      <c r="K92" s="74"/>
      <c r="L92" s="75"/>
      <c r="M92" s="75"/>
      <c r="N92" s="74"/>
      <c r="O92" s="203"/>
      <c r="P92" s="20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spans="1:28" ht="15.75" customHeight="1">
      <c r="A93" s="200"/>
      <c r="B93" s="74"/>
      <c r="C93" s="72"/>
      <c r="D93" s="73"/>
      <c r="E93" s="72"/>
      <c r="F93" s="73"/>
      <c r="G93" s="74"/>
      <c r="H93" s="202"/>
      <c r="I93" s="74"/>
      <c r="J93" s="74"/>
      <c r="K93" s="74"/>
      <c r="L93" s="75"/>
      <c r="M93" s="75"/>
      <c r="N93" s="74"/>
      <c r="O93" s="203"/>
      <c r="P93" s="20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spans="1:28" ht="15.75" customHeight="1">
      <c r="A94" s="200"/>
      <c r="B94" s="74"/>
      <c r="C94" s="72"/>
      <c r="D94" s="73"/>
      <c r="E94" s="72"/>
      <c r="F94" s="73"/>
      <c r="G94" s="74"/>
      <c r="H94" s="202"/>
      <c r="I94" s="74"/>
      <c r="J94" s="74"/>
      <c r="K94" s="74"/>
      <c r="L94" s="75"/>
      <c r="M94" s="75"/>
      <c r="N94" s="74"/>
      <c r="O94" s="203"/>
      <c r="P94" s="20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spans="1:28" ht="15.75" customHeight="1">
      <c r="A95" s="200"/>
      <c r="B95" s="74"/>
      <c r="C95" s="72"/>
      <c r="D95" s="73"/>
      <c r="E95" s="72"/>
      <c r="F95" s="73"/>
      <c r="G95" s="74"/>
      <c r="H95" s="202"/>
      <c r="I95" s="74"/>
      <c r="J95" s="74"/>
      <c r="K95" s="74"/>
      <c r="L95" s="75"/>
      <c r="M95" s="75"/>
      <c r="N95" s="74"/>
      <c r="O95" s="203"/>
      <c r="P95" s="20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spans="1:28" ht="15.75" customHeight="1">
      <c r="A96" s="200"/>
      <c r="B96" s="74"/>
      <c r="C96" s="72"/>
      <c r="D96" s="73"/>
      <c r="E96" s="72"/>
      <c r="F96" s="73"/>
      <c r="G96" s="74"/>
      <c r="H96" s="202"/>
      <c r="I96" s="74"/>
      <c r="J96" s="74"/>
      <c r="K96" s="74"/>
      <c r="L96" s="75"/>
      <c r="M96" s="75"/>
      <c r="N96" s="74"/>
      <c r="O96" s="203"/>
      <c r="P96" s="20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spans="1:28" ht="15.75" customHeight="1">
      <c r="A97" s="200"/>
      <c r="B97" s="74"/>
      <c r="C97" s="72"/>
      <c r="D97" s="73"/>
      <c r="E97" s="72"/>
      <c r="F97" s="73"/>
      <c r="G97" s="74"/>
      <c r="H97" s="202"/>
      <c r="I97" s="74"/>
      <c r="J97" s="74"/>
      <c r="K97" s="74"/>
      <c r="L97" s="75"/>
      <c r="M97" s="75"/>
      <c r="N97" s="74"/>
      <c r="O97" s="203"/>
      <c r="P97" s="20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spans="1:28" ht="15.75" customHeight="1">
      <c r="A98" s="200"/>
      <c r="B98" s="74"/>
      <c r="C98" s="72"/>
      <c r="D98" s="73"/>
      <c r="E98" s="72"/>
      <c r="F98" s="73"/>
      <c r="G98" s="74"/>
      <c r="H98" s="202"/>
      <c r="I98" s="74"/>
      <c r="J98" s="74"/>
      <c r="K98" s="74"/>
      <c r="L98" s="75"/>
      <c r="M98" s="75"/>
      <c r="N98" s="74"/>
      <c r="O98" s="203"/>
      <c r="P98" s="20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spans="1:28" ht="15.75" customHeight="1">
      <c r="A99" s="200"/>
      <c r="B99" s="74"/>
      <c r="C99" s="72"/>
      <c r="D99" s="73"/>
      <c r="E99" s="72"/>
      <c r="F99" s="73"/>
      <c r="G99" s="74"/>
      <c r="H99" s="202"/>
      <c r="I99" s="74"/>
      <c r="J99" s="74"/>
      <c r="K99" s="74"/>
      <c r="L99" s="75"/>
      <c r="M99" s="75"/>
      <c r="N99" s="74"/>
      <c r="O99" s="203"/>
      <c r="P99" s="20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spans="1:28" ht="15.75" customHeight="1">
      <c r="A100" s="200"/>
      <c r="B100" s="74"/>
      <c r="C100" s="72"/>
      <c r="D100" s="73"/>
      <c r="E100" s="72"/>
      <c r="F100" s="73"/>
      <c r="G100" s="74"/>
      <c r="H100" s="202"/>
      <c r="I100" s="74"/>
      <c r="J100" s="74"/>
      <c r="K100" s="74"/>
      <c r="L100" s="75"/>
      <c r="M100" s="75"/>
      <c r="N100" s="74"/>
      <c r="O100" s="203"/>
      <c r="P100" s="20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spans="1:28" ht="15.75" customHeight="1">
      <c r="A101" s="200"/>
      <c r="B101" s="74"/>
      <c r="C101" s="72"/>
      <c r="D101" s="73"/>
      <c r="E101" s="72"/>
      <c r="F101" s="73"/>
      <c r="G101" s="74"/>
      <c r="H101" s="202"/>
      <c r="I101" s="74"/>
      <c r="J101" s="74"/>
      <c r="K101" s="74"/>
      <c r="L101" s="75"/>
      <c r="M101" s="75"/>
      <c r="N101" s="74"/>
      <c r="O101" s="203"/>
      <c r="P101" s="20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spans="1:28" ht="15.75" customHeight="1">
      <c r="A102" s="200"/>
      <c r="B102" s="74"/>
      <c r="C102" s="72"/>
      <c r="D102" s="73"/>
      <c r="E102" s="72"/>
      <c r="F102" s="73"/>
      <c r="G102" s="74"/>
      <c r="H102" s="202"/>
      <c r="I102" s="74"/>
      <c r="J102" s="74"/>
      <c r="K102" s="74"/>
      <c r="L102" s="75"/>
      <c r="M102" s="75"/>
      <c r="N102" s="74"/>
      <c r="O102" s="203"/>
      <c r="P102" s="20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spans="1:28" ht="15.75" customHeight="1">
      <c r="A103" s="200"/>
      <c r="B103" s="74"/>
      <c r="C103" s="72"/>
      <c r="D103" s="73"/>
      <c r="E103" s="72"/>
      <c r="F103" s="73"/>
      <c r="G103" s="74"/>
      <c r="H103" s="202"/>
      <c r="I103" s="74"/>
      <c r="J103" s="74"/>
      <c r="K103" s="74"/>
      <c r="L103" s="75"/>
      <c r="M103" s="75"/>
      <c r="N103" s="74"/>
      <c r="O103" s="203"/>
      <c r="P103" s="20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spans="1:28" ht="15.75" customHeight="1">
      <c r="A104" s="200"/>
      <c r="B104" s="74"/>
      <c r="C104" s="72"/>
      <c r="D104" s="73"/>
      <c r="E104" s="72"/>
      <c r="F104" s="73"/>
      <c r="G104" s="74"/>
      <c r="H104" s="202"/>
      <c r="I104" s="74"/>
      <c r="J104" s="74"/>
      <c r="K104" s="74"/>
      <c r="L104" s="75"/>
      <c r="M104" s="75"/>
      <c r="N104" s="74"/>
      <c r="O104" s="203"/>
      <c r="P104" s="20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spans="1:28" ht="15.75" customHeight="1">
      <c r="A105" s="200"/>
      <c r="B105" s="74"/>
      <c r="C105" s="72"/>
      <c r="D105" s="73"/>
      <c r="E105" s="72"/>
      <c r="F105" s="73"/>
      <c r="G105" s="74"/>
      <c r="H105" s="202"/>
      <c r="I105" s="74"/>
      <c r="J105" s="74"/>
      <c r="K105" s="74"/>
      <c r="L105" s="75"/>
      <c r="M105" s="75"/>
      <c r="N105" s="74"/>
      <c r="O105" s="203"/>
      <c r="P105" s="20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spans="1:28" ht="15.75" customHeight="1">
      <c r="A106" s="200"/>
      <c r="B106" s="74"/>
      <c r="C106" s="72"/>
      <c r="D106" s="73"/>
      <c r="E106" s="72"/>
      <c r="F106" s="73"/>
      <c r="G106" s="74"/>
      <c r="H106" s="202"/>
      <c r="I106" s="74"/>
      <c r="J106" s="74"/>
      <c r="K106" s="74"/>
      <c r="L106" s="75"/>
      <c r="M106" s="75"/>
      <c r="N106" s="74"/>
      <c r="O106" s="203"/>
      <c r="P106" s="20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spans="1:28" ht="15.75" customHeight="1">
      <c r="A107" s="200"/>
      <c r="B107" s="74"/>
      <c r="C107" s="72"/>
      <c r="D107" s="73"/>
      <c r="E107" s="72"/>
      <c r="F107" s="73"/>
      <c r="G107" s="74"/>
      <c r="H107" s="202"/>
      <c r="I107" s="74"/>
      <c r="J107" s="74"/>
      <c r="K107" s="74"/>
      <c r="L107" s="75"/>
      <c r="M107" s="75"/>
      <c r="N107" s="74"/>
      <c r="O107" s="203"/>
      <c r="P107" s="20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spans="1:28" ht="15.75" customHeight="1">
      <c r="A108" s="200"/>
      <c r="B108" s="74"/>
      <c r="C108" s="72"/>
      <c r="D108" s="73"/>
      <c r="E108" s="72"/>
      <c r="F108" s="73"/>
      <c r="G108" s="74"/>
      <c r="H108" s="202"/>
      <c r="I108" s="74"/>
      <c r="J108" s="74"/>
      <c r="K108" s="74"/>
      <c r="L108" s="75"/>
      <c r="M108" s="75"/>
      <c r="N108" s="74"/>
      <c r="O108" s="203"/>
      <c r="P108" s="20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spans="1:28" ht="15.75" customHeight="1">
      <c r="A109" s="200"/>
      <c r="B109" s="74"/>
      <c r="C109" s="72"/>
      <c r="D109" s="73"/>
      <c r="E109" s="72"/>
      <c r="F109" s="73"/>
      <c r="G109" s="74"/>
      <c r="H109" s="202"/>
      <c r="I109" s="74"/>
      <c r="J109" s="74"/>
      <c r="K109" s="74"/>
      <c r="L109" s="75"/>
      <c r="M109" s="75"/>
      <c r="N109" s="74"/>
      <c r="O109" s="203"/>
      <c r="P109" s="20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spans="1:28" ht="15.75" customHeight="1">
      <c r="A110" s="200"/>
      <c r="B110" s="74"/>
      <c r="C110" s="72"/>
      <c r="D110" s="73"/>
      <c r="E110" s="72"/>
      <c r="F110" s="73"/>
      <c r="G110" s="74"/>
      <c r="H110" s="202"/>
      <c r="I110" s="74"/>
      <c r="J110" s="74"/>
      <c r="K110" s="74"/>
      <c r="L110" s="75"/>
      <c r="M110" s="75"/>
      <c r="N110" s="74"/>
      <c r="O110" s="203"/>
      <c r="P110" s="20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spans="1:28" ht="15.75" customHeight="1">
      <c r="A111" s="200"/>
      <c r="B111" s="74"/>
      <c r="C111" s="72"/>
      <c r="D111" s="73"/>
      <c r="E111" s="72"/>
      <c r="F111" s="73"/>
      <c r="G111" s="74"/>
      <c r="H111" s="202"/>
      <c r="I111" s="74"/>
      <c r="J111" s="74"/>
      <c r="K111" s="74"/>
      <c r="L111" s="75"/>
      <c r="M111" s="75"/>
      <c r="N111" s="74"/>
      <c r="O111" s="203"/>
      <c r="P111" s="20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spans="1:28" ht="15.75" customHeight="1">
      <c r="A112" s="200"/>
      <c r="B112" s="74"/>
      <c r="C112" s="72"/>
      <c r="D112" s="73"/>
      <c r="E112" s="72"/>
      <c r="F112" s="73"/>
      <c r="G112" s="74"/>
      <c r="H112" s="202"/>
      <c r="I112" s="74"/>
      <c r="J112" s="74"/>
      <c r="K112" s="74"/>
      <c r="L112" s="75"/>
      <c r="M112" s="75"/>
      <c r="N112" s="74"/>
      <c r="O112" s="203"/>
      <c r="P112" s="20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spans="1:28" ht="15.75" customHeight="1">
      <c r="A113" s="200"/>
      <c r="B113" s="74"/>
      <c r="C113" s="72"/>
      <c r="D113" s="73"/>
      <c r="E113" s="72"/>
      <c r="F113" s="73"/>
      <c r="G113" s="74"/>
      <c r="H113" s="202"/>
      <c r="I113" s="74"/>
      <c r="J113" s="74"/>
      <c r="K113" s="74"/>
      <c r="L113" s="75"/>
      <c r="M113" s="75"/>
      <c r="N113" s="74"/>
      <c r="O113" s="203"/>
      <c r="P113" s="20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spans="1:28" ht="15.75" customHeight="1">
      <c r="A114" s="200"/>
      <c r="B114" s="74"/>
      <c r="C114" s="72"/>
      <c r="D114" s="73"/>
      <c r="E114" s="72"/>
      <c r="F114" s="73"/>
      <c r="G114" s="74"/>
      <c r="H114" s="202"/>
      <c r="I114" s="74"/>
      <c r="J114" s="74"/>
      <c r="K114" s="74"/>
      <c r="L114" s="75"/>
      <c r="M114" s="75"/>
      <c r="N114" s="74"/>
      <c r="O114" s="203"/>
      <c r="P114" s="20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spans="1:28" ht="15.75" customHeight="1">
      <c r="A115" s="200"/>
      <c r="B115" s="74"/>
      <c r="C115" s="72"/>
      <c r="D115" s="73"/>
      <c r="E115" s="72"/>
      <c r="F115" s="73"/>
      <c r="G115" s="74"/>
      <c r="H115" s="202"/>
      <c r="I115" s="74"/>
      <c r="J115" s="74"/>
      <c r="K115" s="74"/>
      <c r="L115" s="75"/>
      <c r="M115" s="75"/>
      <c r="N115" s="74"/>
      <c r="O115" s="203"/>
      <c r="P115" s="20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spans="1:28" ht="15.75" customHeight="1">
      <c r="A116" s="200"/>
      <c r="B116" s="74"/>
      <c r="C116" s="72"/>
      <c r="D116" s="73"/>
      <c r="E116" s="72"/>
      <c r="F116" s="73"/>
      <c r="G116" s="74"/>
      <c r="H116" s="202"/>
      <c r="I116" s="74"/>
      <c r="J116" s="74"/>
      <c r="K116" s="74"/>
      <c r="L116" s="75"/>
      <c r="M116" s="75"/>
      <c r="N116" s="74"/>
      <c r="O116" s="203"/>
      <c r="P116" s="20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spans="1:28" ht="15.75" customHeight="1">
      <c r="A117" s="200"/>
      <c r="B117" s="74"/>
      <c r="C117" s="72"/>
      <c r="D117" s="73"/>
      <c r="E117" s="72"/>
      <c r="F117" s="73"/>
      <c r="G117" s="74"/>
      <c r="H117" s="202"/>
      <c r="I117" s="74"/>
      <c r="J117" s="74"/>
      <c r="K117" s="74"/>
      <c r="L117" s="75"/>
      <c r="M117" s="75"/>
      <c r="N117" s="74"/>
      <c r="O117" s="203"/>
      <c r="P117" s="20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spans="1:28" ht="15.75" customHeight="1">
      <c r="A118" s="200"/>
      <c r="B118" s="74"/>
      <c r="C118" s="72"/>
      <c r="D118" s="73"/>
      <c r="E118" s="72"/>
      <c r="F118" s="73"/>
      <c r="G118" s="74"/>
      <c r="H118" s="202"/>
      <c r="I118" s="74"/>
      <c r="J118" s="74"/>
      <c r="K118" s="74"/>
      <c r="L118" s="75"/>
      <c r="M118" s="75"/>
      <c r="N118" s="74"/>
      <c r="O118" s="203"/>
      <c r="P118" s="20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spans="1:28" ht="15.75" customHeight="1">
      <c r="A119" s="200"/>
      <c r="B119" s="74"/>
      <c r="C119" s="72"/>
      <c r="D119" s="73"/>
      <c r="E119" s="72"/>
      <c r="F119" s="73"/>
      <c r="G119" s="74"/>
      <c r="H119" s="202"/>
      <c r="I119" s="74"/>
      <c r="J119" s="74"/>
      <c r="K119" s="74"/>
      <c r="L119" s="75"/>
      <c r="M119" s="75"/>
      <c r="N119" s="74"/>
      <c r="O119" s="203"/>
      <c r="P119" s="20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spans="1:28" ht="15.75" customHeight="1">
      <c r="A120" s="200"/>
      <c r="B120" s="74"/>
      <c r="C120" s="72"/>
      <c r="D120" s="73"/>
      <c r="E120" s="72"/>
      <c r="F120" s="73"/>
      <c r="G120" s="74"/>
      <c r="H120" s="202"/>
      <c r="I120" s="74"/>
      <c r="J120" s="74"/>
      <c r="K120" s="74"/>
      <c r="L120" s="75"/>
      <c r="M120" s="75"/>
      <c r="N120" s="74"/>
      <c r="O120" s="203"/>
      <c r="P120" s="20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spans="1:28" ht="15.75" customHeight="1">
      <c r="A121" s="200"/>
      <c r="B121" s="74"/>
      <c r="C121" s="72"/>
      <c r="D121" s="73"/>
      <c r="E121" s="72"/>
      <c r="F121" s="73"/>
      <c r="G121" s="74"/>
      <c r="H121" s="202"/>
      <c r="I121" s="74"/>
      <c r="J121" s="74"/>
      <c r="K121" s="74"/>
      <c r="L121" s="75"/>
      <c r="M121" s="75"/>
      <c r="N121" s="74"/>
      <c r="O121" s="203"/>
      <c r="P121" s="20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spans="1:28" ht="15.75" customHeight="1">
      <c r="A122" s="200"/>
      <c r="B122" s="74"/>
      <c r="C122" s="72"/>
      <c r="D122" s="73"/>
      <c r="E122" s="72"/>
      <c r="F122" s="73"/>
      <c r="G122" s="74"/>
      <c r="H122" s="202"/>
      <c r="I122" s="74"/>
      <c r="J122" s="74"/>
      <c r="K122" s="74"/>
      <c r="L122" s="75"/>
      <c r="M122" s="75"/>
      <c r="N122" s="74"/>
      <c r="O122" s="203"/>
      <c r="P122" s="20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spans="1:28" ht="15.75" customHeight="1">
      <c r="A123" s="200"/>
      <c r="B123" s="74"/>
      <c r="C123" s="72"/>
      <c r="D123" s="73"/>
      <c r="E123" s="72"/>
      <c r="F123" s="73"/>
      <c r="G123" s="74"/>
      <c r="H123" s="202"/>
      <c r="I123" s="74"/>
      <c r="J123" s="74"/>
      <c r="K123" s="74"/>
      <c r="L123" s="75"/>
      <c r="M123" s="75"/>
      <c r="N123" s="74"/>
      <c r="O123" s="203"/>
      <c r="P123" s="20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spans="1:28" ht="15.75" customHeight="1">
      <c r="A124" s="200"/>
      <c r="B124" s="74"/>
      <c r="C124" s="72"/>
      <c r="D124" s="73"/>
      <c r="E124" s="72"/>
      <c r="F124" s="73"/>
      <c r="G124" s="74"/>
      <c r="H124" s="202"/>
      <c r="I124" s="74"/>
      <c r="J124" s="74"/>
      <c r="K124" s="74"/>
      <c r="L124" s="75"/>
      <c r="M124" s="75"/>
      <c r="N124" s="74"/>
      <c r="O124" s="203"/>
      <c r="P124" s="20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spans="1:28" ht="15.75" customHeight="1">
      <c r="A125" s="200"/>
      <c r="B125" s="74"/>
      <c r="C125" s="72"/>
      <c r="D125" s="73"/>
      <c r="E125" s="72"/>
      <c r="F125" s="73"/>
      <c r="G125" s="74"/>
      <c r="H125" s="202"/>
      <c r="I125" s="74"/>
      <c r="J125" s="74"/>
      <c r="K125" s="74"/>
      <c r="L125" s="75"/>
      <c r="M125" s="75"/>
      <c r="N125" s="74"/>
      <c r="O125" s="203"/>
      <c r="P125" s="20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spans="1:28" ht="15.75" customHeight="1">
      <c r="A126" s="200"/>
      <c r="B126" s="74"/>
      <c r="C126" s="72"/>
      <c r="D126" s="73"/>
      <c r="E126" s="72"/>
      <c r="F126" s="73"/>
      <c r="G126" s="74"/>
      <c r="H126" s="202"/>
      <c r="I126" s="74"/>
      <c r="J126" s="74"/>
      <c r="K126" s="74"/>
      <c r="L126" s="75"/>
      <c r="M126" s="75"/>
      <c r="N126" s="74"/>
      <c r="O126" s="203"/>
      <c r="P126" s="20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spans="1:28" ht="15.75" customHeight="1">
      <c r="A127" s="200"/>
      <c r="B127" s="74"/>
      <c r="C127" s="72"/>
      <c r="D127" s="73"/>
      <c r="E127" s="72"/>
      <c r="F127" s="73"/>
      <c r="G127" s="74"/>
      <c r="H127" s="202"/>
      <c r="I127" s="74"/>
      <c r="J127" s="74"/>
      <c r="K127" s="74"/>
      <c r="L127" s="75"/>
      <c r="M127" s="75"/>
      <c r="N127" s="74"/>
      <c r="O127" s="203"/>
      <c r="P127" s="20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spans="1:28" ht="15.75" customHeight="1">
      <c r="A128" s="200"/>
      <c r="B128" s="74"/>
      <c r="C128" s="72"/>
      <c r="D128" s="73"/>
      <c r="E128" s="72"/>
      <c r="F128" s="73"/>
      <c r="G128" s="74"/>
      <c r="H128" s="202"/>
      <c r="I128" s="74"/>
      <c r="J128" s="74"/>
      <c r="K128" s="74"/>
      <c r="L128" s="75"/>
      <c r="M128" s="75"/>
      <c r="N128" s="74"/>
      <c r="O128" s="203"/>
      <c r="P128" s="20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spans="1:28" ht="15.75" customHeight="1">
      <c r="A129" s="200"/>
      <c r="B129" s="74"/>
      <c r="C129" s="72"/>
      <c r="D129" s="73"/>
      <c r="E129" s="72"/>
      <c r="F129" s="73"/>
      <c r="G129" s="74"/>
      <c r="H129" s="202"/>
      <c r="I129" s="74"/>
      <c r="J129" s="74"/>
      <c r="K129" s="74"/>
      <c r="L129" s="75"/>
      <c r="M129" s="75"/>
      <c r="N129" s="74"/>
      <c r="O129" s="203"/>
      <c r="P129" s="20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spans="1:28" ht="15.75" customHeight="1">
      <c r="A130" s="200"/>
      <c r="B130" s="74"/>
      <c r="C130" s="72"/>
      <c r="D130" s="73"/>
      <c r="E130" s="72"/>
      <c r="F130" s="73"/>
      <c r="G130" s="74"/>
      <c r="H130" s="202"/>
      <c r="I130" s="74"/>
      <c r="J130" s="74"/>
      <c r="K130" s="74"/>
      <c r="L130" s="75"/>
      <c r="M130" s="75"/>
      <c r="N130" s="74"/>
      <c r="O130" s="203"/>
      <c r="P130" s="20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spans="1:28" ht="15.75" customHeight="1">
      <c r="A131" s="200"/>
      <c r="B131" s="74"/>
      <c r="C131" s="72"/>
      <c r="D131" s="73"/>
      <c r="E131" s="72"/>
      <c r="F131" s="73"/>
      <c r="G131" s="74"/>
      <c r="H131" s="202"/>
      <c r="I131" s="74"/>
      <c r="J131" s="74"/>
      <c r="K131" s="74"/>
      <c r="L131" s="75"/>
      <c r="M131" s="75"/>
      <c r="N131" s="74"/>
      <c r="O131" s="203"/>
      <c r="P131" s="20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spans="1:28" ht="15.75" customHeight="1">
      <c r="A132" s="200"/>
      <c r="B132" s="74"/>
      <c r="C132" s="72"/>
      <c r="D132" s="73"/>
      <c r="E132" s="72"/>
      <c r="F132" s="73"/>
      <c r="G132" s="74"/>
      <c r="H132" s="202"/>
      <c r="I132" s="74"/>
      <c r="J132" s="74"/>
      <c r="K132" s="74"/>
      <c r="L132" s="75"/>
      <c r="M132" s="75"/>
      <c r="N132" s="74"/>
      <c r="O132" s="203"/>
      <c r="P132" s="20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spans="1:28" ht="15.75" customHeight="1">
      <c r="A133" s="200"/>
      <c r="B133" s="74"/>
      <c r="C133" s="72"/>
      <c r="D133" s="73"/>
      <c r="E133" s="72"/>
      <c r="F133" s="73"/>
      <c r="G133" s="74"/>
      <c r="H133" s="202"/>
      <c r="I133" s="74"/>
      <c r="J133" s="74"/>
      <c r="K133" s="74"/>
      <c r="L133" s="75"/>
      <c r="M133" s="75"/>
      <c r="N133" s="74"/>
      <c r="O133" s="203"/>
      <c r="P133" s="20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spans="1:28" ht="15.75" customHeight="1">
      <c r="A134" s="200"/>
      <c r="B134" s="74"/>
      <c r="C134" s="72"/>
      <c r="D134" s="73"/>
      <c r="E134" s="72"/>
      <c r="F134" s="73"/>
      <c r="G134" s="74"/>
      <c r="H134" s="202"/>
      <c r="I134" s="74"/>
      <c r="J134" s="74"/>
      <c r="K134" s="74"/>
      <c r="L134" s="75"/>
      <c r="M134" s="75"/>
      <c r="N134" s="74"/>
      <c r="O134" s="203"/>
      <c r="P134" s="20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spans="1:28" ht="15.75" customHeight="1">
      <c r="A135" s="200"/>
      <c r="B135" s="74"/>
      <c r="C135" s="72"/>
      <c r="D135" s="73"/>
      <c r="E135" s="72"/>
      <c r="F135" s="73"/>
      <c r="G135" s="74"/>
      <c r="H135" s="202"/>
      <c r="I135" s="74"/>
      <c r="J135" s="74"/>
      <c r="K135" s="74"/>
      <c r="L135" s="75"/>
      <c r="M135" s="75"/>
      <c r="N135" s="74"/>
      <c r="O135" s="203"/>
      <c r="P135" s="20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spans="1:28" ht="15.75" customHeight="1">
      <c r="A136" s="200"/>
      <c r="B136" s="74"/>
      <c r="C136" s="72"/>
      <c r="D136" s="73"/>
      <c r="E136" s="72"/>
      <c r="F136" s="73"/>
      <c r="G136" s="74"/>
      <c r="H136" s="202"/>
      <c r="I136" s="74"/>
      <c r="J136" s="74"/>
      <c r="K136" s="74"/>
      <c r="L136" s="75"/>
      <c r="M136" s="75"/>
      <c r="N136" s="74"/>
      <c r="O136" s="203"/>
      <c r="P136" s="20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spans="1:28" ht="15.75" customHeight="1">
      <c r="A137" s="200"/>
      <c r="B137" s="74"/>
      <c r="C137" s="72"/>
      <c r="D137" s="73"/>
      <c r="E137" s="72"/>
      <c r="F137" s="73"/>
      <c r="G137" s="74"/>
      <c r="H137" s="202"/>
      <c r="I137" s="74"/>
      <c r="J137" s="74"/>
      <c r="K137" s="74"/>
      <c r="L137" s="75"/>
      <c r="M137" s="75"/>
      <c r="N137" s="74"/>
      <c r="O137" s="203"/>
      <c r="P137" s="20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spans="1:28" ht="15.75" customHeight="1">
      <c r="A138" s="200"/>
      <c r="B138" s="74"/>
      <c r="C138" s="72"/>
      <c r="D138" s="73"/>
      <c r="E138" s="72"/>
      <c r="F138" s="73"/>
      <c r="G138" s="74"/>
      <c r="H138" s="202"/>
      <c r="I138" s="74"/>
      <c r="J138" s="74"/>
      <c r="K138" s="74"/>
      <c r="L138" s="75"/>
      <c r="M138" s="75"/>
      <c r="N138" s="74"/>
      <c r="O138" s="203"/>
      <c r="P138" s="20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spans="1:28" ht="15.75" customHeight="1">
      <c r="A139" s="200"/>
      <c r="B139" s="74"/>
      <c r="C139" s="72"/>
      <c r="D139" s="73"/>
      <c r="E139" s="72"/>
      <c r="F139" s="73"/>
      <c r="G139" s="74"/>
      <c r="H139" s="202"/>
      <c r="I139" s="74"/>
      <c r="J139" s="74"/>
      <c r="K139" s="74"/>
      <c r="L139" s="75"/>
      <c r="M139" s="75"/>
      <c r="N139" s="74"/>
      <c r="O139" s="203"/>
      <c r="P139" s="20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spans="1:28" ht="15.75" customHeight="1">
      <c r="A140" s="200"/>
      <c r="B140" s="74"/>
      <c r="C140" s="72"/>
      <c r="D140" s="73"/>
      <c r="E140" s="72"/>
      <c r="F140" s="73"/>
      <c r="G140" s="74"/>
      <c r="H140" s="202"/>
      <c r="I140" s="74"/>
      <c r="J140" s="74"/>
      <c r="K140" s="74"/>
      <c r="L140" s="75"/>
      <c r="M140" s="75"/>
      <c r="N140" s="74"/>
      <c r="O140" s="203"/>
      <c r="P140" s="20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spans="1:28" ht="15.75" customHeight="1">
      <c r="A141" s="200"/>
      <c r="B141" s="74"/>
      <c r="C141" s="72"/>
      <c r="D141" s="73"/>
      <c r="E141" s="72"/>
      <c r="F141" s="73"/>
      <c r="G141" s="74"/>
      <c r="H141" s="202"/>
      <c r="I141" s="74"/>
      <c r="J141" s="74"/>
      <c r="K141" s="74"/>
      <c r="L141" s="75"/>
      <c r="M141" s="75"/>
      <c r="N141" s="74"/>
      <c r="O141" s="203"/>
      <c r="P141" s="20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spans="1:28" ht="15.75" customHeight="1">
      <c r="A142" s="200"/>
      <c r="B142" s="74"/>
      <c r="C142" s="72"/>
      <c r="D142" s="73"/>
      <c r="E142" s="72"/>
      <c r="F142" s="73"/>
      <c r="G142" s="74"/>
      <c r="H142" s="202"/>
      <c r="I142" s="74"/>
      <c r="J142" s="74"/>
      <c r="K142" s="74"/>
      <c r="L142" s="75"/>
      <c r="M142" s="75"/>
      <c r="N142" s="74"/>
      <c r="O142" s="203"/>
      <c r="P142" s="20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spans="1:28" ht="15.75" customHeight="1">
      <c r="A143" s="200"/>
      <c r="B143" s="74"/>
      <c r="C143" s="72"/>
      <c r="D143" s="73"/>
      <c r="E143" s="72"/>
      <c r="F143" s="73"/>
      <c r="G143" s="74"/>
      <c r="H143" s="202"/>
      <c r="I143" s="74"/>
      <c r="J143" s="74"/>
      <c r="K143" s="74"/>
      <c r="L143" s="75"/>
      <c r="M143" s="75"/>
      <c r="N143" s="74"/>
      <c r="O143" s="203"/>
      <c r="P143" s="20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spans="1:28" ht="15.75" customHeight="1">
      <c r="A144" s="200"/>
      <c r="B144" s="74"/>
      <c r="C144" s="72"/>
      <c r="D144" s="73"/>
      <c r="E144" s="72"/>
      <c r="F144" s="73"/>
      <c r="G144" s="74"/>
      <c r="H144" s="202"/>
      <c r="I144" s="74"/>
      <c r="J144" s="74"/>
      <c r="K144" s="74"/>
      <c r="L144" s="75"/>
      <c r="M144" s="75"/>
      <c r="N144" s="74"/>
      <c r="O144" s="203"/>
      <c r="P144" s="20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spans="1:28" ht="15.75" customHeight="1">
      <c r="A145" s="200"/>
      <c r="B145" s="74"/>
      <c r="C145" s="72"/>
      <c r="D145" s="73"/>
      <c r="E145" s="72"/>
      <c r="F145" s="73"/>
      <c r="G145" s="74"/>
      <c r="H145" s="202"/>
      <c r="I145" s="74"/>
      <c r="J145" s="74"/>
      <c r="K145" s="74"/>
      <c r="L145" s="75"/>
      <c r="M145" s="75"/>
      <c r="N145" s="74"/>
      <c r="O145" s="203"/>
      <c r="P145" s="20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spans="1:28" ht="15.75" customHeight="1">
      <c r="A146" s="200"/>
      <c r="B146" s="74"/>
      <c r="C146" s="72"/>
      <c r="D146" s="73"/>
      <c r="E146" s="72"/>
      <c r="F146" s="73"/>
      <c r="G146" s="74"/>
      <c r="H146" s="202"/>
      <c r="I146" s="74"/>
      <c r="J146" s="74"/>
      <c r="K146" s="74"/>
      <c r="L146" s="75"/>
      <c r="M146" s="75"/>
      <c r="N146" s="74"/>
      <c r="O146" s="203"/>
      <c r="P146" s="20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spans="1:28" ht="15.75" customHeight="1">
      <c r="A147" s="200"/>
      <c r="B147" s="74"/>
      <c r="C147" s="72"/>
      <c r="D147" s="73"/>
      <c r="E147" s="72"/>
      <c r="F147" s="73"/>
      <c r="G147" s="74"/>
      <c r="H147" s="202"/>
      <c r="I147" s="74"/>
      <c r="J147" s="74"/>
      <c r="K147" s="74"/>
      <c r="L147" s="75"/>
      <c r="M147" s="75"/>
      <c r="N147" s="74"/>
      <c r="O147" s="203"/>
      <c r="P147" s="20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spans="1:28" ht="15.75" customHeight="1">
      <c r="A148" s="200"/>
      <c r="B148" s="74"/>
      <c r="C148" s="72"/>
      <c r="D148" s="73"/>
      <c r="E148" s="72"/>
      <c r="F148" s="73"/>
      <c r="G148" s="74"/>
      <c r="H148" s="202"/>
      <c r="I148" s="74"/>
      <c r="J148" s="74"/>
      <c r="K148" s="74"/>
      <c r="L148" s="75"/>
      <c r="M148" s="75"/>
      <c r="N148" s="74"/>
      <c r="O148" s="203"/>
      <c r="P148" s="20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spans="1:28" ht="15.75" customHeight="1">
      <c r="A149" s="200"/>
      <c r="B149" s="74"/>
      <c r="C149" s="72"/>
      <c r="D149" s="73"/>
      <c r="E149" s="72"/>
      <c r="F149" s="73"/>
      <c r="G149" s="74"/>
      <c r="H149" s="202"/>
      <c r="I149" s="74"/>
      <c r="J149" s="74"/>
      <c r="K149" s="74"/>
      <c r="L149" s="75"/>
      <c r="M149" s="75"/>
      <c r="N149" s="74"/>
      <c r="O149" s="203"/>
      <c r="P149" s="20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spans="1:28" ht="15.75" customHeight="1">
      <c r="A150" s="200"/>
      <c r="B150" s="74"/>
      <c r="C150" s="72"/>
      <c r="D150" s="73"/>
      <c r="E150" s="72"/>
      <c r="F150" s="73"/>
      <c r="G150" s="74"/>
      <c r="H150" s="202"/>
      <c r="I150" s="74"/>
      <c r="J150" s="74"/>
      <c r="K150" s="74"/>
      <c r="L150" s="75"/>
      <c r="M150" s="75"/>
      <c r="N150" s="74"/>
      <c r="O150" s="203"/>
      <c r="P150" s="20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spans="1:28" ht="15.75" customHeight="1">
      <c r="A151" s="200"/>
      <c r="B151" s="74"/>
      <c r="C151" s="72"/>
      <c r="D151" s="73"/>
      <c r="E151" s="72"/>
      <c r="F151" s="73"/>
      <c r="G151" s="74"/>
      <c r="H151" s="202"/>
      <c r="I151" s="74"/>
      <c r="J151" s="74"/>
      <c r="K151" s="74"/>
      <c r="L151" s="75"/>
      <c r="M151" s="75"/>
      <c r="N151" s="74"/>
      <c r="O151" s="203"/>
      <c r="P151" s="20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spans="1:28" ht="15.75" customHeight="1">
      <c r="A152" s="200"/>
      <c r="B152" s="74"/>
      <c r="C152" s="72"/>
      <c r="D152" s="73"/>
      <c r="E152" s="72"/>
      <c r="F152" s="73"/>
      <c r="G152" s="74"/>
      <c r="H152" s="202"/>
      <c r="I152" s="74"/>
      <c r="J152" s="74"/>
      <c r="K152" s="74"/>
      <c r="L152" s="75"/>
      <c r="M152" s="75"/>
      <c r="N152" s="74"/>
      <c r="O152" s="203"/>
      <c r="P152" s="20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spans="1:28" ht="15.75" customHeight="1">
      <c r="A153" s="200"/>
      <c r="B153" s="74"/>
      <c r="C153" s="72"/>
      <c r="D153" s="73"/>
      <c r="E153" s="72"/>
      <c r="F153" s="73"/>
      <c r="G153" s="74"/>
      <c r="H153" s="202"/>
      <c r="I153" s="74"/>
      <c r="J153" s="74"/>
      <c r="K153" s="74"/>
      <c r="L153" s="75"/>
      <c r="M153" s="75"/>
      <c r="N153" s="74"/>
      <c r="O153" s="203"/>
      <c r="P153" s="20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spans="1:28" ht="15.75" customHeight="1">
      <c r="A154" s="200"/>
      <c r="B154" s="74"/>
      <c r="C154" s="72"/>
      <c r="D154" s="73"/>
      <c r="E154" s="72"/>
      <c r="F154" s="73"/>
      <c r="G154" s="74"/>
      <c r="H154" s="202"/>
      <c r="I154" s="74"/>
      <c r="J154" s="74"/>
      <c r="K154" s="74"/>
      <c r="L154" s="75"/>
      <c r="M154" s="75"/>
      <c r="N154" s="74"/>
      <c r="O154" s="203"/>
      <c r="P154" s="20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spans="1:28" ht="15.75" customHeight="1">
      <c r="A155" s="200"/>
      <c r="B155" s="74"/>
      <c r="C155" s="72"/>
      <c r="D155" s="73"/>
      <c r="E155" s="72"/>
      <c r="F155" s="73"/>
      <c r="G155" s="74"/>
      <c r="H155" s="202"/>
      <c r="I155" s="74"/>
      <c r="J155" s="74"/>
      <c r="K155" s="74"/>
      <c r="L155" s="75"/>
      <c r="M155" s="75"/>
      <c r="N155" s="74"/>
      <c r="O155" s="203"/>
      <c r="P155" s="20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spans="1:28" ht="15.75" customHeight="1">
      <c r="A156" s="200"/>
      <c r="B156" s="74"/>
      <c r="C156" s="72"/>
      <c r="D156" s="73"/>
      <c r="E156" s="72"/>
      <c r="F156" s="73"/>
      <c r="G156" s="74"/>
      <c r="H156" s="202"/>
      <c r="I156" s="74"/>
      <c r="J156" s="74"/>
      <c r="K156" s="74"/>
      <c r="L156" s="75"/>
      <c r="M156" s="75"/>
      <c r="N156" s="74"/>
      <c r="O156" s="203"/>
      <c r="P156" s="20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spans="1:28" ht="15.75" customHeight="1">
      <c r="A157" s="200"/>
      <c r="B157" s="74"/>
      <c r="C157" s="72"/>
      <c r="D157" s="73"/>
      <c r="E157" s="72"/>
      <c r="F157" s="73"/>
      <c r="G157" s="74"/>
      <c r="H157" s="202"/>
      <c r="I157" s="74"/>
      <c r="J157" s="74"/>
      <c r="K157" s="74"/>
      <c r="L157" s="75"/>
      <c r="M157" s="75"/>
      <c r="N157" s="74"/>
      <c r="O157" s="203"/>
      <c r="P157" s="20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spans="1:28" ht="15.75" customHeight="1">
      <c r="A158" s="200"/>
      <c r="B158" s="74"/>
      <c r="C158" s="72"/>
      <c r="D158" s="73"/>
      <c r="E158" s="72"/>
      <c r="F158" s="73"/>
      <c r="G158" s="74"/>
      <c r="H158" s="202"/>
      <c r="I158" s="74"/>
      <c r="J158" s="74"/>
      <c r="K158" s="74"/>
      <c r="L158" s="75"/>
      <c r="M158" s="75"/>
      <c r="N158" s="74"/>
      <c r="O158" s="203"/>
      <c r="P158" s="20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spans="1:28" ht="15.75" customHeight="1">
      <c r="A159" s="200"/>
      <c r="B159" s="74"/>
      <c r="C159" s="72"/>
      <c r="D159" s="73"/>
      <c r="E159" s="72"/>
      <c r="F159" s="73"/>
      <c r="G159" s="74"/>
      <c r="H159" s="202"/>
      <c r="I159" s="74"/>
      <c r="J159" s="74"/>
      <c r="K159" s="74"/>
      <c r="L159" s="75"/>
      <c r="M159" s="75"/>
      <c r="N159" s="74"/>
      <c r="O159" s="203"/>
      <c r="P159" s="20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spans="1:28" ht="15.75" customHeight="1">
      <c r="A160" s="200"/>
      <c r="B160" s="74"/>
      <c r="C160" s="72"/>
      <c r="D160" s="73"/>
      <c r="E160" s="72"/>
      <c r="F160" s="73"/>
      <c r="G160" s="74"/>
      <c r="H160" s="202"/>
      <c r="I160" s="74"/>
      <c r="J160" s="74"/>
      <c r="K160" s="74"/>
      <c r="L160" s="75"/>
      <c r="M160" s="75"/>
      <c r="N160" s="74"/>
      <c r="O160" s="203"/>
      <c r="P160" s="20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spans="1:28" ht="15.75" customHeight="1">
      <c r="A161" s="200"/>
      <c r="B161" s="74"/>
      <c r="C161" s="72"/>
      <c r="D161" s="73"/>
      <c r="E161" s="72"/>
      <c r="F161" s="73"/>
      <c r="G161" s="74"/>
      <c r="H161" s="202"/>
      <c r="I161" s="74"/>
      <c r="J161" s="74"/>
      <c r="K161" s="74"/>
      <c r="L161" s="75"/>
      <c r="M161" s="75"/>
      <c r="N161" s="74"/>
      <c r="O161" s="203"/>
      <c r="P161" s="20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spans="1:28" ht="15.75" customHeight="1">
      <c r="A162" s="200"/>
      <c r="B162" s="74"/>
      <c r="C162" s="72"/>
      <c r="D162" s="73"/>
      <c r="E162" s="72"/>
      <c r="F162" s="73"/>
      <c r="G162" s="74"/>
      <c r="H162" s="202"/>
      <c r="I162" s="74"/>
      <c r="J162" s="74"/>
      <c r="K162" s="74"/>
      <c r="L162" s="75"/>
      <c r="M162" s="75"/>
      <c r="N162" s="74"/>
      <c r="O162" s="203"/>
      <c r="P162" s="20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spans="1:28" ht="15.75" customHeight="1">
      <c r="A163" s="200"/>
      <c r="B163" s="74"/>
      <c r="C163" s="72"/>
      <c r="D163" s="73"/>
      <c r="E163" s="72"/>
      <c r="F163" s="73"/>
      <c r="G163" s="74"/>
      <c r="H163" s="202"/>
      <c r="I163" s="74"/>
      <c r="J163" s="74"/>
      <c r="K163" s="74"/>
      <c r="L163" s="75"/>
      <c r="M163" s="75"/>
      <c r="N163" s="74"/>
      <c r="O163" s="203"/>
      <c r="P163" s="20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spans="1:28" ht="15.75" customHeight="1">
      <c r="A164" s="200"/>
      <c r="B164" s="74"/>
      <c r="C164" s="72"/>
      <c r="D164" s="73"/>
      <c r="E164" s="72"/>
      <c r="F164" s="73"/>
      <c r="G164" s="74"/>
      <c r="H164" s="202"/>
      <c r="I164" s="74"/>
      <c r="J164" s="74"/>
      <c r="K164" s="74"/>
      <c r="L164" s="75"/>
      <c r="M164" s="75"/>
      <c r="N164" s="74"/>
      <c r="O164" s="203"/>
      <c r="P164" s="20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spans="1:28" ht="15.75" customHeight="1">
      <c r="A165" s="200"/>
      <c r="B165" s="74"/>
      <c r="C165" s="72"/>
      <c r="D165" s="73"/>
      <c r="E165" s="72"/>
      <c r="F165" s="73"/>
      <c r="G165" s="74"/>
      <c r="H165" s="202"/>
      <c r="I165" s="74"/>
      <c r="J165" s="74"/>
      <c r="K165" s="74"/>
      <c r="L165" s="75"/>
      <c r="M165" s="75"/>
      <c r="N165" s="74"/>
      <c r="O165" s="203"/>
      <c r="P165" s="20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spans="1:28" ht="15.75" customHeight="1">
      <c r="A166" s="200"/>
      <c r="B166" s="74"/>
      <c r="C166" s="72"/>
      <c r="D166" s="73"/>
      <c r="E166" s="72"/>
      <c r="F166" s="73"/>
      <c r="G166" s="74"/>
      <c r="H166" s="202"/>
      <c r="I166" s="74"/>
      <c r="J166" s="74"/>
      <c r="K166" s="74"/>
      <c r="L166" s="75"/>
      <c r="M166" s="75"/>
      <c r="N166" s="74"/>
      <c r="O166" s="203"/>
      <c r="P166" s="20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spans="1:28" ht="15.75" customHeight="1">
      <c r="A167" s="200"/>
      <c r="B167" s="74"/>
      <c r="C167" s="72"/>
      <c r="D167" s="73"/>
      <c r="E167" s="72"/>
      <c r="F167" s="73"/>
      <c r="G167" s="74"/>
      <c r="H167" s="202"/>
      <c r="I167" s="74"/>
      <c r="J167" s="74"/>
      <c r="K167" s="74"/>
      <c r="L167" s="75"/>
      <c r="M167" s="75"/>
      <c r="N167" s="74"/>
      <c r="O167" s="203"/>
      <c r="P167" s="20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spans="1:28" ht="15.75" customHeight="1">
      <c r="A168" s="200"/>
      <c r="B168" s="74"/>
      <c r="C168" s="72"/>
      <c r="D168" s="73"/>
      <c r="E168" s="72"/>
      <c r="F168" s="73"/>
      <c r="G168" s="74"/>
      <c r="H168" s="202"/>
      <c r="I168" s="74"/>
      <c r="J168" s="74"/>
      <c r="K168" s="74"/>
      <c r="L168" s="75"/>
      <c r="M168" s="75"/>
      <c r="N168" s="74"/>
      <c r="O168" s="203"/>
      <c r="P168" s="20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spans="1:28" ht="15.75" customHeight="1">
      <c r="A169" s="200"/>
      <c r="B169" s="74"/>
      <c r="C169" s="72"/>
      <c r="D169" s="73"/>
      <c r="E169" s="72"/>
      <c r="F169" s="73"/>
      <c r="G169" s="74"/>
      <c r="H169" s="202"/>
      <c r="I169" s="74"/>
      <c r="J169" s="74"/>
      <c r="K169" s="74"/>
      <c r="L169" s="75"/>
      <c r="M169" s="75"/>
      <c r="N169" s="74"/>
      <c r="O169" s="203"/>
      <c r="P169" s="20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spans="1:28" ht="15.75" customHeight="1">
      <c r="A170" s="200"/>
      <c r="B170" s="74"/>
      <c r="C170" s="72"/>
      <c r="D170" s="73"/>
      <c r="E170" s="72"/>
      <c r="F170" s="73"/>
      <c r="G170" s="74"/>
      <c r="H170" s="202"/>
      <c r="I170" s="74"/>
      <c r="J170" s="74"/>
      <c r="K170" s="74"/>
      <c r="L170" s="75"/>
      <c r="M170" s="75"/>
      <c r="N170" s="74"/>
      <c r="O170" s="203"/>
      <c r="P170" s="20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spans="1:28" ht="15.75" customHeight="1">
      <c r="A171" s="200"/>
      <c r="B171" s="74"/>
      <c r="C171" s="72"/>
      <c r="D171" s="73"/>
      <c r="E171" s="72"/>
      <c r="F171" s="73"/>
      <c r="G171" s="74"/>
      <c r="H171" s="202"/>
      <c r="I171" s="74"/>
      <c r="J171" s="74"/>
      <c r="K171" s="74"/>
      <c r="L171" s="75"/>
      <c r="M171" s="75"/>
      <c r="N171" s="74"/>
      <c r="O171" s="203"/>
      <c r="P171" s="20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spans="1:28" ht="15.75" customHeight="1">
      <c r="A172" s="200"/>
      <c r="B172" s="74"/>
      <c r="C172" s="72"/>
      <c r="D172" s="73"/>
      <c r="E172" s="72"/>
      <c r="F172" s="73"/>
      <c r="G172" s="74"/>
      <c r="H172" s="202"/>
      <c r="I172" s="74"/>
      <c r="J172" s="74"/>
      <c r="K172" s="74"/>
      <c r="L172" s="75"/>
      <c r="M172" s="75"/>
      <c r="N172" s="74"/>
      <c r="O172" s="203"/>
      <c r="P172" s="20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spans="1:28" ht="15.75" customHeight="1">
      <c r="A173" s="200"/>
      <c r="B173" s="74"/>
      <c r="C173" s="72"/>
      <c r="D173" s="73"/>
      <c r="E173" s="72"/>
      <c r="F173" s="73"/>
      <c r="G173" s="74"/>
      <c r="H173" s="202"/>
      <c r="I173" s="74"/>
      <c r="J173" s="74"/>
      <c r="K173" s="74"/>
      <c r="L173" s="75"/>
      <c r="M173" s="75"/>
      <c r="N173" s="74"/>
      <c r="O173" s="203"/>
      <c r="P173" s="20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spans="1:28" ht="15.75" customHeight="1">
      <c r="A174" s="200"/>
      <c r="B174" s="74"/>
      <c r="C174" s="72"/>
      <c r="D174" s="73"/>
      <c r="E174" s="72"/>
      <c r="F174" s="73"/>
      <c r="G174" s="74"/>
      <c r="H174" s="202"/>
      <c r="I174" s="74"/>
      <c r="J174" s="74"/>
      <c r="K174" s="74"/>
      <c r="L174" s="75"/>
      <c r="M174" s="75"/>
      <c r="N174" s="74"/>
      <c r="O174" s="203"/>
      <c r="P174" s="20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spans="1:28" ht="15.75" customHeight="1">
      <c r="A175" s="200"/>
      <c r="B175" s="74"/>
      <c r="C175" s="72"/>
      <c r="D175" s="73"/>
      <c r="E175" s="72"/>
      <c r="F175" s="73"/>
      <c r="G175" s="74"/>
      <c r="H175" s="202"/>
      <c r="I175" s="74"/>
      <c r="J175" s="74"/>
      <c r="K175" s="74"/>
      <c r="L175" s="75"/>
      <c r="M175" s="75"/>
      <c r="N175" s="74"/>
      <c r="O175" s="203"/>
      <c r="P175" s="20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spans="1:28" ht="15.75" customHeight="1">
      <c r="A176" s="200"/>
      <c r="B176" s="74"/>
      <c r="C176" s="72"/>
      <c r="D176" s="73"/>
      <c r="E176" s="72"/>
      <c r="F176" s="73"/>
      <c r="G176" s="74"/>
      <c r="H176" s="202"/>
      <c r="I176" s="74"/>
      <c r="J176" s="74"/>
      <c r="K176" s="74"/>
      <c r="L176" s="75"/>
      <c r="M176" s="75"/>
      <c r="N176" s="74"/>
      <c r="O176" s="203"/>
      <c r="P176" s="20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spans="1:28" ht="15.75" customHeight="1">
      <c r="A177" s="200"/>
      <c r="B177" s="74"/>
      <c r="C177" s="72"/>
      <c r="D177" s="73"/>
      <c r="E177" s="72"/>
      <c r="F177" s="73"/>
      <c r="G177" s="74"/>
      <c r="H177" s="202"/>
      <c r="I177" s="74"/>
      <c r="J177" s="74"/>
      <c r="K177" s="74"/>
      <c r="L177" s="75"/>
      <c r="M177" s="75"/>
      <c r="N177" s="74"/>
      <c r="O177" s="203"/>
      <c r="P177" s="20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spans="1:28" ht="15.75" customHeight="1">
      <c r="A178" s="200"/>
      <c r="B178" s="74"/>
      <c r="C178" s="72"/>
      <c r="D178" s="73"/>
      <c r="E178" s="72"/>
      <c r="F178" s="73"/>
      <c r="G178" s="74"/>
      <c r="H178" s="202"/>
      <c r="I178" s="74"/>
      <c r="J178" s="74"/>
      <c r="K178" s="74"/>
      <c r="L178" s="75"/>
      <c r="M178" s="75"/>
      <c r="N178" s="74"/>
      <c r="O178" s="203"/>
      <c r="P178" s="20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spans="1:28" ht="15.75" customHeight="1">
      <c r="A179" s="200"/>
      <c r="B179" s="74"/>
      <c r="C179" s="72"/>
      <c r="D179" s="73"/>
      <c r="E179" s="72"/>
      <c r="F179" s="73"/>
      <c r="G179" s="74"/>
      <c r="H179" s="202"/>
      <c r="I179" s="74"/>
      <c r="J179" s="74"/>
      <c r="K179" s="74"/>
      <c r="L179" s="75"/>
      <c r="M179" s="75"/>
      <c r="N179" s="74"/>
      <c r="O179" s="203"/>
      <c r="P179" s="20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spans="1:28" ht="15.75" customHeight="1">
      <c r="A180" s="200"/>
      <c r="B180" s="74"/>
      <c r="C180" s="72"/>
      <c r="D180" s="73"/>
      <c r="E180" s="72"/>
      <c r="F180" s="73"/>
      <c r="G180" s="74"/>
      <c r="H180" s="202"/>
      <c r="I180" s="74"/>
      <c r="J180" s="74"/>
      <c r="K180" s="74"/>
      <c r="L180" s="75"/>
      <c r="M180" s="75"/>
      <c r="N180" s="74"/>
      <c r="O180" s="203"/>
      <c r="P180" s="20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spans="1:28" ht="15.75" customHeight="1">
      <c r="A181" s="200"/>
      <c r="B181" s="74"/>
      <c r="C181" s="72"/>
      <c r="D181" s="73"/>
      <c r="E181" s="72"/>
      <c r="F181" s="73"/>
      <c r="G181" s="74"/>
      <c r="H181" s="202"/>
      <c r="I181" s="74"/>
      <c r="J181" s="74"/>
      <c r="K181" s="74"/>
      <c r="L181" s="75"/>
      <c r="M181" s="75"/>
      <c r="N181" s="74"/>
      <c r="O181" s="203"/>
      <c r="P181" s="20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spans="1:28" ht="15.75" customHeight="1">
      <c r="A182" s="200"/>
      <c r="B182" s="74"/>
      <c r="C182" s="72"/>
      <c r="D182" s="73"/>
      <c r="E182" s="72"/>
      <c r="F182" s="73"/>
      <c r="G182" s="74"/>
      <c r="H182" s="202"/>
      <c r="I182" s="74"/>
      <c r="J182" s="74"/>
      <c r="K182" s="74"/>
      <c r="L182" s="75"/>
      <c r="M182" s="75"/>
      <c r="N182" s="74"/>
      <c r="O182" s="203"/>
      <c r="P182" s="20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spans="1:28" ht="15.75" customHeight="1">
      <c r="A183" s="200"/>
      <c r="B183" s="74"/>
      <c r="C183" s="72"/>
      <c r="D183" s="73"/>
      <c r="E183" s="72"/>
      <c r="F183" s="73"/>
      <c r="G183" s="74"/>
      <c r="H183" s="202"/>
      <c r="I183" s="74"/>
      <c r="J183" s="74"/>
      <c r="K183" s="74"/>
      <c r="L183" s="75"/>
      <c r="M183" s="75"/>
      <c r="N183" s="74"/>
      <c r="O183" s="203"/>
      <c r="P183" s="20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spans="1:28" ht="15.75" customHeight="1">
      <c r="A184" s="200"/>
      <c r="B184" s="74"/>
      <c r="C184" s="72"/>
      <c r="D184" s="73"/>
      <c r="E184" s="72"/>
      <c r="F184" s="73"/>
      <c r="G184" s="74"/>
      <c r="H184" s="202"/>
      <c r="I184" s="74"/>
      <c r="J184" s="74"/>
      <c r="K184" s="74"/>
      <c r="L184" s="75"/>
      <c r="M184" s="75"/>
      <c r="N184" s="74"/>
      <c r="O184" s="203"/>
      <c r="P184" s="20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spans="1:28" ht="15.75" customHeight="1">
      <c r="A185" s="200"/>
      <c r="B185" s="74"/>
      <c r="C185" s="72"/>
      <c r="D185" s="73"/>
      <c r="E185" s="72"/>
      <c r="F185" s="73"/>
      <c r="G185" s="74"/>
      <c r="H185" s="202"/>
      <c r="I185" s="74"/>
      <c r="J185" s="74"/>
      <c r="K185" s="74"/>
      <c r="L185" s="75"/>
      <c r="M185" s="75"/>
      <c r="N185" s="74"/>
      <c r="O185" s="203"/>
      <c r="P185" s="20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spans="1:28" ht="15.75" customHeight="1">
      <c r="A186" s="200"/>
      <c r="B186" s="74"/>
      <c r="C186" s="72"/>
      <c r="D186" s="73"/>
      <c r="E186" s="72"/>
      <c r="F186" s="73"/>
      <c r="G186" s="74"/>
      <c r="H186" s="202"/>
      <c r="I186" s="74"/>
      <c r="J186" s="74"/>
      <c r="K186" s="74"/>
      <c r="L186" s="75"/>
      <c r="M186" s="75"/>
      <c r="N186" s="74"/>
      <c r="O186" s="203"/>
      <c r="P186" s="20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spans="1:28" ht="15.75" customHeight="1">
      <c r="A187" s="200"/>
      <c r="B187" s="74"/>
      <c r="C187" s="72"/>
      <c r="D187" s="73"/>
      <c r="E187" s="72"/>
      <c r="F187" s="73"/>
      <c r="G187" s="74"/>
      <c r="H187" s="202"/>
      <c r="I187" s="74"/>
      <c r="J187" s="74"/>
      <c r="K187" s="74"/>
      <c r="L187" s="75"/>
      <c r="M187" s="75"/>
      <c r="N187" s="74"/>
      <c r="O187" s="203"/>
      <c r="P187" s="20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spans="1:28" ht="15.75" customHeight="1">
      <c r="A188" s="200"/>
      <c r="B188" s="74"/>
      <c r="C188" s="72"/>
      <c r="D188" s="73"/>
      <c r="E188" s="72"/>
      <c r="F188" s="73"/>
      <c r="G188" s="74"/>
      <c r="H188" s="202"/>
      <c r="I188" s="74"/>
      <c r="J188" s="74"/>
      <c r="K188" s="74"/>
      <c r="L188" s="75"/>
      <c r="M188" s="75"/>
      <c r="N188" s="74"/>
      <c r="O188" s="203"/>
      <c r="P188" s="20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spans="1:28" ht="15.75" customHeight="1">
      <c r="A189" s="200"/>
      <c r="B189" s="74"/>
      <c r="C189" s="72"/>
      <c r="D189" s="73"/>
      <c r="E189" s="72"/>
      <c r="F189" s="73"/>
      <c r="G189" s="74"/>
      <c r="H189" s="202"/>
      <c r="I189" s="74"/>
      <c r="J189" s="74"/>
      <c r="K189" s="74"/>
      <c r="L189" s="75"/>
      <c r="M189" s="75"/>
      <c r="N189" s="74"/>
      <c r="O189" s="203"/>
      <c r="P189" s="20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spans="1:28" ht="15.75" customHeight="1">
      <c r="A190" s="200"/>
      <c r="B190" s="74"/>
      <c r="C190" s="72"/>
      <c r="D190" s="73"/>
      <c r="E190" s="72"/>
      <c r="F190" s="73"/>
      <c r="G190" s="74"/>
      <c r="H190" s="202"/>
      <c r="I190" s="74"/>
      <c r="J190" s="74"/>
      <c r="K190" s="74"/>
      <c r="L190" s="75"/>
      <c r="M190" s="75"/>
      <c r="N190" s="74"/>
      <c r="O190" s="203"/>
      <c r="P190" s="20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spans="1:28" ht="15.75" customHeight="1">
      <c r="A191" s="200"/>
      <c r="B191" s="74"/>
      <c r="C191" s="72"/>
      <c r="D191" s="73"/>
      <c r="E191" s="72"/>
      <c r="F191" s="73"/>
      <c r="G191" s="74"/>
      <c r="H191" s="202"/>
      <c r="I191" s="74"/>
      <c r="J191" s="74"/>
      <c r="K191" s="74"/>
      <c r="L191" s="75"/>
      <c r="M191" s="75"/>
      <c r="N191" s="74"/>
      <c r="O191" s="203"/>
      <c r="P191" s="20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spans="1:28" ht="15.75" customHeight="1">
      <c r="A192" s="200"/>
      <c r="B192" s="74"/>
      <c r="C192" s="72"/>
      <c r="D192" s="73"/>
      <c r="E192" s="72"/>
      <c r="F192" s="73"/>
      <c r="G192" s="74"/>
      <c r="H192" s="202"/>
      <c r="I192" s="74"/>
      <c r="J192" s="74"/>
      <c r="K192" s="74"/>
      <c r="L192" s="75"/>
      <c r="M192" s="75"/>
      <c r="N192" s="74"/>
      <c r="O192" s="203"/>
      <c r="P192" s="20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spans="1:28" ht="15.75" customHeight="1">
      <c r="A193" s="200"/>
      <c r="B193" s="74"/>
      <c r="C193" s="72"/>
      <c r="D193" s="73"/>
      <c r="E193" s="72"/>
      <c r="F193" s="73"/>
      <c r="G193" s="74"/>
      <c r="H193" s="202"/>
      <c r="I193" s="74"/>
      <c r="J193" s="74"/>
      <c r="K193" s="74"/>
      <c r="L193" s="75"/>
      <c r="M193" s="75"/>
      <c r="N193" s="74"/>
      <c r="O193" s="203"/>
      <c r="P193" s="20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spans="1:28" ht="15.75" customHeight="1">
      <c r="A194" s="200"/>
      <c r="B194" s="74"/>
      <c r="C194" s="72"/>
      <c r="D194" s="73"/>
      <c r="E194" s="72"/>
      <c r="F194" s="73"/>
      <c r="G194" s="74"/>
      <c r="H194" s="202"/>
      <c r="I194" s="74"/>
      <c r="J194" s="74"/>
      <c r="K194" s="74"/>
      <c r="L194" s="75"/>
      <c r="M194" s="75"/>
      <c r="N194" s="74"/>
      <c r="O194" s="203"/>
      <c r="P194" s="20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spans="1:28" ht="15.75" customHeight="1">
      <c r="A195" s="200"/>
      <c r="B195" s="74"/>
      <c r="C195" s="72"/>
      <c r="D195" s="73"/>
      <c r="E195" s="72"/>
      <c r="F195" s="73"/>
      <c r="G195" s="74"/>
      <c r="H195" s="202"/>
      <c r="I195" s="74"/>
      <c r="J195" s="74"/>
      <c r="K195" s="74"/>
      <c r="L195" s="75"/>
      <c r="M195" s="75"/>
      <c r="N195" s="74"/>
      <c r="O195" s="203"/>
      <c r="P195" s="20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spans="1:28" ht="15.75" customHeight="1">
      <c r="A196" s="200"/>
      <c r="B196" s="74"/>
      <c r="C196" s="72"/>
      <c r="D196" s="73"/>
      <c r="E196" s="72"/>
      <c r="F196" s="73"/>
      <c r="G196" s="74"/>
      <c r="H196" s="202"/>
      <c r="I196" s="74"/>
      <c r="J196" s="74"/>
      <c r="K196" s="74"/>
      <c r="L196" s="75"/>
      <c r="M196" s="75"/>
      <c r="N196" s="74"/>
      <c r="O196" s="203"/>
      <c r="P196" s="20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spans="1:28" ht="15.75" customHeight="1">
      <c r="A197" s="200"/>
      <c r="B197" s="74"/>
      <c r="C197" s="72"/>
      <c r="D197" s="73"/>
      <c r="E197" s="72"/>
      <c r="F197" s="73"/>
      <c r="G197" s="74"/>
      <c r="H197" s="202"/>
      <c r="I197" s="74"/>
      <c r="J197" s="74"/>
      <c r="K197" s="74"/>
      <c r="L197" s="75"/>
      <c r="M197" s="75"/>
      <c r="N197" s="74"/>
      <c r="O197" s="203"/>
      <c r="P197" s="20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spans="1:28" ht="15.75" customHeight="1">
      <c r="A198" s="200"/>
      <c r="B198" s="74"/>
      <c r="C198" s="72"/>
      <c r="D198" s="73"/>
      <c r="E198" s="72"/>
      <c r="F198" s="73"/>
      <c r="G198" s="74"/>
      <c r="H198" s="202"/>
      <c r="I198" s="74"/>
      <c r="J198" s="74"/>
      <c r="K198" s="74"/>
      <c r="L198" s="75"/>
      <c r="M198" s="75"/>
      <c r="N198" s="74"/>
      <c r="O198" s="203"/>
      <c r="P198" s="20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spans="1:28" ht="15.75" customHeight="1">
      <c r="A199" s="200"/>
      <c r="B199" s="74"/>
      <c r="C199" s="72"/>
      <c r="D199" s="73"/>
      <c r="E199" s="72"/>
      <c r="F199" s="73"/>
      <c r="G199" s="74"/>
      <c r="H199" s="202"/>
      <c r="I199" s="74"/>
      <c r="J199" s="74"/>
      <c r="K199" s="74"/>
      <c r="L199" s="75"/>
      <c r="M199" s="75"/>
      <c r="N199" s="74"/>
      <c r="O199" s="203"/>
      <c r="P199" s="20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spans="1:28" ht="15.75" customHeight="1">
      <c r="A200" s="200"/>
      <c r="B200" s="74"/>
      <c r="C200" s="72"/>
      <c r="D200" s="73"/>
      <c r="E200" s="72"/>
      <c r="F200" s="73"/>
      <c r="G200" s="74"/>
      <c r="H200" s="202"/>
      <c r="I200" s="74"/>
      <c r="J200" s="74"/>
      <c r="K200" s="74"/>
      <c r="L200" s="75"/>
      <c r="M200" s="75"/>
      <c r="N200" s="74"/>
      <c r="O200" s="203"/>
      <c r="P200" s="20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spans="1:28" ht="15.75" customHeight="1">
      <c r="A201" s="200"/>
      <c r="B201" s="74"/>
      <c r="C201" s="72"/>
      <c r="D201" s="73"/>
      <c r="E201" s="72"/>
      <c r="F201" s="73"/>
      <c r="G201" s="74"/>
      <c r="H201" s="202"/>
      <c r="I201" s="74"/>
      <c r="J201" s="74"/>
      <c r="K201" s="74"/>
      <c r="L201" s="75"/>
      <c r="M201" s="75"/>
      <c r="N201" s="74"/>
      <c r="O201" s="203"/>
      <c r="P201" s="20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spans="1:28" ht="15.75" customHeight="1">
      <c r="A202" s="200"/>
      <c r="B202" s="74"/>
      <c r="C202" s="72"/>
      <c r="D202" s="73"/>
      <c r="E202" s="72"/>
      <c r="F202" s="73"/>
      <c r="G202" s="74"/>
      <c r="H202" s="202"/>
      <c r="I202" s="74"/>
      <c r="J202" s="74"/>
      <c r="K202" s="74"/>
      <c r="L202" s="75"/>
      <c r="M202" s="75"/>
      <c r="N202" s="74"/>
      <c r="O202" s="203"/>
      <c r="P202" s="20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spans="1:28" ht="15.75" customHeight="1">
      <c r="A203" s="200"/>
      <c r="B203" s="74"/>
      <c r="C203" s="72"/>
      <c r="D203" s="73"/>
      <c r="E203" s="72"/>
      <c r="F203" s="73"/>
      <c r="G203" s="74"/>
      <c r="H203" s="202"/>
      <c r="I203" s="74"/>
      <c r="J203" s="74"/>
      <c r="K203" s="74"/>
      <c r="L203" s="75"/>
      <c r="M203" s="75"/>
      <c r="N203" s="74"/>
      <c r="O203" s="203"/>
      <c r="P203" s="20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spans="1:28" ht="15.75" customHeight="1">
      <c r="A204" s="200"/>
      <c r="B204" s="74"/>
      <c r="C204" s="72"/>
      <c r="D204" s="73"/>
      <c r="E204" s="72"/>
      <c r="F204" s="73"/>
      <c r="G204" s="74"/>
      <c r="H204" s="202"/>
      <c r="I204" s="74"/>
      <c r="J204" s="74"/>
      <c r="K204" s="74"/>
      <c r="L204" s="75"/>
      <c r="M204" s="75"/>
      <c r="N204" s="74"/>
      <c r="O204" s="203"/>
      <c r="P204" s="20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spans="1:28" ht="15.75" customHeight="1">
      <c r="A205" s="200"/>
      <c r="B205" s="74"/>
      <c r="C205" s="72"/>
      <c r="D205" s="73"/>
      <c r="E205" s="72"/>
      <c r="F205" s="73"/>
      <c r="G205" s="74"/>
      <c r="H205" s="202"/>
      <c r="I205" s="74"/>
      <c r="J205" s="74"/>
      <c r="K205" s="74"/>
      <c r="L205" s="75"/>
      <c r="M205" s="75"/>
      <c r="N205" s="74"/>
      <c r="O205" s="203"/>
      <c r="P205" s="20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spans="1:28" ht="15.75" customHeight="1">
      <c r="A206" s="200"/>
      <c r="B206" s="74"/>
      <c r="C206" s="72"/>
      <c r="D206" s="73"/>
      <c r="E206" s="72"/>
      <c r="F206" s="73"/>
      <c r="G206" s="74"/>
      <c r="H206" s="202"/>
      <c r="I206" s="74"/>
      <c r="J206" s="74"/>
      <c r="K206" s="74"/>
      <c r="L206" s="75"/>
      <c r="M206" s="75"/>
      <c r="N206" s="74"/>
      <c r="O206" s="203"/>
      <c r="P206" s="20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spans="1:28" ht="15.75" customHeight="1">
      <c r="A207" s="200"/>
      <c r="B207" s="74"/>
      <c r="C207" s="72"/>
      <c r="D207" s="73"/>
      <c r="E207" s="72"/>
      <c r="F207" s="73"/>
      <c r="G207" s="74"/>
      <c r="H207" s="202"/>
      <c r="I207" s="74"/>
      <c r="J207" s="74"/>
      <c r="K207" s="74"/>
      <c r="L207" s="75"/>
      <c r="M207" s="75"/>
      <c r="N207" s="74"/>
      <c r="O207" s="203"/>
      <c r="P207" s="20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spans="1:28" ht="15.75" customHeight="1">
      <c r="A208" s="200"/>
      <c r="B208" s="74"/>
      <c r="C208" s="72"/>
      <c r="D208" s="73"/>
      <c r="E208" s="72"/>
      <c r="F208" s="73"/>
      <c r="G208" s="74"/>
      <c r="H208" s="202"/>
      <c r="I208" s="74"/>
      <c r="J208" s="74"/>
      <c r="K208" s="74"/>
      <c r="L208" s="75"/>
      <c r="M208" s="75"/>
      <c r="N208" s="74"/>
      <c r="O208" s="203"/>
      <c r="P208" s="20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spans="1:28" ht="15.75" customHeight="1">
      <c r="A209" s="200"/>
      <c r="B209" s="74"/>
      <c r="C209" s="72"/>
      <c r="D209" s="73"/>
      <c r="E209" s="72"/>
      <c r="F209" s="73"/>
      <c r="G209" s="74"/>
      <c r="H209" s="202"/>
      <c r="I209" s="74"/>
      <c r="J209" s="74"/>
      <c r="K209" s="74"/>
      <c r="L209" s="75"/>
      <c r="M209" s="75"/>
      <c r="N209" s="74"/>
      <c r="O209" s="203"/>
      <c r="P209" s="20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spans="1:28" ht="15.75" customHeight="1">
      <c r="A210" s="200"/>
      <c r="B210" s="74"/>
      <c r="C210" s="72"/>
      <c r="D210" s="73"/>
      <c r="E210" s="72"/>
      <c r="F210" s="73"/>
      <c r="G210" s="74"/>
      <c r="H210" s="202"/>
      <c r="I210" s="74"/>
      <c r="J210" s="74"/>
      <c r="K210" s="74"/>
      <c r="L210" s="75"/>
      <c r="M210" s="75"/>
      <c r="N210" s="74"/>
      <c r="O210" s="203"/>
      <c r="P210" s="20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spans="1:28" ht="15.75" customHeight="1">
      <c r="A211" s="200"/>
      <c r="B211" s="74"/>
      <c r="C211" s="72"/>
      <c r="D211" s="73"/>
      <c r="E211" s="72"/>
      <c r="F211" s="73"/>
      <c r="G211" s="74"/>
      <c r="H211" s="202"/>
      <c r="I211" s="74"/>
      <c r="J211" s="74"/>
      <c r="K211" s="74"/>
      <c r="L211" s="75"/>
      <c r="M211" s="75"/>
      <c r="N211" s="74"/>
      <c r="O211" s="203"/>
      <c r="P211" s="20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spans="1:28" ht="15.75" customHeight="1">
      <c r="A212" s="200"/>
      <c r="B212" s="74"/>
      <c r="C212" s="72"/>
      <c r="D212" s="73"/>
      <c r="E212" s="72"/>
      <c r="F212" s="73"/>
      <c r="G212" s="74"/>
      <c r="H212" s="202"/>
      <c r="I212" s="74"/>
      <c r="J212" s="74"/>
      <c r="K212" s="74"/>
      <c r="L212" s="75"/>
      <c r="M212" s="75"/>
      <c r="N212" s="74"/>
      <c r="O212" s="203"/>
      <c r="P212" s="20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spans="1:28" ht="15.75" customHeight="1">
      <c r="A213" s="200"/>
      <c r="B213" s="74"/>
      <c r="C213" s="72"/>
      <c r="D213" s="73"/>
      <c r="E213" s="72"/>
      <c r="F213" s="73"/>
      <c r="G213" s="74"/>
      <c r="H213" s="202"/>
      <c r="I213" s="74"/>
      <c r="J213" s="74"/>
      <c r="K213" s="74"/>
      <c r="L213" s="75"/>
      <c r="M213" s="75"/>
      <c r="N213" s="74"/>
      <c r="O213" s="203"/>
      <c r="P213" s="20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spans="1:28" ht="15.75" customHeight="1">
      <c r="A214" s="200"/>
      <c r="B214" s="74"/>
      <c r="C214" s="72"/>
      <c r="D214" s="73"/>
      <c r="E214" s="72"/>
      <c r="F214" s="73"/>
      <c r="G214" s="74"/>
      <c r="H214" s="202"/>
      <c r="I214" s="74"/>
      <c r="J214" s="74"/>
      <c r="K214" s="74"/>
      <c r="L214" s="75"/>
      <c r="M214" s="75"/>
      <c r="N214" s="74"/>
      <c r="O214" s="203"/>
      <c r="P214" s="20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spans="1:28" ht="15.75" customHeight="1">
      <c r="A215" s="200"/>
      <c r="B215" s="74"/>
      <c r="C215" s="72"/>
      <c r="D215" s="73"/>
      <c r="E215" s="72"/>
      <c r="F215" s="73"/>
      <c r="G215" s="74"/>
      <c r="H215" s="202"/>
      <c r="I215" s="74"/>
      <c r="J215" s="74"/>
      <c r="K215" s="74"/>
      <c r="L215" s="75"/>
      <c r="M215" s="75"/>
      <c r="N215" s="74"/>
      <c r="O215" s="203"/>
      <c r="P215" s="20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spans="1:28" ht="15.75" customHeight="1">
      <c r="A216" s="200"/>
      <c r="B216" s="74"/>
      <c r="C216" s="72"/>
      <c r="D216" s="73"/>
      <c r="E216" s="72"/>
      <c r="F216" s="73"/>
      <c r="G216" s="74"/>
      <c r="H216" s="202"/>
      <c r="I216" s="74"/>
      <c r="J216" s="74"/>
      <c r="K216" s="74"/>
      <c r="L216" s="75"/>
      <c r="M216" s="75"/>
      <c r="N216" s="74"/>
      <c r="O216" s="203"/>
      <c r="P216" s="20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spans="1:28" ht="15.75" customHeight="1">
      <c r="A217" s="200"/>
      <c r="B217" s="74"/>
      <c r="C217" s="72"/>
      <c r="D217" s="73"/>
      <c r="E217" s="72"/>
      <c r="F217" s="73"/>
      <c r="G217" s="74"/>
      <c r="H217" s="202"/>
      <c r="I217" s="74"/>
      <c r="J217" s="74"/>
      <c r="K217" s="74"/>
      <c r="L217" s="75"/>
      <c r="M217" s="75"/>
      <c r="N217" s="74"/>
      <c r="O217" s="203"/>
      <c r="P217" s="20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spans="1:28" ht="15.75" customHeight="1">
      <c r="A218" s="200"/>
      <c r="B218" s="74"/>
      <c r="C218" s="72"/>
      <c r="D218" s="73"/>
      <c r="E218" s="72"/>
      <c r="F218" s="73"/>
      <c r="G218" s="74"/>
      <c r="H218" s="202"/>
      <c r="I218" s="74"/>
      <c r="J218" s="74"/>
      <c r="K218" s="74"/>
      <c r="L218" s="75"/>
      <c r="M218" s="75"/>
      <c r="N218" s="74"/>
      <c r="O218" s="203"/>
      <c r="P218" s="20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spans="1:28" ht="15.75" customHeight="1">
      <c r="A219" s="200"/>
      <c r="B219" s="74"/>
      <c r="C219" s="72"/>
      <c r="D219" s="73"/>
      <c r="E219" s="72"/>
      <c r="F219" s="73"/>
      <c r="G219" s="74"/>
      <c r="H219" s="202"/>
      <c r="I219" s="74"/>
      <c r="J219" s="74"/>
      <c r="K219" s="74"/>
      <c r="L219" s="75"/>
      <c r="M219" s="75"/>
      <c r="N219" s="74"/>
      <c r="O219" s="203"/>
      <c r="P219" s="20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spans="1:28" ht="15.75" customHeight="1">
      <c r="A220" s="200"/>
      <c r="B220" s="74"/>
      <c r="C220" s="72"/>
      <c r="D220" s="73"/>
      <c r="E220" s="72"/>
      <c r="F220" s="73"/>
      <c r="G220" s="74"/>
      <c r="H220" s="202"/>
      <c r="I220" s="74"/>
      <c r="J220" s="74"/>
      <c r="K220" s="74"/>
      <c r="L220" s="75"/>
      <c r="M220" s="75"/>
      <c r="N220" s="74"/>
      <c r="O220" s="203"/>
      <c r="P220" s="20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spans="1:28" ht="15.75" customHeight="1">
      <c r="A221" s="200"/>
      <c r="B221" s="74"/>
      <c r="C221" s="72"/>
      <c r="D221" s="73"/>
      <c r="E221" s="72"/>
      <c r="F221" s="73"/>
      <c r="G221" s="74"/>
      <c r="H221" s="202"/>
      <c r="I221" s="74"/>
      <c r="J221" s="74"/>
      <c r="K221" s="74"/>
      <c r="L221" s="75"/>
      <c r="M221" s="75"/>
      <c r="N221" s="74"/>
      <c r="O221" s="203"/>
      <c r="P221" s="20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spans="1:28" ht="15.75" customHeight="1">
      <c r="A222" s="200"/>
      <c r="B222" s="74"/>
      <c r="C222" s="72"/>
      <c r="D222" s="73"/>
      <c r="E222" s="72"/>
      <c r="F222" s="73"/>
      <c r="G222" s="74"/>
      <c r="H222" s="202"/>
      <c r="I222" s="74"/>
      <c r="J222" s="74"/>
      <c r="K222" s="74"/>
      <c r="L222" s="75"/>
      <c r="M222" s="75"/>
      <c r="N222" s="74"/>
      <c r="O222" s="203"/>
      <c r="P222" s="20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spans="1:28" ht="15.75" customHeight="1">
      <c r="A223" s="200"/>
      <c r="B223" s="74"/>
      <c r="C223" s="72"/>
      <c r="D223" s="73"/>
      <c r="E223" s="72"/>
      <c r="F223" s="73"/>
      <c r="G223" s="74"/>
      <c r="H223" s="202"/>
      <c r="I223" s="74"/>
      <c r="J223" s="74"/>
      <c r="K223" s="74"/>
      <c r="L223" s="75"/>
      <c r="M223" s="75"/>
      <c r="N223" s="74"/>
      <c r="O223" s="203"/>
      <c r="P223" s="20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spans="1:28" ht="15.75" customHeight="1">
      <c r="A224" s="200"/>
      <c r="B224" s="74"/>
      <c r="C224" s="72"/>
      <c r="D224" s="73"/>
      <c r="E224" s="72"/>
      <c r="F224" s="73"/>
      <c r="G224" s="74"/>
      <c r="H224" s="202"/>
      <c r="I224" s="74"/>
      <c r="J224" s="74"/>
      <c r="K224" s="74"/>
      <c r="L224" s="75"/>
      <c r="M224" s="75"/>
      <c r="N224" s="74"/>
      <c r="O224" s="203"/>
      <c r="P224" s="20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spans="1:28" ht="15.75" customHeight="1">
      <c r="A225" s="200"/>
      <c r="B225" s="74"/>
      <c r="C225" s="72"/>
      <c r="D225" s="73"/>
      <c r="E225" s="72"/>
      <c r="F225" s="73"/>
      <c r="G225" s="74"/>
      <c r="H225" s="202"/>
      <c r="I225" s="74"/>
      <c r="J225" s="74"/>
      <c r="K225" s="74"/>
      <c r="L225" s="75"/>
      <c r="M225" s="75"/>
      <c r="N225" s="74"/>
      <c r="O225" s="203"/>
      <c r="P225" s="20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spans="1:28" ht="15.75" customHeight="1">
      <c r="A226" s="200"/>
      <c r="B226" s="74"/>
      <c r="C226" s="72"/>
      <c r="D226" s="73"/>
      <c r="E226" s="72"/>
      <c r="F226" s="73"/>
      <c r="G226" s="74"/>
      <c r="H226" s="202"/>
      <c r="I226" s="74"/>
      <c r="J226" s="74"/>
      <c r="K226" s="74"/>
      <c r="L226" s="75"/>
      <c r="M226" s="75"/>
      <c r="N226" s="74"/>
      <c r="O226" s="203"/>
      <c r="P226" s="20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spans="1:28" ht="15.75" customHeight="1">
      <c r="A227" s="200"/>
      <c r="B227" s="74"/>
      <c r="C227" s="72"/>
      <c r="D227" s="73"/>
      <c r="E227" s="72"/>
      <c r="F227" s="73"/>
      <c r="G227" s="74"/>
      <c r="H227" s="202"/>
      <c r="I227" s="74"/>
      <c r="J227" s="74"/>
      <c r="K227" s="74"/>
      <c r="L227" s="75"/>
      <c r="M227" s="75"/>
      <c r="N227" s="74"/>
      <c r="O227" s="203"/>
      <c r="P227" s="20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spans="1:28" ht="15.75" customHeight="1">
      <c r="A228" s="200"/>
      <c r="B228" s="74"/>
      <c r="C228" s="72"/>
      <c r="D228" s="73"/>
      <c r="E228" s="72"/>
      <c r="F228" s="73"/>
      <c r="G228" s="74"/>
      <c r="H228" s="202"/>
      <c r="I228" s="74"/>
      <c r="J228" s="74"/>
      <c r="K228" s="74"/>
      <c r="L228" s="75"/>
      <c r="M228" s="75"/>
      <c r="N228" s="74"/>
      <c r="O228" s="203"/>
      <c r="P228" s="20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spans="1:28" ht="15.75" customHeight="1">
      <c r="A229" s="200"/>
      <c r="B229" s="74"/>
      <c r="C229" s="72"/>
      <c r="D229" s="73"/>
      <c r="E229" s="72"/>
      <c r="F229" s="73"/>
      <c r="G229" s="74"/>
      <c r="H229" s="202"/>
      <c r="I229" s="74"/>
      <c r="J229" s="74"/>
      <c r="K229" s="74"/>
      <c r="L229" s="75"/>
      <c r="M229" s="75"/>
      <c r="N229" s="74"/>
      <c r="O229" s="203"/>
      <c r="P229" s="20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spans="1:28" ht="15.75" customHeight="1">
      <c r="A230" s="200"/>
      <c r="B230" s="74"/>
      <c r="C230" s="72"/>
      <c r="D230" s="73"/>
      <c r="E230" s="72"/>
      <c r="F230" s="73"/>
      <c r="G230" s="74"/>
      <c r="H230" s="202"/>
      <c r="I230" s="74"/>
      <c r="J230" s="74"/>
      <c r="K230" s="74"/>
      <c r="L230" s="75"/>
      <c r="M230" s="75"/>
      <c r="N230" s="74"/>
      <c r="O230" s="203"/>
      <c r="P230" s="20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spans="1:28" ht="15.75" customHeight="1">
      <c r="A231" s="200"/>
      <c r="B231" s="74"/>
      <c r="C231" s="72"/>
      <c r="D231" s="73"/>
      <c r="E231" s="72"/>
      <c r="F231" s="73"/>
      <c r="G231" s="74"/>
      <c r="H231" s="202"/>
      <c r="I231" s="74"/>
      <c r="J231" s="74"/>
      <c r="K231" s="74"/>
      <c r="L231" s="75"/>
      <c r="M231" s="75"/>
      <c r="N231" s="74"/>
      <c r="O231" s="203"/>
      <c r="P231" s="20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spans="1:28" ht="15.75" customHeight="1">
      <c r="A232" s="200"/>
      <c r="B232" s="74"/>
      <c r="C232" s="72"/>
      <c r="D232" s="73"/>
      <c r="E232" s="72"/>
      <c r="F232" s="73"/>
      <c r="G232" s="74"/>
      <c r="H232" s="202"/>
      <c r="I232" s="74"/>
      <c r="J232" s="74"/>
      <c r="K232" s="74"/>
      <c r="L232" s="75"/>
      <c r="M232" s="75"/>
      <c r="N232" s="74"/>
      <c r="O232" s="203"/>
      <c r="P232" s="20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spans="1:28" ht="15.75" customHeight="1">
      <c r="A233" s="200"/>
      <c r="B233" s="74"/>
      <c r="C233" s="72"/>
      <c r="D233" s="73"/>
      <c r="E233" s="72"/>
      <c r="F233" s="73"/>
      <c r="G233" s="74"/>
      <c r="H233" s="202"/>
      <c r="I233" s="74"/>
      <c r="J233" s="74"/>
      <c r="K233" s="74"/>
      <c r="L233" s="75"/>
      <c r="M233" s="75"/>
      <c r="N233" s="74"/>
      <c r="O233" s="203"/>
      <c r="P233" s="20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spans="1:28" ht="15.75" customHeight="1">
      <c r="A234" s="200"/>
      <c r="B234" s="74"/>
      <c r="C234" s="72"/>
      <c r="D234" s="73"/>
      <c r="E234" s="72"/>
      <c r="F234" s="73"/>
      <c r="G234" s="74"/>
      <c r="H234" s="202"/>
      <c r="I234" s="74"/>
      <c r="J234" s="74"/>
      <c r="K234" s="74"/>
      <c r="L234" s="75"/>
      <c r="M234" s="75"/>
      <c r="N234" s="74"/>
      <c r="O234" s="203"/>
      <c r="P234" s="20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spans="1:28" ht="15.75" customHeight="1">
      <c r="A235" s="200"/>
      <c r="B235" s="74"/>
      <c r="C235" s="72"/>
      <c r="D235" s="73"/>
      <c r="E235" s="72"/>
      <c r="F235" s="73"/>
      <c r="G235" s="74"/>
      <c r="H235" s="202"/>
      <c r="I235" s="74"/>
      <c r="J235" s="74"/>
      <c r="K235" s="74"/>
      <c r="L235" s="75"/>
      <c r="M235" s="75"/>
      <c r="N235" s="74"/>
      <c r="O235" s="203"/>
      <c r="P235" s="20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spans="1:28" ht="15.75" customHeight="1">
      <c r="A236" s="200"/>
      <c r="B236" s="74"/>
      <c r="C236" s="72"/>
      <c r="D236" s="73"/>
      <c r="E236" s="72"/>
      <c r="F236" s="73"/>
      <c r="G236" s="74"/>
      <c r="H236" s="202"/>
      <c r="I236" s="74"/>
      <c r="J236" s="74"/>
      <c r="K236" s="74"/>
      <c r="L236" s="75"/>
      <c r="M236" s="75"/>
      <c r="N236" s="74"/>
      <c r="O236" s="203"/>
      <c r="P236" s="20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spans="1:28" ht="15.75" customHeight="1">
      <c r="A237" s="200"/>
      <c r="B237" s="74"/>
      <c r="C237" s="72"/>
      <c r="D237" s="73"/>
      <c r="E237" s="72"/>
      <c r="F237" s="73"/>
      <c r="G237" s="74"/>
      <c r="H237" s="202"/>
      <c r="I237" s="74"/>
      <c r="J237" s="74"/>
      <c r="K237" s="74"/>
      <c r="L237" s="75"/>
      <c r="M237" s="75"/>
      <c r="N237" s="74"/>
      <c r="O237" s="203"/>
      <c r="P237" s="20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spans="1:28" ht="15.75" customHeight="1">
      <c r="A238" s="200"/>
      <c r="B238" s="74"/>
      <c r="C238" s="72"/>
      <c r="D238" s="73"/>
      <c r="E238" s="72"/>
      <c r="F238" s="73"/>
      <c r="G238" s="74"/>
      <c r="H238" s="202"/>
      <c r="I238" s="74"/>
      <c r="J238" s="74"/>
      <c r="K238" s="74"/>
      <c r="L238" s="75"/>
      <c r="M238" s="75"/>
      <c r="N238" s="74"/>
      <c r="O238" s="203"/>
      <c r="P238" s="20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spans="1:28" ht="15.75" customHeight="1">
      <c r="A239" s="200"/>
      <c r="B239" s="74"/>
      <c r="C239" s="72"/>
      <c r="D239" s="73"/>
      <c r="E239" s="72"/>
      <c r="F239" s="73"/>
      <c r="G239" s="74"/>
      <c r="H239" s="202"/>
      <c r="I239" s="74"/>
      <c r="J239" s="74"/>
      <c r="K239" s="74"/>
      <c r="L239" s="75"/>
      <c r="M239" s="75"/>
      <c r="N239" s="74"/>
      <c r="O239" s="203"/>
      <c r="P239" s="20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spans="1:28" ht="15.75" customHeight="1">
      <c r="A240" s="200"/>
      <c r="B240" s="74"/>
      <c r="C240" s="72"/>
      <c r="D240" s="73"/>
      <c r="E240" s="72"/>
      <c r="F240" s="73"/>
      <c r="G240" s="74"/>
      <c r="H240" s="202"/>
      <c r="I240" s="74"/>
      <c r="J240" s="74"/>
      <c r="K240" s="74"/>
      <c r="L240" s="75"/>
      <c r="M240" s="75"/>
      <c r="N240" s="74"/>
      <c r="O240" s="203"/>
      <c r="P240" s="20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spans="1:28" ht="15.75" customHeight="1">
      <c r="A241" s="200"/>
      <c r="B241" s="74"/>
      <c r="C241" s="72"/>
      <c r="D241" s="73"/>
      <c r="E241" s="72"/>
      <c r="F241" s="73"/>
      <c r="G241" s="74"/>
      <c r="H241" s="202"/>
      <c r="I241" s="74"/>
      <c r="J241" s="74"/>
      <c r="K241" s="74"/>
      <c r="L241" s="75"/>
      <c r="M241" s="75"/>
      <c r="N241" s="74"/>
      <c r="O241" s="203"/>
      <c r="P241" s="20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spans="1:28" ht="15.75" customHeight="1">
      <c r="A242" s="200"/>
      <c r="B242" s="74"/>
      <c r="C242" s="72"/>
      <c r="D242" s="73"/>
      <c r="E242" s="72"/>
      <c r="F242" s="73"/>
      <c r="G242" s="74"/>
      <c r="H242" s="202"/>
      <c r="I242" s="74"/>
      <c r="J242" s="74"/>
      <c r="K242" s="74"/>
      <c r="L242" s="75"/>
      <c r="M242" s="75"/>
      <c r="N242" s="74"/>
      <c r="O242" s="203"/>
      <c r="P242" s="20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spans="1:28" ht="15.75" customHeight="1">
      <c r="A243" s="200"/>
      <c r="B243" s="74"/>
      <c r="C243" s="72"/>
      <c r="D243" s="73"/>
      <c r="E243" s="72"/>
      <c r="F243" s="73"/>
      <c r="G243" s="74"/>
      <c r="H243" s="202"/>
      <c r="I243" s="74"/>
      <c r="J243" s="74"/>
      <c r="K243" s="74"/>
      <c r="L243" s="75"/>
      <c r="M243" s="75"/>
      <c r="N243" s="74"/>
      <c r="O243" s="203"/>
      <c r="P243" s="20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spans="1:28" ht="15.75" customHeight="1">
      <c r="A244" s="200"/>
      <c r="B244" s="74"/>
      <c r="C244" s="72"/>
      <c r="D244" s="73"/>
      <c r="E244" s="72"/>
      <c r="F244" s="73"/>
      <c r="G244" s="74"/>
      <c r="H244" s="202"/>
      <c r="I244" s="74"/>
      <c r="J244" s="74"/>
      <c r="K244" s="74"/>
      <c r="L244" s="75"/>
      <c r="M244" s="75"/>
      <c r="N244" s="74"/>
      <c r="O244" s="203"/>
      <c r="P244" s="20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spans="1:28" ht="15.75" customHeight="1">
      <c r="A245" s="200"/>
      <c r="B245" s="74"/>
      <c r="C245" s="72"/>
      <c r="D245" s="73"/>
      <c r="E245" s="72"/>
      <c r="F245" s="73"/>
      <c r="G245" s="74"/>
      <c r="H245" s="202"/>
      <c r="I245" s="74"/>
      <c r="J245" s="74"/>
      <c r="K245" s="74"/>
      <c r="L245" s="75"/>
      <c r="M245" s="75"/>
      <c r="N245" s="74"/>
      <c r="O245" s="203"/>
      <c r="P245" s="20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spans="1:28" ht="15.75" customHeight="1">
      <c r="A246" s="200"/>
      <c r="B246" s="74"/>
      <c r="C246" s="72"/>
      <c r="D246" s="73"/>
      <c r="E246" s="72"/>
      <c r="F246" s="73"/>
      <c r="G246" s="74"/>
      <c r="H246" s="202"/>
      <c r="I246" s="74"/>
      <c r="J246" s="74"/>
      <c r="K246" s="74"/>
      <c r="L246" s="75"/>
      <c r="M246" s="75"/>
      <c r="N246" s="74"/>
      <c r="O246" s="203"/>
      <c r="P246" s="20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spans="1:28" ht="15.75" customHeight="1">
      <c r="A247" s="200"/>
      <c r="B247" s="74"/>
      <c r="C247" s="72"/>
      <c r="D247" s="73"/>
      <c r="E247" s="72"/>
      <c r="F247" s="73"/>
      <c r="G247" s="74"/>
      <c r="H247" s="202"/>
      <c r="I247" s="74"/>
      <c r="J247" s="74"/>
      <c r="K247" s="74"/>
      <c r="L247" s="75"/>
      <c r="M247" s="75"/>
      <c r="N247" s="74"/>
      <c r="O247" s="203"/>
      <c r="P247" s="20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spans="1:28" ht="15.75" customHeight="1">
      <c r="A248" s="200"/>
      <c r="B248" s="74"/>
      <c r="C248" s="72"/>
      <c r="D248" s="73"/>
      <c r="E248" s="72"/>
      <c r="F248" s="73"/>
      <c r="G248" s="74"/>
      <c r="H248" s="202"/>
      <c r="I248" s="74"/>
      <c r="J248" s="74"/>
      <c r="K248" s="74"/>
      <c r="L248" s="75"/>
      <c r="M248" s="75"/>
      <c r="N248" s="74"/>
      <c r="O248" s="203"/>
      <c r="P248" s="20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</row>
    <row r="249" spans="1:28" ht="15.75" customHeight="1">
      <c r="A249" s="200"/>
      <c r="B249" s="74"/>
      <c r="C249" s="72"/>
      <c r="D249" s="73"/>
      <c r="E249" s="72"/>
      <c r="F249" s="73"/>
      <c r="G249" s="74"/>
      <c r="H249" s="202"/>
      <c r="I249" s="74"/>
      <c r="J249" s="74"/>
      <c r="K249" s="74"/>
      <c r="L249" s="75"/>
      <c r="M249" s="75"/>
      <c r="N249" s="74"/>
      <c r="O249" s="203"/>
      <c r="P249" s="20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</row>
    <row r="250" spans="1:28" ht="15.75" customHeight="1">
      <c r="A250" s="200"/>
      <c r="B250" s="74"/>
      <c r="C250" s="72"/>
      <c r="D250" s="73"/>
      <c r="E250" s="72"/>
      <c r="F250" s="73"/>
      <c r="G250" s="74"/>
      <c r="H250" s="202"/>
      <c r="I250" s="74"/>
      <c r="J250" s="74"/>
      <c r="K250" s="74"/>
      <c r="L250" s="75"/>
      <c r="M250" s="75"/>
      <c r="N250" s="74"/>
      <c r="O250" s="203"/>
      <c r="P250" s="20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</row>
    <row r="251" spans="1:28" ht="15.75" customHeight="1">
      <c r="A251" s="200"/>
      <c r="B251" s="74"/>
      <c r="C251" s="72"/>
      <c r="D251" s="73"/>
      <c r="E251" s="72"/>
      <c r="F251" s="73"/>
      <c r="G251" s="74"/>
      <c r="H251" s="202"/>
      <c r="I251" s="74"/>
      <c r="J251" s="74"/>
      <c r="K251" s="74"/>
      <c r="L251" s="75"/>
      <c r="M251" s="75"/>
      <c r="N251" s="74"/>
      <c r="O251" s="203"/>
      <c r="P251" s="20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</row>
    <row r="252" spans="1:28" ht="15.75" customHeight="1">
      <c r="A252" s="200"/>
      <c r="B252" s="74"/>
      <c r="C252" s="72"/>
      <c r="D252" s="73"/>
      <c r="E252" s="72"/>
      <c r="F252" s="73"/>
      <c r="G252" s="74"/>
      <c r="H252" s="202"/>
      <c r="I252" s="74"/>
      <c r="J252" s="74"/>
      <c r="K252" s="74"/>
      <c r="L252" s="75"/>
      <c r="M252" s="75"/>
      <c r="N252" s="74"/>
      <c r="O252" s="203"/>
      <c r="P252" s="20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</row>
    <row r="253" spans="1:28" ht="15.75" customHeight="1">
      <c r="A253" s="200"/>
      <c r="B253" s="74"/>
      <c r="C253" s="72"/>
      <c r="D253" s="73"/>
      <c r="E253" s="72"/>
      <c r="F253" s="73"/>
      <c r="G253" s="74"/>
      <c r="H253" s="202"/>
      <c r="I253" s="74"/>
      <c r="J253" s="74"/>
      <c r="K253" s="74"/>
      <c r="L253" s="75"/>
      <c r="M253" s="75"/>
      <c r="N253" s="74"/>
      <c r="O253" s="203"/>
      <c r="P253" s="20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</row>
    <row r="254" spans="1:28" ht="15.75" customHeight="1">
      <c r="A254" s="200"/>
      <c r="B254" s="74"/>
      <c r="C254" s="72"/>
      <c r="D254" s="73"/>
      <c r="E254" s="72"/>
      <c r="F254" s="73"/>
      <c r="G254" s="74"/>
      <c r="H254" s="202"/>
      <c r="I254" s="74"/>
      <c r="J254" s="74"/>
      <c r="K254" s="74"/>
      <c r="L254" s="75"/>
      <c r="M254" s="75"/>
      <c r="N254" s="74"/>
      <c r="O254" s="203"/>
      <c r="P254" s="20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</row>
    <row r="255" spans="1:28" ht="15.75" customHeight="1">
      <c r="A255" s="200"/>
      <c r="B255" s="74"/>
      <c r="C255" s="72"/>
      <c r="D255" s="73"/>
      <c r="E255" s="72"/>
      <c r="F255" s="73"/>
      <c r="G255" s="74"/>
      <c r="H255" s="202"/>
      <c r="I255" s="74"/>
      <c r="J255" s="74"/>
      <c r="K255" s="74"/>
      <c r="L255" s="75"/>
      <c r="M255" s="75"/>
      <c r="N255" s="74"/>
      <c r="O255" s="203"/>
      <c r="P255" s="20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</row>
    <row r="256" spans="1:28" ht="15.75" customHeight="1">
      <c r="A256" s="200"/>
      <c r="B256" s="74"/>
      <c r="C256" s="72"/>
      <c r="D256" s="73"/>
      <c r="E256" s="72"/>
      <c r="F256" s="73"/>
      <c r="G256" s="74"/>
      <c r="H256" s="202"/>
      <c r="I256" s="74"/>
      <c r="J256" s="74"/>
      <c r="K256" s="74"/>
      <c r="L256" s="75"/>
      <c r="M256" s="75"/>
      <c r="N256" s="74"/>
      <c r="O256" s="203"/>
      <c r="P256" s="20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</row>
    <row r="257" spans="1:28" ht="15.75" customHeight="1">
      <c r="A257" s="200"/>
      <c r="B257" s="74"/>
      <c r="C257" s="72"/>
      <c r="D257" s="73"/>
      <c r="E257" s="72"/>
      <c r="F257" s="73"/>
      <c r="G257" s="74"/>
      <c r="H257" s="202"/>
      <c r="I257" s="74"/>
      <c r="J257" s="74"/>
      <c r="K257" s="74"/>
      <c r="L257" s="75"/>
      <c r="M257" s="75"/>
      <c r="N257" s="74"/>
      <c r="O257" s="203"/>
      <c r="P257" s="20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</row>
    <row r="258" spans="1:28" ht="15.75" customHeight="1">
      <c r="A258" s="200"/>
      <c r="B258" s="74"/>
      <c r="C258" s="72"/>
      <c r="D258" s="73"/>
      <c r="E258" s="72"/>
      <c r="F258" s="73"/>
      <c r="G258" s="74"/>
      <c r="H258" s="202"/>
      <c r="I258" s="74"/>
      <c r="J258" s="74"/>
      <c r="K258" s="74"/>
      <c r="L258" s="75"/>
      <c r="M258" s="75"/>
      <c r="N258" s="74"/>
      <c r="O258" s="203"/>
      <c r="P258" s="20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</row>
    <row r="259" spans="1:28" ht="15.75" customHeight="1">
      <c r="A259" s="200"/>
      <c r="B259" s="74"/>
      <c r="C259" s="72"/>
      <c r="D259" s="73"/>
      <c r="E259" s="72"/>
      <c r="F259" s="73"/>
      <c r="G259" s="74"/>
      <c r="H259" s="202"/>
      <c r="I259" s="74"/>
      <c r="J259" s="74"/>
      <c r="K259" s="74"/>
      <c r="L259" s="75"/>
      <c r="M259" s="75"/>
      <c r="N259" s="74"/>
      <c r="O259" s="203"/>
      <c r="P259" s="20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</row>
    <row r="260" spans="1:28" ht="15.75" customHeight="1">
      <c r="A260" s="200"/>
      <c r="B260" s="74"/>
      <c r="C260" s="72"/>
      <c r="D260" s="73"/>
      <c r="E260" s="72"/>
      <c r="F260" s="73"/>
      <c r="G260" s="74"/>
      <c r="H260" s="202"/>
      <c r="I260" s="74"/>
      <c r="J260" s="74"/>
      <c r="K260" s="74"/>
      <c r="L260" s="75"/>
      <c r="M260" s="75"/>
      <c r="N260" s="74"/>
      <c r="O260" s="203"/>
      <c r="P260" s="20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</row>
    <row r="261" spans="1:28" ht="15.75" customHeight="1">
      <c r="A261" s="200"/>
      <c r="B261" s="74"/>
      <c r="C261" s="72"/>
      <c r="D261" s="73"/>
      <c r="E261" s="72"/>
      <c r="F261" s="73"/>
      <c r="G261" s="74"/>
      <c r="H261" s="202"/>
      <c r="I261" s="74"/>
      <c r="J261" s="74"/>
      <c r="K261" s="74"/>
      <c r="L261" s="75"/>
      <c r="M261" s="75"/>
      <c r="N261" s="74"/>
      <c r="O261" s="203"/>
      <c r="P261" s="20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</row>
    <row r="262" spans="1:28" ht="15.75" customHeight="1">
      <c r="A262" s="200"/>
      <c r="B262" s="74"/>
      <c r="C262" s="72"/>
      <c r="D262" s="73"/>
      <c r="E262" s="72"/>
      <c r="F262" s="73"/>
      <c r="G262" s="74"/>
      <c r="H262" s="202"/>
      <c r="I262" s="74"/>
      <c r="J262" s="74"/>
      <c r="K262" s="74"/>
      <c r="L262" s="75"/>
      <c r="M262" s="75"/>
      <c r="N262" s="74"/>
      <c r="O262" s="203"/>
      <c r="P262" s="20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</row>
    <row r="263" spans="1:28" ht="15.75" customHeight="1">
      <c r="A263" s="200"/>
      <c r="B263" s="74"/>
      <c r="C263" s="72"/>
      <c r="D263" s="73"/>
      <c r="E263" s="72"/>
      <c r="F263" s="73"/>
      <c r="G263" s="74"/>
      <c r="H263" s="202"/>
      <c r="I263" s="74"/>
      <c r="J263" s="74"/>
      <c r="K263" s="74"/>
      <c r="L263" s="75"/>
      <c r="M263" s="75"/>
      <c r="N263" s="74"/>
      <c r="O263" s="203"/>
      <c r="P263" s="20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</row>
    <row r="264" spans="1:28" ht="15.75" customHeight="1">
      <c r="A264" s="200"/>
      <c r="B264" s="74"/>
      <c r="C264" s="72"/>
      <c r="D264" s="73"/>
      <c r="E264" s="72"/>
      <c r="F264" s="73"/>
      <c r="G264" s="74"/>
      <c r="H264" s="202"/>
      <c r="I264" s="74"/>
      <c r="J264" s="74"/>
      <c r="K264" s="74"/>
      <c r="L264" s="75"/>
      <c r="M264" s="75"/>
      <c r="N264" s="74"/>
      <c r="O264" s="203"/>
      <c r="P264" s="20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</row>
    <row r="265" spans="1:28" ht="15.75" customHeight="1">
      <c r="A265" s="200"/>
      <c r="B265" s="74"/>
      <c r="C265" s="72"/>
      <c r="D265" s="73"/>
      <c r="E265" s="72"/>
      <c r="F265" s="73"/>
      <c r="G265" s="74"/>
      <c r="H265" s="202"/>
      <c r="I265" s="74"/>
      <c r="J265" s="74"/>
      <c r="K265" s="74"/>
      <c r="L265" s="75"/>
      <c r="M265" s="75"/>
      <c r="N265" s="74"/>
      <c r="O265" s="203"/>
      <c r="P265" s="20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</row>
    <row r="266" spans="1:28" ht="15.75" customHeight="1">
      <c r="A266" s="200"/>
      <c r="B266" s="74"/>
      <c r="C266" s="72"/>
      <c r="D266" s="73"/>
      <c r="E266" s="72"/>
      <c r="F266" s="73"/>
      <c r="G266" s="74"/>
      <c r="H266" s="202"/>
      <c r="I266" s="74"/>
      <c r="J266" s="74"/>
      <c r="K266" s="74"/>
      <c r="L266" s="75"/>
      <c r="M266" s="75"/>
      <c r="N266" s="74"/>
      <c r="O266" s="203"/>
      <c r="P266" s="20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</row>
    <row r="267" spans="1:28" ht="15.75" customHeight="1">
      <c r="A267" s="200"/>
      <c r="B267" s="74"/>
      <c r="C267" s="72"/>
      <c r="D267" s="73"/>
      <c r="E267" s="72"/>
      <c r="F267" s="73"/>
      <c r="G267" s="74"/>
      <c r="H267" s="202"/>
      <c r="I267" s="74"/>
      <c r="J267" s="74"/>
      <c r="K267" s="74"/>
      <c r="L267" s="75"/>
      <c r="M267" s="75"/>
      <c r="N267" s="74"/>
      <c r="O267" s="203"/>
      <c r="P267" s="20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</row>
    <row r="268" spans="1:28" ht="15.75" customHeight="1">
      <c r="A268" s="200"/>
      <c r="B268" s="74"/>
      <c r="C268" s="72"/>
      <c r="D268" s="73"/>
      <c r="E268" s="72"/>
      <c r="F268" s="73"/>
      <c r="G268" s="74"/>
      <c r="H268" s="202"/>
      <c r="I268" s="74"/>
      <c r="J268" s="74"/>
      <c r="K268" s="74"/>
      <c r="L268" s="75"/>
      <c r="M268" s="75"/>
      <c r="N268" s="74"/>
      <c r="O268" s="203"/>
      <c r="P268" s="20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</row>
    <row r="269" spans="1:28" ht="15.75" customHeight="1">
      <c r="A269" s="200"/>
      <c r="B269" s="74"/>
      <c r="C269" s="72"/>
      <c r="D269" s="73"/>
      <c r="E269" s="72"/>
      <c r="F269" s="73"/>
      <c r="G269" s="74"/>
      <c r="H269" s="202"/>
      <c r="I269" s="74"/>
      <c r="J269" s="74"/>
      <c r="K269" s="74"/>
      <c r="L269" s="75"/>
      <c r="M269" s="75"/>
      <c r="N269" s="74"/>
      <c r="O269" s="203"/>
      <c r="P269" s="20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</row>
    <row r="270" spans="1:28" ht="15.75" customHeight="1">
      <c r="A270" s="200"/>
      <c r="B270" s="74"/>
      <c r="C270" s="72"/>
      <c r="D270" s="73"/>
      <c r="E270" s="72"/>
      <c r="F270" s="73"/>
      <c r="G270" s="74"/>
      <c r="H270" s="202"/>
      <c r="I270" s="74"/>
      <c r="J270" s="74"/>
      <c r="K270" s="74"/>
      <c r="L270" s="75"/>
      <c r="M270" s="75"/>
      <c r="N270" s="74"/>
      <c r="O270" s="203"/>
      <c r="P270" s="20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</row>
    <row r="271" spans="1:28" ht="15.75" customHeight="1">
      <c r="A271" s="200"/>
      <c r="B271" s="74"/>
      <c r="C271" s="72"/>
      <c r="D271" s="73"/>
      <c r="E271" s="72"/>
      <c r="F271" s="73"/>
      <c r="G271" s="74"/>
      <c r="H271" s="202"/>
      <c r="I271" s="74"/>
      <c r="J271" s="74"/>
      <c r="K271" s="74"/>
      <c r="L271" s="75"/>
      <c r="M271" s="75"/>
      <c r="N271" s="74"/>
      <c r="O271" s="203"/>
      <c r="P271" s="20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</row>
    <row r="272" spans="1:28" ht="15.75" customHeight="1">
      <c r="A272" s="200"/>
      <c r="B272" s="74"/>
      <c r="C272" s="72"/>
      <c r="D272" s="73"/>
      <c r="E272" s="72"/>
      <c r="F272" s="73"/>
      <c r="G272" s="74"/>
      <c r="H272" s="202"/>
      <c r="I272" s="74"/>
      <c r="J272" s="74"/>
      <c r="K272" s="74"/>
      <c r="L272" s="75"/>
      <c r="M272" s="75"/>
      <c r="N272" s="74"/>
      <c r="O272" s="203"/>
      <c r="P272" s="20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</row>
    <row r="273" spans="1:28" ht="15.75" customHeight="1">
      <c r="A273" s="200"/>
      <c r="B273" s="74"/>
      <c r="C273" s="72"/>
      <c r="D273" s="73"/>
      <c r="E273" s="72"/>
      <c r="F273" s="73"/>
      <c r="G273" s="74"/>
      <c r="H273" s="202"/>
      <c r="I273" s="74"/>
      <c r="J273" s="74"/>
      <c r="K273" s="74"/>
      <c r="L273" s="75"/>
      <c r="M273" s="75"/>
      <c r="N273" s="74"/>
      <c r="O273" s="203"/>
      <c r="P273" s="20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</row>
    <row r="274" spans="1:28" ht="15.75" customHeight="1">
      <c r="A274" s="200"/>
      <c r="B274" s="74"/>
      <c r="C274" s="72"/>
      <c r="D274" s="73"/>
      <c r="E274" s="72"/>
      <c r="F274" s="73"/>
      <c r="G274" s="74"/>
      <c r="H274" s="202"/>
      <c r="I274" s="74"/>
      <c r="J274" s="74"/>
      <c r="K274" s="74"/>
      <c r="L274" s="75"/>
      <c r="M274" s="75"/>
      <c r="N274" s="74"/>
      <c r="O274" s="203"/>
      <c r="P274" s="20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</row>
    <row r="275" spans="1:28" ht="15.75" customHeight="1">
      <c r="A275" s="200"/>
      <c r="B275" s="74"/>
      <c r="C275" s="72"/>
      <c r="D275" s="73"/>
      <c r="E275" s="72"/>
      <c r="F275" s="73"/>
      <c r="G275" s="74"/>
      <c r="H275" s="202"/>
      <c r="I275" s="74"/>
      <c r="J275" s="74"/>
      <c r="K275" s="74"/>
      <c r="L275" s="75"/>
      <c r="M275" s="75"/>
      <c r="N275" s="74"/>
      <c r="O275" s="203"/>
      <c r="P275" s="20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</row>
    <row r="276" spans="1:28" ht="15.75" customHeight="1">
      <c r="A276" s="200"/>
      <c r="B276" s="74"/>
      <c r="C276" s="72"/>
      <c r="D276" s="73"/>
      <c r="E276" s="72"/>
      <c r="F276" s="73"/>
      <c r="G276" s="74"/>
      <c r="H276" s="202"/>
      <c r="I276" s="74"/>
      <c r="J276" s="74"/>
      <c r="K276" s="74"/>
      <c r="L276" s="75"/>
      <c r="M276" s="75"/>
      <c r="N276" s="74"/>
      <c r="O276" s="203"/>
      <c r="P276" s="20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</row>
    <row r="277" spans="1:28" ht="15.75" customHeight="1">
      <c r="A277" s="200"/>
      <c r="B277" s="74"/>
      <c r="C277" s="72"/>
      <c r="D277" s="73"/>
      <c r="E277" s="72"/>
      <c r="F277" s="73"/>
      <c r="G277" s="74"/>
      <c r="H277" s="202"/>
      <c r="I277" s="74"/>
      <c r="J277" s="74"/>
      <c r="K277" s="74"/>
      <c r="L277" s="75"/>
      <c r="M277" s="75"/>
      <c r="N277" s="74"/>
      <c r="O277" s="203"/>
      <c r="P277" s="20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</row>
    <row r="278" spans="1:28" ht="15.75" customHeight="1">
      <c r="A278" s="200"/>
      <c r="B278" s="74"/>
      <c r="C278" s="72"/>
      <c r="D278" s="73"/>
      <c r="E278" s="72"/>
      <c r="F278" s="73"/>
      <c r="G278" s="74"/>
      <c r="H278" s="202"/>
      <c r="I278" s="74"/>
      <c r="J278" s="74"/>
      <c r="K278" s="74"/>
      <c r="L278" s="75"/>
      <c r="M278" s="75"/>
      <c r="N278" s="74"/>
      <c r="O278" s="203"/>
      <c r="P278" s="20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</row>
    <row r="279" spans="1:28" ht="15.75" customHeight="1">
      <c r="A279" s="200"/>
      <c r="B279" s="74"/>
      <c r="C279" s="72"/>
      <c r="D279" s="73"/>
      <c r="E279" s="72"/>
      <c r="F279" s="73"/>
      <c r="G279" s="74"/>
      <c r="H279" s="202"/>
      <c r="I279" s="74"/>
      <c r="J279" s="74"/>
      <c r="K279" s="74"/>
      <c r="L279" s="75"/>
      <c r="M279" s="75"/>
      <c r="N279" s="74"/>
      <c r="O279" s="203"/>
      <c r="P279" s="20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</row>
    <row r="280" spans="1:28" ht="15.75" customHeight="1">
      <c r="A280" s="200"/>
      <c r="B280" s="74"/>
      <c r="C280" s="72"/>
      <c r="D280" s="73"/>
      <c r="E280" s="72"/>
      <c r="F280" s="73"/>
      <c r="G280" s="74"/>
      <c r="H280" s="202"/>
      <c r="I280" s="74"/>
      <c r="J280" s="74"/>
      <c r="K280" s="74"/>
      <c r="L280" s="75"/>
      <c r="M280" s="75"/>
      <c r="N280" s="74"/>
      <c r="O280" s="203"/>
      <c r="P280" s="20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</row>
    <row r="281" spans="1:28" ht="15.75" customHeight="1">
      <c r="A281" s="200"/>
      <c r="B281" s="74"/>
      <c r="C281" s="72"/>
      <c r="D281" s="73"/>
      <c r="E281" s="72"/>
      <c r="F281" s="73"/>
      <c r="G281" s="74"/>
      <c r="H281" s="202"/>
      <c r="I281" s="74"/>
      <c r="J281" s="74"/>
      <c r="K281" s="74"/>
      <c r="L281" s="75"/>
      <c r="M281" s="75"/>
      <c r="N281" s="74"/>
      <c r="O281" s="203"/>
      <c r="P281" s="20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</row>
    <row r="282" spans="1:28" ht="15.75" customHeight="1">
      <c r="A282" s="200"/>
      <c r="B282" s="74"/>
      <c r="C282" s="72"/>
      <c r="D282" s="73"/>
      <c r="E282" s="72"/>
      <c r="F282" s="73"/>
      <c r="G282" s="74"/>
      <c r="H282" s="202"/>
      <c r="I282" s="74"/>
      <c r="J282" s="74"/>
      <c r="K282" s="74"/>
      <c r="L282" s="75"/>
      <c r="M282" s="75"/>
      <c r="N282" s="74"/>
      <c r="O282" s="203"/>
      <c r="P282" s="20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</row>
    <row r="283" spans="1:28" ht="15.75" customHeight="1">
      <c r="A283" s="200"/>
      <c r="B283" s="74"/>
      <c r="C283" s="72"/>
      <c r="D283" s="73"/>
      <c r="E283" s="72"/>
      <c r="F283" s="73"/>
      <c r="G283" s="74"/>
      <c r="H283" s="202"/>
      <c r="I283" s="74"/>
      <c r="J283" s="74"/>
      <c r="K283" s="74"/>
      <c r="L283" s="75"/>
      <c r="M283" s="75"/>
      <c r="N283" s="74"/>
      <c r="O283" s="203"/>
      <c r="P283" s="20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</row>
    <row r="284" spans="1:28" ht="15.75" customHeight="1">
      <c r="A284" s="200"/>
      <c r="B284" s="74"/>
      <c r="C284" s="72"/>
      <c r="D284" s="73"/>
      <c r="E284" s="72"/>
      <c r="F284" s="73"/>
      <c r="G284" s="74"/>
      <c r="H284" s="202"/>
      <c r="I284" s="74"/>
      <c r="J284" s="74"/>
      <c r="K284" s="74"/>
      <c r="L284" s="75"/>
      <c r="M284" s="75"/>
      <c r="N284" s="74"/>
      <c r="O284" s="203"/>
      <c r="P284" s="20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</row>
    <row r="285" spans="1:28" ht="15.75" customHeight="1">
      <c r="A285" s="200"/>
      <c r="B285" s="74"/>
      <c r="C285" s="72"/>
      <c r="D285" s="73"/>
      <c r="E285" s="72"/>
      <c r="F285" s="73"/>
      <c r="G285" s="74"/>
      <c r="H285" s="202"/>
      <c r="I285" s="74"/>
      <c r="J285" s="74"/>
      <c r="K285" s="74"/>
      <c r="L285" s="75"/>
      <c r="M285" s="75"/>
      <c r="N285" s="74"/>
      <c r="O285" s="203"/>
      <c r="P285" s="20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</row>
    <row r="286" spans="1:28" ht="15.75" customHeight="1">
      <c r="A286" s="200"/>
      <c r="B286" s="74"/>
      <c r="C286" s="72"/>
      <c r="D286" s="73"/>
      <c r="E286" s="72"/>
      <c r="F286" s="73"/>
      <c r="G286" s="74"/>
      <c r="H286" s="202"/>
      <c r="I286" s="74"/>
      <c r="J286" s="74"/>
      <c r="K286" s="74"/>
      <c r="L286" s="75"/>
      <c r="M286" s="75"/>
      <c r="N286" s="74"/>
      <c r="O286" s="203"/>
      <c r="P286" s="20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</row>
    <row r="287" spans="1:28" ht="15.75" customHeight="1">
      <c r="A287" s="200"/>
      <c r="B287" s="74"/>
      <c r="C287" s="72"/>
      <c r="D287" s="73"/>
      <c r="E287" s="72"/>
      <c r="F287" s="73"/>
      <c r="G287" s="74"/>
      <c r="H287" s="202"/>
      <c r="I287" s="74"/>
      <c r="J287" s="74"/>
      <c r="K287" s="74"/>
      <c r="L287" s="75"/>
      <c r="M287" s="75"/>
      <c r="N287" s="74"/>
      <c r="O287" s="203"/>
      <c r="P287" s="20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</row>
    <row r="288" spans="1:28" ht="15.75" customHeight="1">
      <c r="A288" s="200"/>
      <c r="B288" s="74"/>
      <c r="C288" s="72"/>
      <c r="D288" s="73"/>
      <c r="E288" s="72"/>
      <c r="F288" s="73"/>
      <c r="G288" s="74"/>
      <c r="H288" s="202"/>
      <c r="I288" s="74"/>
      <c r="J288" s="74"/>
      <c r="K288" s="74"/>
      <c r="L288" s="75"/>
      <c r="M288" s="75"/>
      <c r="N288" s="74"/>
      <c r="O288" s="203"/>
      <c r="P288" s="20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</row>
    <row r="289" spans="1:28" ht="15.75" customHeight="1">
      <c r="A289" s="200"/>
      <c r="B289" s="74"/>
      <c r="C289" s="72"/>
      <c r="D289" s="73"/>
      <c r="E289" s="72"/>
      <c r="F289" s="73"/>
      <c r="G289" s="74"/>
      <c r="H289" s="202"/>
      <c r="I289" s="74"/>
      <c r="J289" s="74"/>
      <c r="K289" s="74"/>
      <c r="L289" s="75"/>
      <c r="M289" s="75"/>
      <c r="N289" s="74"/>
      <c r="O289" s="203"/>
      <c r="P289" s="20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</row>
    <row r="290" spans="1:28" ht="15.75" customHeight="1">
      <c r="A290" s="200"/>
      <c r="B290" s="74"/>
      <c r="C290" s="72"/>
      <c r="D290" s="73"/>
      <c r="E290" s="72"/>
      <c r="F290" s="73"/>
      <c r="G290" s="74"/>
      <c r="H290" s="202"/>
      <c r="I290" s="74"/>
      <c r="J290" s="74"/>
      <c r="K290" s="74"/>
      <c r="L290" s="75"/>
      <c r="M290" s="75"/>
      <c r="N290" s="74"/>
      <c r="O290" s="203"/>
      <c r="P290" s="20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</row>
    <row r="291" spans="1:28" ht="15.75" customHeight="1">
      <c r="A291" s="200"/>
      <c r="B291" s="74"/>
      <c r="C291" s="72"/>
      <c r="D291" s="73"/>
      <c r="E291" s="72"/>
      <c r="F291" s="73"/>
      <c r="G291" s="74"/>
      <c r="H291" s="202"/>
      <c r="I291" s="74"/>
      <c r="J291" s="74"/>
      <c r="K291" s="74"/>
      <c r="L291" s="75"/>
      <c r="M291" s="75"/>
      <c r="N291" s="74"/>
      <c r="O291" s="203"/>
      <c r="P291" s="20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</row>
    <row r="292" spans="1:28" ht="15.75" customHeight="1">
      <c r="A292" s="200"/>
      <c r="B292" s="74"/>
      <c r="C292" s="72"/>
      <c r="D292" s="73"/>
      <c r="E292" s="72"/>
      <c r="F292" s="73"/>
      <c r="G292" s="74"/>
      <c r="H292" s="202"/>
      <c r="I292" s="74"/>
      <c r="J292" s="74"/>
      <c r="K292" s="74"/>
      <c r="L292" s="75"/>
      <c r="M292" s="75"/>
      <c r="N292" s="74"/>
      <c r="O292" s="203"/>
      <c r="P292" s="20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</row>
    <row r="293" spans="1:28" ht="15.75" customHeight="1">
      <c r="A293" s="200"/>
      <c r="B293" s="74"/>
      <c r="C293" s="72"/>
      <c r="D293" s="73"/>
      <c r="E293" s="72"/>
      <c r="F293" s="73"/>
      <c r="G293" s="74"/>
      <c r="H293" s="202"/>
      <c r="I293" s="74"/>
      <c r="J293" s="74"/>
      <c r="K293" s="74"/>
      <c r="L293" s="75"/>
      <c r="M293" s="75"/>
      <c r="N293" s="74"/>
      <c r="O293" s="203"/>
      <c r="P293" s="20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</row>
    <row r="294" spans="1:28" ht="15.75" customHeight="1">
      <c r="A294" s="200"/>
      <c r="B294" s="74"/>
      <c r="C294" s="72"/>
      <c r="D294" s="73"/>
      <c r="E294" s="72"/>
      <c r="F294" s="73"/>
      <c r="G294" s="74"/>
      <c r="H294" s="202"/>
      <c r="I294" s="74"/>
      <c r="J294" s="74"/>
      <c r="K294" s="74"/>
      <c r="L294" s="75"/>
      <c r="M294" s="75"/>
      <c r="N294" s="74"/>
      <c r="O294" s="203"/>
      <c r="P294" s="20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</row>
    <row r="295" spans="1:28" ht="15.75" customHeight="1">
      <c r="A295" s="200"/>
      <c r="B295" s="74"/>
      <c r="C295" s="72"/>
      <c r="D295" s="73"/>
      <c r="E295" s="72"/>
      <c r="F295" s="73"/>
      <c r="G295" s="74"/>
      <c r="H295" s="202"/>
      <c r="I295" s="74"/>
      <c r="J295" s="74"/>
      <c r="K295" s="74"/>
      <c r="L295" s="75"/>
      <c r="M295" s="75"/>
      <c r="N295" s="74"/>
      <c r="O295" s="203"/>
      <c r="P295" s="20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</row>
    <row r="296" spans="1:28" ht="15.75" customHeight="1">
      <c r="A296" s="200"/>
      <c r="B296" s="74"/>
      <c r="C296" s="72"/>
      <c r="D296" s="73"/>
      <c r="E296" s="72"/>
      <c r="F296" s="73"/>
      <c r="G296" s="74"/>
      <c r="H296" s="202"/>
      <c r="I296" s="74"/>
      <c r="J296" s="74"/>
      <c r="K296" s="74"/>
      <c r="L296" s="75"/>
      <c r="M296" s="75"/>
      <c r="N296" s="74"/>
      <c r="O296" s="203"/>
      <c r="P296" s="20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</row>
    <row r="297" spans="1:28" ht="15.75" customHeight="1">
      <c r="A297" s="200"/>
      <c r="B297" s="74"/>
      <c r="C297" s="72"/>
      <c r="D297" s="73"/>
      <c r="E297" s="72"/>
      <c r="F297" s="73"/>
      <c r="G297" s="74"/>
      <c r="H297" s="202"/>
      <c r="I297" s="74"/>
      <c r="J297" s="74"/>
      <c r="K297" s="74"/>
      <c r="L297" s="75"/>
      <c r="M297" s="75"/>
      <c r="N297" s="74"/>
      <c r="O297" s="203"/>
      <c r="P297" s="20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</row>
    <row r="298" spans="1:28" ht="15.75" customHeight="1">
      <c r="A298" s="200"/>
      <c r="B298" s="74"/>
      <c r="C298" s="72"/>
      <c r="D298" s="73"/>
      <c r="E298" s="72"/>
      <c r="F298" s="73"/>
      <c r="G298" s="74"/>
      <c r="H298" s="202"/>
      <c r="I298" s="74"/>
      <c r="J298" s="74"/>
      <c r="K298" s="74"/>
      <c r="L298" s="75"/>
      <c r="M298" s="75"/>
      <c r="N298" s="74"/>
      <c r="O298" s="203"/>
      <c r="P298" s="20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</row>
    <row r="299" spans="1:28" ht="15.75" customHeight="1">
      <c r="A299" s="200"/>
      <c r="B299" s="74"/>
      <c r="C299" s="72"/>
      <c r="D299" s="73"/>
      <c r="E299" s="72"/>
      <c r="F299" s="73"/>
      <c r="G299" s="74"/>
      <c r="H299" s="202"/>
      <c r="I299" s="74"/>
      <c r="J299" s="74"/>
      <c r="K299" s="74"/>
      <c r="L299" s="75"/>
      <c r="M299" s="75"/>
      <c r="N299" s="74"/>
      <c r="O299" s="203"/>
      <c r="P299" s="20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</row>
    <row r="300" spans="1:28" ht="15.75" customHeight="1">
      <c r="A300" s="200"/>
      <c r="B300" s="74"/>
      <c r="C300" s="72"/>
      <c r="D300" s="73"/>
      <c r="E300" s="72"/>
      <c r="F300" s="73"/>
      <c r="G300" s="74"/>
      <c r="H300" s="202"/>
      <c r="I300" s="74"/>
      <c r="J300" s="74"/>
      <c r="K300" s="74"/>
      <c r="L300" s="75"/>
      <c r="M300" s="75"/>
      <c r="N300" s="74"/>
      <c r="O300" s="203"/>
      <c r="P300" s="20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</row>
    <row r="301" spans="1:28" ht="15.75" customHeight="1">
      <c r="A301" s="200"/>
      <c r="B301" s="74"/>
      <c r="C301" s="72"/>
      <c r="D301" s="73"/>
      <c r="E301" s="72"/>
      <c r="F301" s="73"/>
      <c r="G301" s="74"/>
      <c r="H301" s="202"/>
      <c r="I301" s="74"/>
      <c r="J301" s="74"/>
      <c r="K301" s="74"/>
      <c r="L301" s="75"/>
      <c r="M301" s="75"/>
      <c r="N301" s="74"/>
      <c r="O301" s="203"/>
      <c r="P301" s="20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</row>
    <row r="302" spans="1:28" ht="15.75" customHeight="1">
      <c r="A302" s="200"/>
      <c r="B302" s="74"/>
      <c r="C302" s="72"/>
      <c r="D302" s="73"/>
      <c r="E302" s="72"/>
      <c r="F302" s="73"/>
      <c r="G302" s="74"/>
      <c r="H302" s="202"/>
      <c r="I302" s="74"/>
      <c r="J302" s="74"/>
      <c r="K302" s="74"/>
      <c r="L302" s="75"/>
      <c r="M302" s="75"/>
      <c r="N302" s="74"/>
      <c r="O302" s="203"/>
      <c r="P302" s="20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</row>
    <row r="303" spans="1:28" ht="15.75" customHeight="1">
      <c r="A303" s="200"/>
      <c r="B303" s="74"/>
      <c r="C303" s="72"/>
      <c r="D303" s="73"/>
      <c r="E303" s="72"/>
      <c r="F303" s="73"/>
      <c r="G303" s="74"/>
      <c r="H303" s="202"/>
      <c r="I303" s="74"/>
      <c r="J303" s="74"/>
      <c r="K303" s="74"/>
      <c r="L303" s="75"/>
      <c r="M303" s="75"/>
      <c r="N303" s="74"/>
      <c r="O303" s="203"/>
      <c r="P303" s="20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</row>
    <row r="304" spans="1:28" ht="15.75" customHeight="1">
      <c r="A304" s="200"/>
      <c r="B304" s="74"/>
      <c r="C304" s="72"/>
      <c r="D304" s="73"/>
      <c r="E304" s="72"/>
      <c r="F304" s="73"/>
      <c r="G304" s="74"/>
      <c r="H304" s="202"/>
      <c r="I304" s="74"/>
      <c r="J304" s="74"/>
      <c r="K304" s="74"/>
      <c r="L304" s="75"/>
      <c r="M304" s="75"/>
      <c r="N304" s="74"/>
      <c r="O304" s="203"/>
      <c r="P304" s="20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</row>
    <row r="305" spans="1:28" ht="15.75" customHeight="1">
      <c r="A305" s="200"/>
      <c r="B305" s="74"/>
      <c r="C305" s="72"/>
      <c r="D305" s="73"/>
      <c r="E305" s="72"/>
      <c r="F305" s="73"/>
      <c r="G305" s="74"/>
      <c r="H305" s="202"/>
      <c r="I305" s="74"/>
      <c r="J305" s="74"/>
      <c r="K305" s="74"/>
      <c r="L305" s="75"/>
      <c r="M305" s="75"/>
      <c r="N305" s="74"/>
      <c r="O305" s="203"/>
      <c r="P305" s="20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</row>
    <row r="306" spans="1:28" ht="15.75" customHeight="1">
      <c r="A306" s="200"/>
      <c r="B306" s="74"/>
      <c r="C306" s="72"/>
      <c r="D306" s="73"/>
      <c r="E306" s="72"/>
      <c r="F306" s="73"/>
      <c r="G306" s="74"/>
      <c r="H306" s="202"/>
      <c r="I306" s="74"/>
      <c r="J306" s="74"/>
      <c r="K306" s="74"/>
      <c r="L306" s="75"/>
      <c r="M306" s="75"/>
      <c r="N306" s="74"/>
      <c r="O306" s="203"/>
      <c r="P306" s="20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</row>
    <row r="307" spans="1:28" ht="15.75" customHeight="1">
      <c r="A307" s="200"/>
      <c r="B307" s="74"/>
      <c r="C307" s="72"/>
      <c r="D307" s="73"/>
      <c r="E307" s="72"/>
      <c r="F307" s="73"/>
      <c r="G307" s="74"/>
      <c r="H307" s="202"/>
      <c r="I307" s="74"/>
      <c r="J307" s="74"/>
      <c r="K307" s="74"/>
      <c r="L307" s="75"/>
      <c r="M307" s="75"/>
      <c r="N307" s="74"/>
      <c r="O307" s="203"/>
      <c r="P307" s="20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</row>
    <row r="308" spans="1:28" ht="15.75" customHeight="1">
      <c r="A308" s="200"/>
      <c r="B308" s="74"/>
      <c r="C308" s="72"/>
      <c r="D308" s="73"/>
      <c r="E308" s="72"/>
      <c r="F308" s="73"/>
      <c r="G308" s="74"/>
      <c r="H308" s="202"/>
      <c r="I308" s="74"/>
      <c r="J308" s="74"/>
      <c r="K308" s="74"/>
      <c r="L308" s="75"/>
      <c r="M308" s="75"/>
      <c r="N308" s="74"/>
      <c r="O308" s="203"/>
      <c r="P308" s="20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</row>
    <row r="309" spans="1:28" ht="15.75" customHeight="1">
      <c r="A309" s="200"/>
      <c r="B309" s="74"/>
      <c r="C309" s="72"/>
      <c r="D309" s="73"/>
      <c r="E309" s="72"/>
      <c r="F309" s="73"/>
      <c r="G309" s="74"/>
      <c r="H309" s="202"/>
      <c r="I309" s="74"/>
      <c r="J309" s="74"/>
      <c r="K309" s="74"/>
      <c r="L309" s="75"/>
      <c r="M309" s="75"/>
      <c r="N309" s="74"/>
      <c r="O309" s="203"/>
      <c r="P309" s="20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</row>
    <row r="310" spans="1:28" ht="15.75" customHeight="1">
      <c r="A310" s="200"/>
      <c r="B310" s="74"/>
      <c r="C310" s="72"/>
      <c r="D310" s="73"/>
      <c r="E310" s="72"/>
      <c r="F310" s="73"/>
      <c r="G310" s="74"/>
      <c r="H310" s="202"/>
      <c r="I310" s="74"/>
      <c r="J310" s="74"/>
      <c r="K310" s="74"/>
      <c r="L310" s="75"/>
      <c r="M310" s="75"/>
      <c r="N310" s="74"/>
      <c r="O310" s="203"/>
      <c r="P310" s="20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</row>
    <row r="311" spans="1:28" ht="15.75" customHeight="1">
      <c r="A311" s="200"/>
      <c r="B311" s="74"/>
      <c r="C311" s="72"/>
      <c r="D311" s="73"/>
      <c r="E311" s="72"/>
      <c r="F311" s="73"/>
      <c r="G311" s="74"/>
      <c r="H311" s="202"/>
      <c r="I311" s="74"/>
      <c r="J311" s="74"/>
      <c r="K311" s="74"/>
      <c r="L311" s="75"/>
      <c r="M311" s="75"/>
      <c r="N311" s="74"/>
      <c r="O311" s="203"/>
      <c r="P311" s="20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</row>
    <row r="312" spans="1:28" ht="15.75" customHeight="1">
      <c r="A312" s="200"/>
      <c r="B312" s="74"/>
      <c r="C312" s="72"/>
      <c r="D312" s="73"/>
      <c r="E312" s="72"/>
      <c r="F312" s="73"/>
      <c r="G312" s="74"/>
      <c r="H312" s="202"/>
      <c r="I312" s="74"/>
      <c r="J312" s="74"/>
      <c r="K312" s="74"/>
      <c r="L312" s="75"/>
      <c r="M312" s="75"/>
      <c r="N312" s="74"/>
      <c r="O312" s="203"/>
      <c r="P312" s="20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</row>
    <row r="313" spans="1:28" ht="15.75" customHeight="1">
      <c r="A313" s="200"/>
      <c r="B313" s="74"/>
      <c r="C313" s="72"/>
      <c r="D313" s="73"/>
      <c r="E313" s="72"/>
      <c r="F313" s="73"/>
      <c r="G313" s="74"/>
      <c r="H313" s="202"/>
      <c r="I313" s="74"/>
      <c r="J313" s="74"/>
      <c r="K313" s="74"/>
      <c r="L313" s="75"/>
      <c r="M313" s="75"/>
      <c r="N313" s="74"/>
      <c r="O313" s="203"/>
      <c r="P313" s="20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</row>
    <row r="314" spans="1:28" ht="15.75" customHeight="1">
      <c r="A314" s="200"/>
      <c r="B314" s="74"/>
      <c r="C314" s="72"/>
      <c r="D314" s="73"/>
      <c r="E314" s="72"/>
      <c r="F314" s="73"/>
      <c r="G314" s="74"/>
      <c r="H314" s="202"/>
      <c r="I314" s="74"/>
      <c r="J314" s="74"/>
      <c r="K314" s="74"/>
      <c r="L314" s="75"/>
      <c r="M314" s="75"/>
      <c r="N314" s="74"/>
      <c r="O314" s="203"/>
      <c r="P314" s="20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</row>
    <row r="315" spans="1:28" ht="15.75" customHeight="1">
      <c r="A315" s="200"/>
      <c r="B315" s="74"/>
      <c r="C315" s="72"/>
      <c r="D315" s="73"/>
      <c r="E315" s="72"/>
      <c r="F315" s="73"/>
      <c r="G315" s="74"/>
      <c r="H315" s="202"/>
      <c r="I315" s="74"/>
      <c r="J315" s="74"/>
      <c r="K315" s="74"/>
      <c r="L315" s="75"/>
      <c r="M315" s="75"/>
      <c r="N315" s="74"/>
      <c r="O315" s="203"/>
      <c r="P315" s="20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</row>
    <row r="316" spans="1:28" ht="15.75" customHeight="1">
      <c r="A316" s="200"/>
      <c r="B316" s="74"/>
      <c r="C316" s="72"/>
      <c r="D316" s="73"/>
      <c r="E316" s="72"/>
      <c r="F316" s="73"/>
      <c r="G316" s="74"/>
      <c r="H316" s="202"/>
      <c r="I316" s="74"/>
      <c r="J316" s="74"/>
      <c r="K316" s="74"/>
      <c r="L316" s="75"/>
      <c r="M316" s="75"/>
      <c r="N316" s="74"/>
      <c r="O316" s="203"/>
      <c r="P316" s="20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</row>
    <row r="317" spans="1:28" ht="15.75" customHeight="1">
      <c r="A317" s="200"/>
      <c r="B317" s="74"/>
      <c r="C317" s="72"/>
      <c r="D317" s="73"/>
      <c r="E317" s="72"/>
      <c r="F317" s="73"/>
      <c r="G317" s="74"/>
      <c r="H317" s="202"/>
      <c r="I317" s="74"/>
      <c r="J317" s="74"/>
      <c r="K317" s="74"/>
      <c r="L317" s="75"/>
      <c r="M317" s="75"/>
      <c r="N317" s="74"/>
      <c r="O317" s="203"/>
      <c r="P317" s="20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</row>
    <row r="318" spans="1:28" ht="15.75" customHeight="1">
      <c r="A318" s="200"/>
      <c r="B318" s="74"/>
      <c r="C318" s="72"/>
      <c r="D318" s="73"/>
      <c r="E318" s="72"/>
      <c r="F318" s="73"/>
      <c r="G318" s="74"/>
      <c r="H318" s="202"/>
      <c r="I318" s="74"/>
      <c r="J318" s="74"/>
      <c r="K318" s="74"/>
      <c r="L318" s="75"/>
      <c r="M318" s="75"/>
      <c r="N318" s="74"/>
      <c r="O318" s="203"/>
      <c r="P318" s="20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</row>
    <row r="319" spans="1:28" ht="15.75" customHeight="1">
      <c r="A319" s="200"/>
      <c r="B319" s="74"/>
      <c r="C319" s="72"/>
      <c r="D319" s="73"/>
      <c r="E319" s="72"/>
      <c r="F319" s="73"/>
      <c r="G319" s="74"/>
      <c r="H319" s="202"/>
      <c r="I319" s="74"/>
      <c r="J319" s="74"/>
      <c r="K319" s="74"/>
      <c r="L319" s="75"/>
      <c r="M319" s="75"/>
      <c r="N319" s="74"/>
      <c r="O319" s="203"/>
      <c r="P319" s="20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</row>
    <row r="320" spans="1:28" ht="15.75" customHeight="1">
      <c r="A320" s="200"/>
      <c r="B320" s="74"/>
      <c r="C320" s="72"/>
      <c r="D320" s="73"/>
      <c r="E320" s="72"/>
      <c r="F320" s="73"/>
      <c r="G320" s="74"/>
      <c r="H320" s="202"/>
      <c r="I320" s="74"/>
      <c r="J320" s="74"/>
      <c r="K320" s="74"/>
      <c r="L320" s="75"/>
      <c r="M320" s="75"/>
      <c r="N320" s="74"/>
      <c r="O320" s="203"/>
      <c r="P320" s="20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</row>
    <row r="321" spans="1:28" ht="15.75" customHeight="1">
      <c r="A321" s="200"/>
      <c r="B321" s="74"/>
      <c r="C321" s="72"/>
      <c r="D321" s="73"/>
      <c r="E321" s="72"/>
      <c r="F321" s="73"/>
      <c r="G321" s="74"/>
      <c r="H321" s="202"/>
      <c r="I321" s="74"/>
      <c r="J321" s="74"/>
      <c r="K321" s="74"/>
      <c r="L321" s="75"/>
      <c r="M321" s="75"/>
      <c r="N321" s="74"/>
      <c r="O321" s="203"/>
      <c r="P321" s="20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</row>
    <row r="322" spans="1:28" ht="15.75" customHeight="1">
      <c r="A322" s="200"/>
      <c r="B322" s="74"/>
      <c r="C322" s="72"/>
      <c r="D322" s="73"/>
      <c r="E322" s="72"/>
      <c r="F322" s="73"/>
      <c r="G322" s="74"/>
      <c r="H322" s="202"/>
      <c r="I322" s="74"/>
      <c r="J322" s="74"/>
      <c r="K322" s="74"/>
      <c r="L322" s="75"/>
      <c r="M322" s="75"/>
      <c r="N322" s="74"/>
      <c r="O322" s="203"/>
      <c r="P322" s="20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</row>
    <row r="323" spans="1:28" ht="15.75" customHeight="1">
      <c r="A323" s="200"/>
      <c r="B323" s="74"/>
      <c r="C323" s="72"/>
      <c r="D323" s="73"/>
      <c r="E323" s="72"/>
      <c r="F323" s="73"/>
      <c r="G323" s="74"/>
      <c r="H323" s="202"/>
      <c r="I323" s="74"/>
      <c r="J323" s="74"/>
      <c r="K323" s="74"/>
      <c r="L323" s="75"/>
      <c r="M323" s="75"/>
      <c r="N323" s="74"/>
      <c r="O323" s="203"/>
      <c r="P323" s="20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</row>
    <row r="324" spans="1:28" ht="15.75" customHeight="1">
      <c r="A324" s="200"/>
      <c r="B324" s="74"/>
      <c r="C324" s="72"/>
      <c r="D324" s="73"/>
      <c r="E324" s="72"/>
      <c r="F324" s="73"/>
      <c r="G324" s="74"/>
      <c r="H324" s="202"/>
      <c r="I324" s="74"/>
      <c r="J324" s="74"/>
      <c r="K324" s="74"/>
      <c r="L324" s="75"/>
      <c r="M324" s="75"/>
      <c r="N324" s="74"/>
      <c r="O324" s="203"/>
      <c r="P324" s="20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</row>
    <row r="325" spans="1:28" ht="15.75" customHeight="1">
      <c r="A325" s="200"/>
      <c r="B325" s="74"/>
      <c r="C325" s="72"/>
      <c r="D325" s="73"/>
      <c r="E325" s="72"/>
      <c r="F325" s="73"/>
      <c r="G325" s="74"/>
      <c r="H325" s="202"/>
      <c r="I325" s="74"/>
      <c r="J325" s="74"/>
      <c r="K325" s="74"/>
      <c r="L325" s="75"/>
      <c r="M325" s="75"/>
      <c r="N325" s="74"/>
      <c r="O325" s="203"/>
      <c r="P325" s="20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</row>
    <row r="326" spans="1:28" ht="15.75" customHeight="1">
      <c r="A326" s="200"/>
      <c r="B326" s="74"/>
      <c r="C326" s="72"/>
      <c r="D326" s="73"/>
      <c r="E326" s="72"/>
      <c r="F326" s="73"/>
      <c r="G326" s="74"/>
      <c r="H326" s="202"/>
      <c r="I326" s="74"/>
      <c r="J326" s="74"/>
      <c r="K326" s="74"/>
      <c r="L326" s="75"/>
      <c r="M326" s="75"/>
      <c r="N326" s="74"/>
      <c r="O326" s="203"/>
      <c r="P326" s="20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</row>
    <row r="327" spans="1:28" ht="15.75" customHeight="1">
      <c r="A327" s="200"/>
      <c r="B327" s="74"/>
      <c r="C327" s="72"/>
      <c r="D327" s="73"/>
      <c r="E327" s="72"/>
      <c r="F327" s="73"/>
      <c r="G327" s="74"/>
      <c r="H327" s="202"/>
      <c r="I327" s="74"/>
      <c r="J327" s="74"/>
      <c r="K327" s="74"/>
      <c r="L327" s="75"/>
      <c r="M327" s="75"/>
      <c r="N327" s="74"/>
      <c r="O327" s="203"/>
      <c r="P327" s="20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</row>
    <row r="328" spans="1:28" ht="15.75" customHeight="1">
      <c r="A328" s="200"/>
      <c r="B328" s="74"/>
      <c r="C328" s="72"/>
      <c r="D328" s="73"/>
      <c r="E328" s="72"/>
      <c r="F328" s="73"/>
      <c r="G328" s="74"/>
      <c r="H328" s="202"/>
      <c r="I328" s="74"/>
      <c r="J328" s="74"/>
      <c r="K328" s="74"/>
      <c r="L328" s="75"/>
      <c r="M328" s="75"/>
      <c r="N328" s="74"/>
      <c r="O328" s="203"/>
      <c r="P328" s="20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</row>
    <row r="329" spans="1:28" ht="15.75" customHeight="1">
      <c r="A329" s="200"/>
      <c r="B329" s="74"/>
      <c r="C329" s="72"/>
      <c r="D329" s="73"/>
      <c r="E329" s="72"/>
      <c r="F329" s="73"/>
      <c r="G329" s="74"/>
      <c r="H329" s="202"/>
      <c r="I329" s="74"/>
      <c r="J329" s="74"/>
      <c r="K329" s="74"/>
      <c r="L329" s="75"/>
      <c r="M329" s="75"/>
      <c r="N329" s="74"/>
      <c r="O329" s="203"/>
      <c r="P329" s="20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</row>
    <row r="330" spans="1:28" ht="15.75" customHeight="1">
      <c r="A330" s="200"/>
      <c r="B330" s="74"/>
      <c r="C330" s="72"/>
      <c r="D330" s="73"/>
      <c r="E330" s="72"/>
      <c r="F330" s="73"/>
      <c r="G330" s="74"/>
      <c r="H330" s="202"/>
      <c r="I330" s="74"/>
      <c r="J330" s="74"/>
      <c r="K330" s="74"/>
      <c r="L330" s="75"/>
      <c r="M330" s="75"/>
      <c r="N330" s="74"/>
      <c r="O330" s="203"/>
      <c r="P330" s="20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</row>
    <row r="331" spans="1:28" ht="15.75" customHeight="1">
      <c r="A331" s="200"/>
      <c r="B331" s="74"/>
      <c r="C331" s="72"/>
      <c r="D331" s="73"/>
      <c r="E331" s="72"/>
      <c r="F331" s="73"/>
      <c r="G331" s="74"/>
      <c r="H331" s="202"/>
      <c r="I331" s="74"/>
      <c r="J331" s="74"/>
      <c r="K331" s="74"/>
      <c r="L331" s="75"/>
      <c r="M331" s="75"/>
      <c r="N331" s="74"/>
      <c r="O331" s="203"/>
      <c r="P331" s="20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</row>
    <row r="332" spans="1:28" ht="15.75" customHeight="1">
      <c r="A332" s="200"/>
      <c r="B332" s="74"/>
      <c r="C332" s="72"/>
      <c r="D332" s="73"/>
      <c r="E332" s="72"/>
      <c r="F332" s="73"/>
      <c r="G332" s="74"/>
      <c r="H332" s="202"/>
      <c r="I332" s="74"/>
      <c r="J332" s="74"/>
      <c r="K332" s="74"/>
      <c r="L332" s="75"/>
      <c r="M332" s="75"/>
      <c r="N332" s="74"/>
      <c r="O332" s="203"/>
      <c r="P332" s="20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</row>
    <row r="333" spans="1:28" ht="15.75" customHeight="1">
      <c r="A333" s="200"/>
      <c r="B333" s="74"/>
      <c r="C333" s="72"/>
      <c r="D333" s="73"/>
      <c r="E333" s="72"/>
      <c r="F333" s="73"/>
      <c r="G333" s="74"/>
      <c r="H333" s="202"/>
      <c r="I333" s="74"/>
      <c r="J333" s="74"/>
      <c r="K333" s="74"/>
      <c r="L333" s="75"/>
      <c r="M333" s="75"/>
      <c r="N333" s="74"/>
      <c r="O333" s="203"/>
      <c r="P333" s="20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</row>
    <row r="334" spans="1:28" ht="15.75" customHeight="1">
      <c r="A334" s="200"/>
      <c r="B334" s="74"/>
      <c r="C334" s="72"/>
      <c r="D334" s="73"/>
      <c r="E334" s="72"/>
      <c r="F334" s="73"/>
      <c r="G334" s="74"/>
      <c r="H334" s="202"/>
      <c r="I334" s="74"/>
      <c r="J334" s="74"/>
      <c r="K334" s="74"/>
      <c r="L334" s="75"/>
      <c r="M334" s="75"/>
      <c r="N334" s="74"/>
      <c r="O334" s="203"/>
      <c r="P334" s="20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</row>
    <row r="335" spans="1:28" ht="15.75" customHeight="1">
      <c r="A335" s="200"/>
      <c r="B335" s="74"/>
      <c r="C335" s="72"/>
      <c r="D335" s="73"/>
      <c r="E335" s="72"/>
      <c r="F335" s="73"/>
      <c r="G335" s="74"/>
      <c r="H335" s="202"/>
      <c r="I335" s="74"/>
      <c r="J335" s="74"/>
      <c r="K335" s="74"/>
      <c r="L335" s="75"/>
      <c r="M335" s="75"/>
      <c r="N335" s="74"/>
      <c r="O335" s="203"/>
      <c r="P335" s="20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</row>
    <row r="336" spans="1:28" ht="15.75" customHeight="1">
      <c r="A336" s="200"/>
      <c r="B336" s="74"/>
      <c r="C336" s="72"/>
      <c r="D336" s="73"/>
      <c r="E336" s="72"/>
      <c r="F336" s="73"/>
      <c r="G336" s="74"/>
      <c r="H336" s="202"/>
      <c r="I336" s="74"/>
      <c r="J336" s="74"/>
      <c r="K336" s="74"/>
      <c r="L336" s="75"/>
      <c r="M336" s="75"/>
      <c r="N336" s="74"/>
      <c r="O336" s="203"/>
      <c r="P336" s="20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</row>
    <row r="337" spans="1:28" ht="15.75" customHeight="1">
      <c r="A337" s="200"/>
      <c r="B337" s="74"/>
      <c r="C337" s="72"/>
      <c r="D337" s="73"/>
      <c r="E337" s="72"/>
      <c r="F337" s="73"/>
      <c r="G337" s="74"/>
      <c r="H337" s="202"/>
      <c r="I337" s="74"/>
      <c r="J337" s="74"/>
      <c r="K337" s="74"/>
      <c r="L337" s="75"/>
      <c r="M337" s="75"/>
      <c r="N337" s="74"/>
      <c r="O337" s="203"/>
      <c r="P337" s="20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</row>
    <row r="338" spans="1:28" ht="15.75" customHeight="1">
      <c r="A338" s="200"/>
      <c r="B338" s="74"/>
      <c r="C338" s="72"/>
      <c r="D338" s="73"/>
      <c r="E338" s="72"/>
      <c r="F338" s="73"/>
      <c r="G338" s="74"/>
      <c r="H338" s="202"/>
      <c r="I338" s="74"/>
      <c r="J338" s="74"/>
      <c r="K338" s="74"/>
      <c r="L338" s="75"/>
      <c r="M338" s="75"/>
      <c r="N338" s="74"/>
      <c r="O338" s="203"/>
      <c r="P338" s="20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</row>
    <row r="339" spans="1:28" ht="15.75" customHeight="1">
      <c r="A339" s="200"/>
      <c r="B339" s="74"/>
      <c r="C339" s="72"/>
      <c r="D339" s="73"/>
      <c r="E339" s="72"/>
      <c r="F339" s="73"/>
      <c r="G339" s="74"/>
      <c r="H339" s="202"/>
      <c r="I339" s="74"/>
      <c r="J339" s="74"/>
      <c r="K339" s="74"/>
      <c r="L339" s="75"/>
      <c r="M339" s="75"/>
      <c r="N339" s="74"/>
      <c r="O339" s="203"/>
      <c r="P339" s="20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</row>
    <row r="340" spans="1:28" ht="15.75" customHeight="1">
      <c r="A340" s="200"/>
      <c r="B340" s="74"/>
      <c r="C340" s="72"/>
      <c r="D340" s="73"/>
      <c r="E340" s="72"/>
      <c r="F340" s="73"/>
      <c r="G340" s="74"/>
      <c r="H340" s="202"/>
      <c r="I340" s="74"/>
      <c r="J340" s="74"/>
      <c r="K340" s="74"/>
      <c r="L340" s="75"/>
      <c r="M340" s="75"/>
      <c r="N340" s="74"/>
      <c r="O340" s="203"/>
      <c r="P340" s="20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</row>
    <row r="341" spans="1:28" ht="15.75" customHeight="1">
      <c r="A341" s="200"/>
      <c r="B341" s="74"/>
      <c r="C341" s="72"/>
      <c r="D341" s="73"/>
      <c r="E341" s="72"/>
      <c r="F341" s="73"/>
      <c r="G341" s="74"/>
      <c r="H341" s="202"/>
      <c r="I341" s="74"/>
      <c r="J341" s="74"/>
      <c r="K341" s="74"/>
      <c r="L341" s="75"/>
      <c r="M341" s="75"/>
      <c r="N341" s="74"/>
      <c r="O341" s="203"/>
      <c r="P341" s="20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</row>
    <row r="342" spans="1:28" ht="15.75" customHeight="1">
      <c r="A342" s="200"/>
      <c r="B342" s="74"/>
      <c r="C342" s="72"/>
      <c r="D342" s="73"/>
      <c r="E342" s="72"/>
      <c r="F342" s="73"/>
      <c r="G342" s="74"/>
      <c r="H342" s="202"/>
      <c r="I342" s="74"/>
      <c r="J342" s="74"/>
      <c r="K342" s="74"/>
      <c r="L342" s="75"/>
      <c r="M342" s="75"/>
      <c r="N342" s="74"/>
      <c r="O342" s="203"/>
      <c r="P342" s="20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</row>
    <row r="343" spans="1:28" ht="15.75" customHeight="1">
      <c r="A343" s="200"/>
      <c r="B343" s="74"/>
      <c r="C343" s="72"/>
      <c r="D343" s="73"/>
      <c r="E343" s="72"/>
      <c r="F343" s="73"/>
      <c r="G343" s="74"/>
      <c r="H343" s="202"/>
      <c r="I343" s="74"/>
      <c r="J343" s="74"/>
      <c r="K343" s="74"/>
      <c r="L343" s="75"/>
      <c r="M343" s="75"/>
      <c r="N343" s="74"/>
      <c r="O343" s="203"/>
      <c r="P343" s="20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</row>
    <row r="344" spans="1:28" ht="15.75" customHeight="1">
      <c r="A344" s="200"/>
      <c r="B344" s="74"/>
      <c r="C344" s="72"/>
      <c r="D344" s="73"/>
      <c r="E344" s="72"/>
      <c r="F344" s="73"/>
      <c r="G344" s="74"/>
      <c r="H344" s="202"/>
      <c r="I344" s="74"/>
      <c r="J344" s="74"/>
      <c r="K344" s="74"/>
      <c r="L344" s="75"/>
      <c r="M344" s="75"/>
      <c r="N344" s="74"/>
      <c r="O344" s="203"/>
      <c r="P344" s="20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</row>
    <row r="345" spans="1:28" ht="15.75" customHeight="1">
      <c r="A345" s="200"/>
      <c r="B345" s="74"/>
      <c r="C345" s="72"/>
      <c r="D345" s="73"/>
      <c r="E345" s="72"/>
      <c r="F345" s="73"/>
      <c r="G345" s="74"/>
      <c r="H345" s="202"/>
      <c r="I345" s="74"/>
      <c r="J345" s="74"/>
      <c r="K345" s="74"/>
      <c r="L345" s="75"/>
      <c r="M345" s="75"/>
      <c r="N345" s="74"/>
      <c r="O345" s="203"/>
      <c r="P345" s="20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</row>
    <row r="346" spans="1:28" ht="15.75" customHeight="1">
      <c r="A346" s="200"/>
      <c r="B346" s="74"/>
      <c r="C346" s="72"/>
      <c r="D346" s="73"/>
      <c r="E346" s="72"/>
      <c r="F346" s="73"/>
      <c r="G346" s="74"/>
      <c r="H346" s="202"/>
      <c r="I346" s="74"/>
      <c r="J346" s="74"/>
      <c r="K346" s="74"/>
      <c r="L346" s="75"/>
      <c r="M346" s="75"/>
      <c r="N346" s="74"/>
      <c r="O346" s="203"/>
      <c r="P346" s="20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</row>
    <row r="347" spans="1:28" ht="15.75" customHeight="1">
      <c r="A347" s="200"/>
      <c r="B347" s="74"/>
      <c r="C347" s="72"/>
      <c r="D347" s="73"/>
      <c r="E347" s="72"/>
      <c r="F347" s="73"/>
      <c r="G347" s="74"/>
      <c r="H347" s="202"/>
      <c r="I347" s="74"/>
      <c r="J347" s="74"/>
      <c r="K347" s="74"/>
      <c r="L347" s="75"/>
      <c r="M347" s="75"/>
      <c r="N347" s="74"/>
      <c r="O347" s="203"/>
      <c r="P347" s="20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</row>
    <row r="348" spans="1:28" ht="15.75" customHeight="1">
      <c r="A348" s="200"/>
      <c r="B348" s="74"/>
      <c r="C348" s="72"/>
      <c r="D348" s="73"/>
      <c r="E348" s="72"/>
      <c r="F348" s="73"/>
      <c r="G348" s="74"/>
      <c r="H348" s="202"/>
      <c r="I348" s="74"/>
      <c r="J348" s="74"/>
      <c r="K348" s="74"/>
      <c r="L348" s="75"/>
      <c r="M348" s="75"/>
      <c r="N348" s="74"/>
      <c r="O348" s="203"/>
      <c r="P348" s="20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</row>
    <row r="349" spans="1:28" ht="15.75" customHeight="1">
      <c r="A349" s="200"/>
      <c r="B349" s="74"/>
      <c r="C349" s="72"/>
      <c r="D349" s="73"/>
      <c r="E349" s="72"/>
      <c r="F349" s="73"/>
      <c r="G349" s="74"/>
      <c r="H349" s="202"/>
      <c r="I349" s="74"/>
      <c r="J349" s="74"/>
      <c r="K349" s="74"/>
      <c r="L349" s="75"/>
      <c r="M349" s="75"/>
      <c r="N349" s="74"/>
      <c r="O349" s="203"/>
      <c r="P349" s="20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</row>
    <row r="350" spans="1:28" ht="15.75" customHeight="1">
      <c r="A350" s="200"/>
      <c r="B350" s="74"/>
      <c r="C350" s="72"/>
      <c r="D350" s="73"/>
      <c r="E350" s="72"/>
      <c r="F350" s="73"/>
      <c r="G350" s="74"/>
      <c r="H350" s="202"/>
      <c r="I350" s="74"/>
      <c r="J350" s="74"/>
      <c r="K350" s="74"/>
      <c r="L350" s="75"/>
      <c r="M350" s="75"/>
      <c r="N350" s="74"/>
      <c r="O350" s="203"/>
      <c r="P350" s="20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</row>
    <row r="351" spans="1:28" ht="15.75" customHeight="1">
      <c r="A351" s="200"/>
      <c r="B351" s="74"/>
      <c r="C351" s="72"/>
      <c r="D351" s="73"/>
      <c r="E351" s="72"/>
      <c r="F351" s="73"/>
      <c r="G351" s="74"/>
      <c r="H351" s="202"/>
      <c r="I351" s="74"/>
      <c r="J351" s="74"/>
      <c r="K351" s="74"/>
      <c r="L351" s="75"/>
      <c r="M351" s="75"/>
      <c r="N351" s="74"/>
      <c r="O351" s="203"/>
      <c r="P351" s="20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</row>
    <row r="352" spans="1:28" ht="15.75" customHeight="1">
      <c r="A352" s="200"/>
      <c r="B352" s="74"/>
      <c r="C352" s="72"/>
      <c r="D352" s="73"/>
      <c r="E352" s="72"/>
      <c r="F352" s="73"/>
      <c r="G352" s="74"/>
      <c r="H352" s="202"/>
      <c r="I352" s="74"/>
      <c r="J352" s="74"/>
      <c r="K352" s="74"/>
      <c r="L352" s="75"/>
      <c r="M352" s="75"/>
      <c r="N352" s="74"/>
      <c r="O352" s="203"/>
      <c r="P352" s="20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</row>
    <row r="353" spans="1:28" ht="15.75" customHeight="1">
      <c r="A353" s="200"/>
      <c r="B353" s="74"/>
      <c r="C353" s="72"/>
      <c r="D353" s="73"/>
      <c r="E353" s="72"/>
      <c r="F353" s="73"/>
      <c r="G353" s="74"/>
      <c r="H353" s="202"/>
      <c r="I353" s="74"/>
      <c r="J353" s="74"/>
      <c r="K353" s="74"/>
      <c r="L353" s="75"/>
      <c r="M353" s="75"/>
      <c r="N353" s="74"/>
      <c r="O353" s="203"/>
      <c r="P353" s="20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</row>
    <row r="354" spans="1:28" ht="15.75" customHeight="1">
      <c r="A354" s="200"/>
      <c r="B354" s="74"/>
      <c r="C354" s="72"/>
      <c r="D354" s="73"/>
      <c r="E354" s="72"/>
      <c r="F354" s="73"/>
      <c r="G354" s="74"/>
      <c r="H354" s="202"/>
      <c r="I354" s="74"/>
      <c r="J354" s="74"/>
      <c r="K354" s="74"/>
      <c r="L354" s="75"/>
      <c r="M354" s="75"/>
      <c r="N354" s="74"/>
      <c r="O354" s="203"/>
      <c r="P354" s="20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</row>
    <row r="355" spans="1:28" ht="15.75" customHeight="1">
      <c r="A355" s="200"/>
      <c r="B355" s="74"/>
      <c r="C355" s="72"/>
      <c r="D355" s="73"/>
      <c r="E355" s="72"/>
      <c r="F355" s="73"/>
      <c r="G355" s="74"/>
      <c r="H355" s="202"/>
      <c r="I355" s="74"/>
      <c r="J355" s="74"/>
      <c r="K355" s="74"/>
      <c r="L355" s="75"/>
      <c r="M355" s="75"/>
      <c r="N355" s="74"/>
      <c r="O355" s="203"/>
      <c r="P355" s="20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</row>
    <row r="356" spans="1:28" ht="15.75" customHeight="1">
      <c r="A356" s="200"/>
      <c r="B356" s="74"/>
      <c r="C356" s="72"/>
      <c r="D356" s="73"/>
      <c r="E356" s="72"/>
      <c r="F356" s="73"/>
      <c r="G356" s="74"/>
      <c r="H356" s="202"/>
      <c r="I356" s="74"/>
      <c r="J356" s="74"/>
      <c r="K356" s="74"/>
      <c r="L356" s="75"/>
      <c r="M356" s="75"/>
      <c r="N356" s="74"/>
      <c r="O356" s="203"/>
      <c r="P356" s="20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</row>
    <row r="357" spans="1:28" ht="15.75" customHeight="1">
      <c r="A357" s="200"/>
      <c r="B357" s="74"/>
      <c r="C357" s="72"/>
      <c r="D357" s="73"/>
      <c r="E357" s="72"/>
      <c r="F357" s="73"/>
      <c r="G357" s="74"/>
      <c r="H357" s="202"/>
      <c r="I357" s="74"/>
      <c r="J357" s="74"/>
      <c r="K357" s="74"/>
      <c r="L357" s="75"/>
      <c r="M357" s="75"/>
      <c r="N357" s="74"/>
      <c r="O357" s="203"/>
      <c r="P357" s="20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</row>
    <row r="358" spans="1:28" ht="15.75" customHeight="1">
      <c r="A358" s="200"/>
      <c r="B358" s="74"/>
      <c r="C358" s="72"/>
      <c r="D358" s="73"/>
      <c r="E358" s="72"/>
      <c r="F358" s="73"/>
      <c r="G358" s="74"/>
      <c r="H358" s="202"/>
      <c r="I358" s="74"/>
      <c r="J358" s="74"/>
      <c r="K358" s="74"/>
      <c r="L358" s="75"/>
      <c r="M358" s="75"/>
      <c r="N358" s="74"/>
      <c r="O358" s="203"/>
      <c r="P358" s="20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</row>
    <row r="359" spans="1:28" ht="15.75" customHeight="1">
      <c r="A359" s="200"/>
      <c r="B359" s="74"/>
      <c r="C359" s="72"/>
      <c r="D359" s="73"/>
      <c r="E359" s="72"/>
      <c r="F359" s="73"/>
      <c r="G359" s="74"/>
      <c r="H359" s="202"/>
      <c r="I359" s="74"/>
      <c r="J359" s="74"/>
      <c r="K359" s="74"/>
      <c r="L359" s="75"/>
      <c r="M359" s="75"/>
      <c r="N359" s="74"/>
      <c r="O359" s="203"/>
      <c r="P359" s="20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</row>
    <row r="360" spans="1:28" ht="15.75" customHeight="1">
      <c r="A360" s="200"/>
      <c r="B360" s="74"/>
      <c r="C360" s="72"/>
      <c r="D360" s="73"/>
      <c r="E360" s="72"/>
      <c r="F360" s="73"/>
      <c r="G360" s="74"/>
      <c r="H360" s="202"/>
      <c r="I360" s="74"/>
      <c r="J360" s="74"/>
      <c r="K360" s="74"/>
      <c r="L360" s="75"/>
      <c r="M360" s="75"/>
      <c r="N360" s="74"/>
      <c r="O360" s="203"/>
      <c r="P360" s="20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</row>
    <row r="361" spans="1:28" ht="15.75" customHeight="1">
      <c r="A361" s="200"/>
      <c r="B361" s="74"/>
      <c r="C361" s="72"/>
      <c r="D361" s="73"/>
      <c r="E361" s="72"/>
      <c r="F361" s="73"/>
      <c r="G361" s="74"/>
      <c r="H361" s="202"/>
      <c r="I361" s="74"/>
      <c r="J361" s="74"/>
      <c r="K361" s="74"/>
      <c r="L361" s="75"/>
      <c r="M361" s="75"/>
      <c r="N361" s="74"/>
      <c r="O361" s="203"/>
      <c r="P361" s="20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</row>
    <row r="362" spans="1:28" ht="15.75" customHeight="1">
      <c r="A362" s="200"/>
      <c r="B362" s="74"/>
      <c r="C362" s="72"/>
      <c r="D362" s="73"/>
      <c r="E362" s="72"/>
      <c r="F362" s="73"/>
      <c r="G362" s="74"/>
      <c r="H362" s="202"/>
      <c r="I362" s="74"/>
      <c r="J362" s="74"/>
      <c r="K362" s="74"/>
      <c r="L362" s="75"/>
      <c r="M362" s="75"/>
      <c r="N362" s="74"/>
      <c r="O362" s="203"/>
      <c r="P362" s="20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</row>
    <row r="363" spans="1:28" ht="15.75" customHeight="1">
      <c r="A363" s="200"/>
      <c r="B363" s="74"/>
      <c r="C363" s="72"/>
      <c r="D363" s="73"/>
      <c r="E363" s="72"/>
      <c r="F363" s="73"/>
      <c r="G363" s="74"/>
      <c r="H363" s="202"/>
      <c r="I363" s="74"/>
      <c r="J363" s="74"/>
      <c r="K363" s="74"/>
      <c r="L363" s="75"/>
      <c r="M363" s="75"/>
      <c r="N363" s="74"/>
      <c r="O363" s="203"/>
      <c r="P363" s="20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</row>
    <row r="364" spans="1:28" ht="15.75" customHeight="1">
      <c r="A364" s="200"/>
      <c r="B364" s="74"/>
      <c r="C364" s="72"/>
      <c r="D364" s="73"/>
      <c r="E364" s="72"/>
      <c r="F364" s="73"/>
      <c r="G364" s="74"/>
      <c r="H364" s="202"/>
      <c r="I364" s="74"/>
      <c r="J364" s="74"/>
      <c r="K364" s="74"/>
      <c r="L364" s="75"/>
      <c r="M364" s="75"/>
      <c r="N364" s="74"/>
      <c r="O364" s="203"/>
      <c r="P364" s="20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</row>
    <row r="365" spans="1:28" ht="15.75" customHeight="1">
      <c r="A365" s="200"/>
      <c r="B365" s="74"/>
      <c r="C365" s="72"/>
      <c r="D365" s="73"/>
      <c r="E365" s="72"/>
      <c r="F365" s="73"/>
      <c r="G365" s="74"/>
      <c r="H365" s="202"/>
      <c r="I365" s="74"/>
      <c r="J365" s="74"/>
      <c r="K365" s="74"/>
      <c r="L365" s="75"/>
      <c r="M365" s="75"/>
      <c r="N365" s="74"/>
      <c r="O365" s="203"/>
      <c r="P365" s="20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</row>
    <row r="366" spans="1:28" ht="15.75" customHeight="1">
      <c r="A366" s="200"/>
      <c r="B366" s="74"/>
      <c r="C366" s="72"/>
      <c r="D366" s="73"/>
      <c r="E366" s="72"/>
      <c r="F366" s="73"/>
      <c r="G366" s="74"/>
      <c r="H366" s="202"/>
      <c r="I366" s="74"/>
      <c r="J366" s="74"/>
      <c r="K366" s="74"/>
      <c r="L366" s="75"/>
      <c r="M366" s="75"/>
      <c r="N366" s="74"/>
      <c r="O366" s="203"/>
      <c r="P366" s="20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</row>
    <row r="367" spans="1:28" ht="15.75" customHeight="1">
      <c r="A367" s="200"/>
      <c r="B367" s="74"/>
      <c r="C367" s="72"/>
      <c r="D367" s="73"/>
      <c r="E367" s="72"/>
      <c r="F367" s="73"/>
      <c r="G367" s="74"/>
      <c r="H367" s="202"/>
      <c r="I367" s="74"/>
      <c r="J367" s="74"/>
      <c r="K367" s="74"/>
      <c r="L367" s="75"/>
      <c r="M367" s="75"/>
      <c r="N367" s="74"/>
      <c r="O367" s="203"/>
      <c r="P367" s="20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</row>
    <row r="368" spans="1:28" ht="15.75" customHeight="1">
      <c r="A368" s="200"/>
      <c r="B368" s="74"/>
      <c r="C368" s="72"/>
      <c r="D368" s="73"/>
      <c r="E368" s="72"/>
      <c r="F368" s="73"/>
      <c r="G368" s="74"/>
      <c r="H368" s="202"/>
      <c r="I368" s="74"/>
      <c r="J368" s="74"/>
      <c r="K368" s="74"/>
      <c r="L368" s="75"/>
      <c r="M368" s="75"/>
      <c r="N368" s="74"/>
      <c r="O368" s="203"/>
      <c r="P368" s="20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</row>
    <row r="369" spans="1:28" ht="15.75" customHeight="1">
      <c r="A369" s="200"/>
      <c r="B369" s="74"/>
      <c r="C369" s="72"/>
      <c r="D369" s="73"/>
      <c r="E369" s="72"/>
      <c r="F369" s="73"/>
      <c r="G369" s="74"/>
      <c r="H369" s="202"/>
      <c r="I369" s="74"/>
      <c r="J369" s="74"/>
      <c r="K369" s="74"/>
      <c r="L369" s="75"/>
      <c r="M369" s="75"/>
      <c r="N369" s="74"/>
      <c r="O369" s="203"/>
      <c r="P369" s="20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</row>
    <row r="370" spans="1:28" ht="15.75" customHeight="1">
      <c r="A370" s="200"/>
      <c r="B370" s="74"/>
      <c r="C370" s="72"/>
      <c r="D370" s="73"/>
      <c r="E370" s="72"/>
      <c r="F370" s="73"/>
      <c r="G370" s="74"/>
      <c r="H370" s="202"/>
      <c r="I370" s="74"/>
      <c r="J370" s="74"/>
      <c r="K370" s="74"/>
      <c r="L370" s="75"/>
      <c r="M370" s="75"/>
      <c r="N370" s="74"/>
      <c r="O370" s="203"/>
      <c r="P370" s="20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</row>
    <row r="371" spans="1:28" ht="15.75" customHeight="1">
      <c r="A371" s="200"/>
      <c r="B371" s="74"/>
      <c r="C371" s="72"/>
      <c r="D371" s="73"/>
      <c r="E371" s="72"/>
      <c r="F371" s="73"/>
      <c r="G371" s="74"/>
      <c r="H371" s="202"/>
      <c r="I371" s="74"/>
      <c r="J371" s="74"/>
      <c r="K371" s="74"/>
      <c r="L371" s="75"/>
      <c r="M371" s="75"/>
      <c r="N371" s="74"/>
      <c r="O371" s="203"/>
      <c r="P371" s="20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</row>
    <row r="372" spans="1:28" ht="15.75" customHeight="1">
      <c r="A372" s="200"/>
      <c r="B372" s="74"/>
      <c r="C372" s="72"/>
      <c r="D372" s="73"/>
      <c r="E372" s="72"/>
      <c r="F372" s="73"/>
      <c r="G372" s="74"/>
      <c r="H372" s="202"/>
      <c r="I372" s="74"/>
      <c r="J372" s="74"/>
      <c r="K372" s="74"/>
      <c r="L372" s="75"/>
      <c r="M372" s="75"/>
      <c r="N372" s="74"/>
      <c r="O372" s="203"/>
      <c r="P372" s="20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</row>
    <row r="373" spans="1:28" ht="15.75" customHeight="1">
      <c r="A373" s="200"/>
      <c r="B373" s="74"/>
      <c r="C373" s="72"/>
      <c r="D373" s="73"/>
      <c r="E373" s="72"/>
      <c r="F373" s="73"/>
      <c r="G373" s="74"/>
      <c r="H373" s="202"/>
      <c r="I373" s="74"/>
      <c r="J373" s="74"/>
      <c r="K373" s="74"/>
      <c r="L373" s="75"/>
      <c r="M373" s="75"/>
      <c r="N373" s="74"/>
      <c r="O373" s="203"/>
      <c r="P373" s="20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</row>
    <row r="374" spans="1:28" ht="15.75" customHeight="1">
      <c r="A374" s="200"/>
      <c r="B374" s="74"/>
      <c r="C374" s="72"/>
      <c r="D374" s="73"/>
      <c r="E374" s="72"/>
      <c r="F374" s="73"/>
      <c r="G374" s="74"/>
      <c r="H374" s="202"/>
      <c r="I374" s="74"/>
      <c r="J374" s="74"/>
      <c r="K374" s="74"/>
      <c r="L374" s="75"/>
      <c r="M374" s="75"/>
      <c r="N374" s="74"/>
      <c r="O374" s="203"/>
      <c r="P374" s="20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</row>
    <row r="375" spans="1:28" ht="15.75" customHeight="1">
      <c r="A375" s="200"/>
      <c r="B375" s="74"/>
      <c r="C375" s="72"/>
      <c r="D375" s="73"/>
      <c r="E375" s="72"/>
      <c r="F375" s="73"/>
      <c r="G375" s="74"/>
      <c r="H375" s="202"/>
      <c r="I375" s="74"/>
      <c r="J375" s="74"/>
      <c r="K375" s="74"/>
      <c r="L375" s="75"/>
      <c r="M375" s="75"/>
      <c r="N375" s="74"/>
      <c r="O375" s="203"/>
      <c r="P375" s="20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</row>
    <row r="376" spans="1:28" ht="15.75" customHeight="1">
      <c r="A376" s="200"/>
      <c r="B376" s="74"/>
      <c r="C376" s="72"/>
      <c r="D376" s="73"/>
      <c r="E376" s="72"/>
      <c r="F376" s="73"/>
      <c r="G376" s="74"/>
      <c r="H376" s="202"/>
      <c r="I376" s="74"/>
      <c r="J376" s="74"/>
      <c r="K376" s="74"/>
      <c r="L376" s="75"/>
      <c r="M376" s="75"/>
      <c r="N376" s="74"/>
      <c r="O376" s="203"/>
      <c r="P376" s="20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</row>
    <row r="377" spans="1:28" ht="15.75" customHeight="1">
      <c r="A377" s="200"/>
      <c r="B377" s="74"/>
      <c r="C377" s="72"/>
      <c r="D377" s="73"/>
      <c r="E377" s="72"/>
      <c r="F377" s="73"/>
      <c r="G377" s="74"/>
      <c r="H377" s="202"/>
      <c r="I377" s="74"/>
      <c r="J377" s="74"/>
      <c r="K377" s="74"/>
      <c r="L377" s="75"/>
      <c r="M377" s="75"/>
      <c r="N377" s="74"/>
      <c r="O377" s="203"/>
      <c r="P377" s="20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</row>
    <row r="378" spans="1:28" ht="15.75" customHeight="1">
      <c r="A378" s="200"/>
      <c r="B378" s="74"/>
      <c r="C378" s="72"/>
      <c r="D378" s="73"/>
      <c r="E378" s="72"/>
      <c r="F378" s="73"/>
      <c r="G378" s="74"/>
      <c r="H378" s="202"/>
      <c r="I378" s="74"/>
      <c r="J378" s="74"/>
      <c r="K378" s="74"/>
      <c r="L378" s="75"/>
      <c r="M378" s="75"/>
      <c r="N378" s="74"/>
      <c r="O378" s="203"/>
      <c r="P378" s="20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</row>
    <row r="379" spans="1:28" ht="15.75" customHeight="1">
      <c r="A379" s="200"/>
      <c r="B379" s="74"/>
      <c r="C379" s="72"/>
      <c r="D379" s="73"/>
      <c r="E379" s="72"/>
      <c r="F379" s="73"/>
      <c r="G379" s="74"/>
      <c r="H379" s="202"/>
      <c r="I379" s="74"/>
      <c r="J379" s="74"/>
      <c r="K379" s="74"/>
      <c r="L379" s="75"/>
      <c r="M379" s="75"/>
      <c r="N379" s="74"/>
      <c r="O379" s="203"/>
      <c r="P379" s="20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</row>
    <row r="380" spans="1:28" ht="15.75" customHeight="1">
      <c r="A380" s="200"/>
      <c r="B380" s="74"/>
      <c r="C380" s="72"/>
      <c r="D380" s="73"/>
      <c r="E380" s="72"/>
      <c r="F380" s="73"/>
      <c r="G380" s="74"/>
      <c r="H380" s="202"/>
      <c r="I380" s="74"/>
      <c r="J380" s="74"/>
      <c r="K380" s="74"/>
      <c r="L380" s="75"/>
      <c r="M380" s="75"/>
      <c r="N380" s="74"/>
      <c r="O380" s="203"/>
      <c r="P380" s="20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</row>
    <row r="381" spans="1:28" ht="15.75" customHeight="1">
      <c r="A381" s="200"/>
      <c r="B381" s="74"/>
      <c r="C381" s="72"/>
      <c r="D381" s="73"/>
      <c r="E381" s="72"/>
      <c r="F381" s="73"/>
      <c r="G381" s="74"/>
      <c r="H381" s="202"/>
      <c r="I381" s="74"/>
      <c r="J381" s="74"/>
      <c r="K381" s="74"/>
      <c r="L381" s="75"/>
      <c r="M381" s="75"/>
      <c r="N381" s="74"/>
      <c r="O381" s="203"/>
      <c r="P381" s="20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</row>
    <row r="382" spans="1:28" ht="15.75" customHeight="1">
      <c r="A382" s="200"/>
      <c r="B382" s="74"/>
      <c r="C382" s="72"/>
      <c r="D382" s="73"/>
      <c r="E382" s="72"/>
      <c r="F382" s="73"/>
      <c r="G382" s="74"/>
      <c r="H382" s="202"/>
      <c r="I382" s="74"/>
      <c r="J382" s="74"/>
      <c r="K382" s="74"/>
      <c r="L382" s="75"/>
      <c r="M382" s="75"/>
      <c r="N382" s="74"/>
      <c r="O382" s="203"/>
      <c r="P382" s="20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</row>
    <row r="383" spans="1:28" ht="15.75" customHeight="1">
      <c r="A383" s="200"/>
      <c r="B383" s="74"/>
      <c r="C383" s="72"/>
      <c r="D383" s="73"/>
      <c r="E383" s="72"/>
      <c r="F383" s="73"/>
      <c r="G383" s="74"/>
      <c r="H383" s="202"/>
      <c r="I383" s="74"/>
      <c r="J383" s="74"/>
      <c r="K383" s="74"/>
      <c r="L383" s="75"/>
      <c r="M383" s="75"/>
      <c r="N383" s="74"/>
      <c r="O383" s="203"/>
      <c r="P383" s="20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</row>
    <row r="384" spans="1:28" ht="15.75" customHeight="1">
      <c r="A384" s="200"/>
      <c r="B384" s="74"/>
      <c r="C384" s="72"/>
      <c r="D384" s="73"/>
      <c r="E384" s="72"/>
      <c r="F384" s="73"/>
      <c r="G384" s="74"/>
      <c r="H384" s="202"/>
      <c r="I384" s="74"/>
      <c r="J384" s="74"/>
      <c r="K384" s="74"/>
      <c r="L384" s="75"/>
      <c r="M384" s="75"/>
      <c r="N384" s="74"/>
      <c r="O384" s="203"/>
      <c r="P384" s="20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</row>
    <row r="385" spans="1:28" ht="15.75" customHeight="1">
      <c r="A385" s="200"/>
      <c r="B385" s="74"/>
      <c r="C385" s="72"/>
      <c r="D385" s="73"/>
      <c r="E385" s="72"/>
      <c r="F385" s="73"/>
      <c r="G385" s="74"/>
      <c r="H385" s="202"/>
      <c r="I385" s="74"/>
      <c r="J385" s="74"/>
      <c r="K385" s="74"/>
      <c r="L385" s="75"/>
      <c r="M385" s="75"/>
      <c r="N385" s="74"/>
      <c r="O385" s="203"/>
      <c r="P385" s="20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</row>
    <row r="386" spans="1:28" ht="15.75" customHeight="1">
      <c r="A386" s="200"/>
      <c r="B386" s="74"/>
      <c r="C386" s="72"/>
      <c r="D386" s="73"/>
      <c r="E386" s="72"/>
      <c r="F386" s="73"/>
      <c r="G386" s="74"/>
      <c r="H386" s="202"/>
      <c r="I386" s="74"/>
      <c r="J386" s="74"/>
      <c r="K386" s="74"/>
      <c r="L386" s="75"/>
      <c r="M386" s="75"/>
      <c r="N386" s="74"/>
      <c r="O386" s="203"/>
      <c r="P386" s="20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</row>
    <row r="387" spans="1:28" ht="15.75" customHeight="1">
      <c r="A387" s="200"/>
      <c r="B387" s="74"/>
      <c r="C387" s="72"/>
      <c r="D387" s="73"/>
      <c r="E387" s="72"/>
      <c r="F387" s="73"/>
      <c r="G387" s="74"/>
      <c r="H387" s="202"/>
      <c r="I387" s="74"/>
      <c r="J387" s="74"/>
      <c r="K387" s="74"/>
      <c r="L387" s="75"/>
      <c r="M387" s="75"/>
      <c r="N387" s="74"/>
      <c r="O387" s="203"/>
      <c r="P387" s="20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</row>
    <row r="388" spans="1:28" ht="15.75" customHeight="1">
      <c r="A388" s="200"/>
      <c r="B388" s="74"/>
      <c r="C388" s="72"/>
      <c r="D388" s="73"/>
      <c r="E388" s="72"/>
      <c r="F388" s="73"/>
      <c r="G388" s="74"/>
      <c r="H388" s="202"/>
      <c r="I388" s="74"/>
      <c r="J388" s="74"/>
      <c r="K388" s="74"/>
      <c r="L388" s="75"/>
      <c r="M388" s="75"/>
      <c r="N388" s="74"/>
      <c r="O388" s="203"/>
      <c r="P388" s="20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</row>
    <row r="389" spans="1:28" ht="15.75" customHeight="1">
      <c r="A389" s="200"/>
      <c r="B389" s="74"/>
      <c r="C389" s="72"/>
      <c r="D389" s="73"/>
      <c r="E389" s="72"/>
      <c r="F389" s="73"/>
      <c r="G389" s="74"/>
      <c r="H389" s="202"/>
      <c r="I389" s="74"/>
      <c r="J389" s="74"/>
      <c r="K389" s="74"/>
      <c r="L389" s="75"/>
      <c r="M389" s="75"/>
      <c r="N389" s="74"/>
      <c r="O389" s="203"/>
      <c r="P389" s="20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</row>
    <row r="390" spans="1:28" ht="15.75" customHeight="1">
      <c r="A390" s="200"/>
      <c r="B390" s="74"/>
      <c r="C390" s="72"/>
      <c r="D390" s="73"/>
      <c r="E390" s="72"/>
      <c r="F390" s="73"/>
      <c r="G390" s="74"/>
      <c r="H390" s="202"/>
      <c r="I390" s="74"/>
      <c r="J390" s="74"/>
      <c r="K390" s="74"/>
      <c r="L390" s="75"/>
      <c r="M390" s="75"/>
      <c r="N390" s="74"/>
      <c r="O390" s="203"/>
      <c r="P390" s="20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</row>
    <row r="391" spans="1:28" ht="15.75" customHeight="1">
      <c r="A391" s="200"/>
      <c r="B391" s="74"/>
      <c r="C391" s="72"/>
      <c r="D391" s="73"/>
      <c r="E391" s="72"/>
      <c r="F391" s="73"/>
      <c r="G391" s="74"/>
      <c r="H391" s="202"/>
      <c r="I391" s="74"/>
      <c r="J391" s="74"/>
      <c r="K391" s="74"/>
      <c r="L391" s="75"/>
      <c r="M391" s="75"/>
      <c r="N391" s="74"/>
      <c r="O391" s="203"/>
      <c r="P391" s="20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</row>
    <row r="392" spans="1:28" ht="15.75" customHeight="1">
      <c r="A392" s="200"/>
      <c r="B392" s="74"/>
      <c r="C392" s="72"/>
      <c r="D392" s="73"/>
      <c r="E392" s="72"/>
      <c r="F392" s="73"/>
      <c r="G392" s="74"/>
      <c r="H392" s="202"/>
      <c r="I392" s="74"/>
      <c r="J392" s="74"/>
      <c r="K392" s="74"/>
      <c r="L392" s="75"/>
      <c r="M392" s="75"/>
      <c r="N392" s="74"/>
      <c r="O392" s="203"/>
      <c r="P392" s="20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</row>
    <row r="393" spans="1:28" ht="15.75" customHeight="1">
      <c r="A393" s="200"/>
      <c r="B393" s="74"/>
      <c r="C393" s="72"/>
      <c r="D393" s="73"/>
      <c r="E393" s="72"/>
      <c r="F393" s="73"/>
      <c r="G393" s="74"/>
      <c r="H393" s="202"/>
      <c r="I393" s="74"/>
      <c r="J393" s="74"/>
      <c r="K393" s="74"/>
      <c r="L393" s="75"/>
      <c r="M393" s="75"/>
      <c r="N393" s="74"/>
      <c r="O393" s="203"/>
      <c r="P393" s="20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</row>
    <row r="394" spans="1:28" ht="15.75" customHeight="1">
      <c r="A394" s="200"/>
      <c r="B394" s="74"/>
      <c r="C394" s="72"/>
      <c r="D394" s="73"/>
      <c r="E394" s="72"/>
      <c r="F394" s="73"/>
      <c r="G394" s="74"/>
      <c r="H394" s="202"/>
      <c r="I394" s="74"/>
      <c r="J394" s="74"/>
      <c r="K394" s="74"/>
      <c r="L394" s="75"/>
      <c r="M394" s="75"/>
      <c r="N394" s="74"/>
      <c r="O394" s="203"/>
      <c r="P394" s="20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</row>
    <row r="395" spans="1:28" ht="15.75" customHeight="1">
      <c r="A395" s="200"/>
      <c r="B395" s="74"/>
      <c r="C395" s="72"/>
      <c r="D395" s="73"/>
      <c r="E395" s="72"/>
      <c r="F395" s="73"/>
      <c r="G395" s="74"/>
      <c r="H395" s="202"/>
      <c r="I395" s="74"/>
      <c r="J395" s="74"/>
      <c r="K395" s="74"/>
      <c r="L395" s="75"/>
      <c r="M395" s="75"/>
      <c r="N395" s="74"/>
      <c r="O395" s="203"/>
      <c r="P395" s="20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</row>
    <row r="396" spans="1:28" ht="15.75" customHeight="1">
      <c r="A396" s="200"/>
      <c r="B396" s="74"/>
      <c r="C396" s="72"/>
      <c r="D396" s="73"/>
      <c r="E396" s="72"/>
      <c r="F396" s="73"/>
      <c r="G396" s="74"/>
      <c r="H396" s="202"/>
      <c r="I396" s="74"/>
      <c r="J396" s="74"/>
      <c r="K396" s="74"/>
      <c r="L396" s="75"/>
      <c r="M396" s="75"/>
      <c r="N396" s="74"/>
      <c r="O396" s="203"/>
      <c r="P396" s="20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</row>
    <row r="397" spans="1:28" ht="15.75" customHeight="1">
      <c r="A397" s="200"/>
      <c r="B397" s="74"/>
      <c r="C397" s="72"/>
      <c r="D397" s="73"/>
      <c r="E397" s="72"/>
      <c r="F397" s="73"/>
      <c r="G397" s="74"/>
      <c r="H397" s="202"/>
      <c r="I397" s="74"/>
      <c r="J397" s="74"/>
      <c r="K397" s="74"/>
      <c r="L397" s="75"/>
      <c r="M397" s="75"/>
      <c r="N397" s="74"/>
      <c r="O397" s="203"/>
      <c r="P397" s="20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</row>
    <row r="398" spans="1:28" ht="15.75" customHeight="1">
      <c r="A398" s="200"/>
      <c r="B398" s="74"/>
      <c r="C398" s="72"/>
      <c r="D398" s="73"/>
      <c r="E398" s="72"/>
      <c r="F398" s="73"/>
      <c r="G398" s="74"/>
      <c r="H398" s="202"/>
      <c r="I398" s="74"/>
      <c r="J398" s="74"/>
      <c r="K398" s="74"/>
      <c r="L398" s="75"/>
      <c r="M398" s="75"/>
      <c r="N398" s="74"/>
      <c r="O398" s="203"/>
      <c r="P398" s="20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</row>
    <row r="399" spans="1:28" ht="15.75" customHeight="1">
      <c r="A399" s="200"/>
      <c r="B399" s="74"/>
      <c r="C399" s="72"/>
      <c r="D399" s="73"/>
      <c r="E399" s="72"/>
      <c r="F399" s="73"/>
      <c r="G399" s="74"/>
      <c r="H399" s="202"/>
      <c r="I399" s="74"/>
      <c r="J399" s="74"/>
      <c r="K399" s="74"/>
      <c r="L399" s="75"/>
      <c r="M399" s="75"/>
      <c r="N399" s="74"/>
      <c r="O399" s="203"/>
      <c r="P399" s="20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</row>
    <row r="400" spans="1:28" ht="15.75" customHeight="1">
      <c r="A400" s="200"/>
      <c r="B400" s="74"/>
      <c r="C400" s="72"/>
      <c r="D400" s="73"/>
      <c r="E400" s="72"/>
      <c r="F400" s="73"/>
      <c r="G400" s="74"/>
      <c r="H400" s="202"/>
      <c r="I400" s="74"/>
      <c r="J400" s="74"/>
      <c r="K400" s="74"/>
      <c r="L400" s="75"/>
      <c r="M400" s="75"/>
      <c r="N400" s="74"/>
      <c r="O400" s="203"/>
      <c r="P400" s="20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</row>
    <row r="401" spans="1:28" ht="15.75" customHeight="1">
      <c r="A401" s="200"/>
      <c r="B401" s="74"/>
      <c r="C401" s="72"/>
      <c r="D401" s="73"/>
      <c r="E401" s="72"/>
      <c r="F401" s="73"/>
      <c r="G401" s="74"/>
      <c r="H401" s="202"/>
      <c r="I401" s="74"/>
      <c r="J401" s="74"/>
      <c r="K401" s="74"/>
      <c r="L401" s="75"/>
      <c r="M401" s="75"/>
      <c r="N401" s="74"/>
      <c r="O401" s="203"/>
      <c r="P401" s="20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</row>
    <row r="402" spans="1:28" ht="15.75" customHeight="1">
      <c r="A402" s="200"/>
      <c r="B402" s="74"/>
      <c r="C402" s="72"/>
      <c r="D402" s="73"/>
      <c r="E402" s="72"/>
      <c r="F402" s="73"/>
      <c r="G402" s="74"/>
      <c r="H402" s="202"/>
      <c r="I402" s="74"/>
      <c r="J402" s="74"/>
      <c r="K402" s="74"/>
      <c r="L402" s="75"/>
      <c r="M402" s="75"/>
      <c r="N402" s="74"/>
      <c r="O402" s="203"/>
      <c r="P402" s="20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</row>
    <row r="403" spans="1:28" ht="15.75" customHeight="1">
      <c r="A403" s="200"/>
      <c r="B403" s="74"/>
      <c r="C403" s="72"/>
      <c r="D403" s="73"/>
      <c r="E403" s="72"/>
      <c r="F403" s="73"/>
      <c r="G403" s="74"/>
      <c r="H403" s="202"/>
      <c r="I403" s="74"/>
      <c r="J403" s="74"/>
      <c r="K403" s="74"/>
      <c r="L403" s="75"/>
      <c r="M403" s="75"/>
      <c r="N403" s="74"/>
      <c r="O403" s="203"/>
      <c r="P403" s="20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</row>
    <row r="404" spans="1:28" ht="15.75" customHeight="1">
      <c r="A404" s="200"/>
      <c r="B404" s="74"/>
      <c r="C404" s="72"/>
      <c r="D404" s="73"/>
      <c r="E404" s="72"/>
      <c r="F404" s="73"/>
      <c r="G404" s="74"/>
      <c r="H404" s="202"/>
      <c r="I404" s="74"/>
      <c r="J404" s="74"/>
      <c r="K404" s="74"/>
      <c r="L404" s="75"/>
      <c r="M404" s="75"/>
      <c r="N404" s="74"/>
      <c r="O404" s="203"/>
      <c r="P404" s="20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</row>
    <row r="405" spans="1:28" ht="15.75" customHeight="1">
      <c r="A405" s="200"/>
      <c r="B405" s="74"/>
      <c r="C405" s="72"/>
      <c r="D405" s="73"/>
      <c r="E405" s="72"/>
      <c r="F405" s="73"/>
      <c r="G405" s="74"/>
      <c r="H405" s="202"/>
      <c r="I405" s="74"/>
      <c r="J405" s="74"/>
      <c r="K405" s="74"/>
      <c r="L405" s="75"/>
      <c r="M405" s="75"/>
      <c r="N405" s="74"/>
      <c r="O405" s="203"/>
      <c r="P405" s="20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</row>
    <row r="406" spans="1:28" ht="15.75" customHeight="1">
      <c r="A406" s="200"/>
      <c r="B406" s="74"/>
      <c r="C406" s="72"/>
      <c r="D406" s="73"/>
      <c r="E406" s="72"/>
      <c r="F406" s="73"/>
      <c r="G406" s="74"/>
      <c r="H406" s="202"/>
      <c r="I406" s="74"/>
      <c r="J406" s="74"/>
      <c r="K406" s="74"/>
      <c r="L406" s="75"/>
      <c r="M406" s="75"/>
      <c r="N406" s="74"/>
      <c r="O406" s="203"/>
      <c r="P406" s="20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</row>
    <row r="407" spans="1:28" ht="15.75" customHeight="1">
      <c r="A407" s="200"/>
      <c r="B407" s="74"/>
      <c r="C407" s="72"/>
      <c r="D407" s="73"/>
      <c r="E407" s="72"/>
      <c r="F407" s="73"/>
      <c r="G407" s="74"/>
      <c r="H407" s="202"/>
      <c r="I407" s="74"/>
      <c r="J407" s="74"/>
      <c r="K407" s="74"/>
      <c r="L407" s="75"/>
      <c r="M407" s="75"/>
      <c r="N407" s="74"/>
      <c r="O407" s="203"/>
      <c r="P407" s="20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</row>
    <row r="408" spans="1:28" ht="15.75" customHeight="1">
      <c r="A408" s="200"/>
      <c r="B408" s="74"/>
      <c r="C408" s="72"/>
      <c r="D408" s="73"/>
      <c r="E408" s="72"/>
      <c r="F408" s="73"/>
      <c r="G408" s="74"/>
      <c r="H408" s="202"/>
      <c r="I408" s="74"/>
      <c r="J408" s="74"/>
      <c r="K408" s="74"/>
      <c r="L408" s="75"/>
      <c r="M408" s="75"/>
      <c r="N408" s="74"/>
      <c r="O408" s="203"/>
      <c r="P408" s="20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</row>
    <row r="409" spans="1:28" ht="15.75" customHeight="1">
      <c r="A409" s="200"/>
      <c r="B409" s="74"/>
      <c r="C409" s="72"/>
      <c r="D409" s="73"/>
      <c r="E409" s="72"/>
      <c r="F409" s="73"/>
      <c r="G409" s="74"/>
      <c r="H409" s="202"/>
      <c r="I409" s="74"/>
      <c r="J409" s="74"/>
      <c r="K409" s="74"/>
      <c r="L409" s="75"/>
      <c r="M409" s="75"/>
      <c r="N409" s="74"/>
      <c r="O409" s="203"/>
      <c r="P409" s="20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</row>
    <row r="410" spans="1:28" ht="15.75" customHeight="1">
      <c r="A410" s="200"/>
      <c r="B410" s="74"/>
      <c r="C410" s="72"/>
      <c r="D410" s="73"/>
      <c r="E410" s="72"/>
      <c r="F410" s="73"/>
      <c r="G410" s="74"/>
      <c r="H410" s="202"/>
      <c r="I410" s="74"/>
      <c r="J410" s="74"/>
      <c r="K410" s="74"/>
      <c r="L410" s="75"/>
      <c r="M410" s="75"/>
      <c r="N410" s="74"/>
      <c r="O410" s="203"/>
      <c r="P410" s="20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</row>
    <row r="411" spans="1:28" ht="15.75" customHeight="1">
      <c r="A411" s="200"/>
      <c r="B411" s="74"/>
      <c r="C411" s="72"/>
      <c r="D411" s="73"/>
      <c r="E411" s="72"/>
      <c r="F411" s="73"/>
      <c r="G411" s="74"/>
      <c r="H411" s="202"/>
      <c r="I411" s="74"/>
      <c r="J411" s="74"/>
      <c r="K411" s="74"/>
      <c r="L411" s="75"/>
      <c r="M411" s="75"/>
      <c r="N411" s="74"/>
      <c r="O411" s="203"/>
      <c r="P411" s="20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</row>
    <row r="412" spans="1:28" ht="15.75" customHeight="1">
      <c r="A412" s="200"/>
      <c r="B412" s="74"/>
      <c r="C412" s="72"/>
      <c r="D412" s="73"/>
      <c r="E412" s="72"/>
      <c r="F412" s="73"/>
      <c r="G412" s="74"/>
      <c r="H412" s="202"/>
      <c r="I412" s="74"/>
      <c r="J412" s="74"/>
      <c r="K412" s="74"/>
      <c r="L412" s="75"/>
      <c r="M412" s="75"/>
      <c r="N412" s="74"/>
      <c r="O412" s="203"/>
      <c r="P412" s="20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</row>
    <row r="413" spans="1:28" ht="15.75" customHeight="1">
      <c r="A413" s="200"/>
      <c r="B413" s="74"/>
      <c r="C413" s="72"/>
      <c r="D413" s="73"/>
      <c r="E413" s="72"/>
      <c r="F413" s="73"/>
      <c r="G413" s="74"/>
      <c r="H413" s="202"/>
      <c r="I413" s="74"/>
      <c r="J413" s="74"/>
      <c r="K413" s="74"/>
      <c r="L413" s="75"/>
      <c r="M413" s="75"/>
      <c r="N413" s="74"/>
      <c r="O413" s="203"/>
      <c r="P413" s="20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</row>
    <row r="414" spans="1:28" ht="15.75" customHeight="1">
      <c r="A414" s="200"/>
      <c r="B414" s="74"/>
      <c r="C414" s="72"/>
      <c r="D414" s="73"/>
      <c r="E414" s="72"/>
      <c r="F414" s="73"/>
      <c r="G414" s="74"/>
      <c r="H414" s="202"/>
      <c r="I414" s="74"/>
      <c r="J414" s="74"/>
      <c r="K414" s="74"/>
      <c r="L414" s="75"/>
      <c r="M414" s="75"/>
      <c r="N414" s="74"/>
      <c r="O414" s="203"/>
      <c r="P414" s="20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</row>
    <row r="415" spans="1:28" ht="15.75" customHeight="1">
      <c r="A415" s="200"/>
      <c r="B415" s="74"/>
      <c r="C415" s="72"/>
      <c r="D415" s="73"/>
      <c r="E415" s="72"/>
      <c r="F415" s="73"/>
      <c r="G415" s="74"/>
      <c r="H415" s="202"/>
      <c r="I415" s="74"/>
      <c r="J415" s="74"/>
      <c r="K415" s="74"/>
      <c r="L415" s="75"/>
      <c r="M415" s="75"/>
      <c r="N415" s="74"/>
      <c r="O415" s="203"/>
      <c r="P415" s="20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</row>
    <row r="416" spans="1:28" ht="15.75" customHeight="1">
      <c r="A416" s="200"/>
      <c r="B416" s="74"/>
      <c r="C416" s="72"/>
      <c r="D416" s="73"/>
      <c r="E416" s="72"/>
      <c r="F416" s="73"/>
      <c r="G416" s="74"/>
      <c r="H416" s="202"/>
      <c r="I416" s="74"/>
      <c r="J416" s="74"/>
      <c r="K416" s="74"/>
      <c r="L416" s="75"/>
      <c r="M416" s="75"/>
      <c r="N416" s="74"/>
      <c r="O416" s="203"/>
      <c r="P416" s="20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</row>
    <row r="417" spans="1:28" ht="15.75" customHeight="1">
      <c r="A417" s="200"/>
      <c r="B417" s="74"/>
      <c r="C417" s="72"/>
      <c r="D417" s="73"/>
      <c r="E417" s="72"/>
      <c r="F417" s="73"/>
      <c r="G417" s="74"/>
      <c r="H417" s="202"/>
      <c r="I417" s="74"/>
      <c r="J417" s="74"/>
      <c r="K417" s="74"/>
      <c r="L417" s="75"/>
      <c r="M417" s="75"/>
      <c r="N417" s="74"/>
      <c r="O417" s="203"/>
      <c r="P417" s="20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</row>
    <row r="418" spans="1:28" ht="15.75" customHeight="1">
      <c r="A418" s="200"/>
      <c r="B418" s="74"/>
      <c r="C418" s="72"/>
      <c r="D418" s="73"/>
      <c r="E418" s="72"/>
      <c r="F418" s="73"/>
      <c r="G418" s="74"/>
      <c r="H418" s="202"/>
      <c r="I418" s="74"/>
      <c r="J418" s="74"/>
      <c r="K418" s="74"/>
      <c r="L418" s="75"/>
      <c r="M418" s="75"/>
      <c r="N418" s="74"/>
      <c r="O418" s="203"/>
      <c r="P418" s="20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</row>
    <row r="419" spans="1:28" ht="15.75" customHeight="1">
      <c r="A419" s="200"/>
      <c r="B419" s="74"/>
      <c r="C419" s="72"/>
      <c r="D419" s="73"/>
      <c r="E419" s="72"/>
      <c r="F419" s="73"/>
      <c r="G419" s="74"/>
      <c r="H419" s="202"/>
      <c r="I419" s="74"/>
      <c r="J419" s="74"/>
      <c r="K419" s="74"/>
      <c r="L419" s="75"/>
      <c r="M419" s="75"/>
      <c r="N419" s="74"/>
      <c r="O419" s="203"/>
      <c r="P419" s="20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</row>
    <row r="420" spans="1:28" ht="15.75" customHeight="1">
      <c r="A420" s="200"/>
      <c r="B420" s="74"/>
      <c r="C420" s="72"/>
      <c r="D420" s="73"/>
      <c r="E420" s="72"/>
      <c r="F420" s="73"/>
      <c r="G420" s="74"/>
      <c r="H420" s="202"/>
      <c r="I420" s="74"/>
      <c r="J420" s="74"/>
      <c r="K420" s="74"/>
      <c r="L420" s="75"/>
      <c r="M420" s="75"/>
      <c r="N420" s="74"/>
      <c r="O420" s="203"/>
      <c r="P420" s="20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</row>
    <row r="421" spans="1:28" ht="15.75" customHeight="1">
      <c r="A421" s="200"/>
      <c r="B421" s="74"/>
      <c r="C421" s="72"/>
      <c r="D421" s="73"/>
      <c r="E421" s="72"/>
      <c r="F421" s="73"/>
      <c r="G421" s="74"/>
      <c r="H421" s="202"/>
      <c r="I421" s="74"/>
      <c r="J421" s="74"/>
      <c r="K421" s="74"/>
      <c r="L421" s="75"/>
      <c r="M421" s="75"/>
      <c r="N421" s="74"/>
      <c r="O421" s="203"/>
      <c r="P421" s="20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</row>
    <row r="422" spans="1:28" ht="15.75" customHeight="1">
      <c r="A422" s="200"/>
      <c r="B422" s="74"/>
      <c r="C422" s="72"/>
      <c r="D422" s="73"/>
      <c r="E422" s="72"/>
      <c r="F422" s="73"/>
      <c r="G422" s="74"/>
      <c r="H422" s="202"/>
      <c r="I422" s="74"/>
      <c r="J422" s="74"/>
      <c r="K422" s="74"/>
      <c r="L422" s="75"/>
      <c r="M422" s="75"/>
      <c r="N422" s="74"/>
      <c r="O422" s="203"/>
      <c r="P422" s="20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</row>
    <row r="423" spans="1:28" ht="15.75" customHeight="1">
      <c r="A423" s="200"/>
      <c r="B423" s="74"/>
      <c r="C423" s="72"/>
      <c r="D423" s="73"/>
      <c r="E423" s="72"/>
      <c r="F423" s="73"/>
      <c r="G423" s="74"/>
      <c r="H423" s="202"/>
      <c r="I423" s="74"/>
      <c r="J423" s="74"/>
      <c r="K423" s="74"/>
      <c r="L423" s="75"/>
      <c r="M423" s="75"/>
      <c r="N423" s="74"/>
      <c r="O423" s="203"/>
      <c r="P423" s="20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</row>
    <row r="424" spans="1:28" ht="15.75" customHeight="1">
      <c r="A424" s="200"/>
      <c r="B424" s="74"/>
      <c r="C424" s="72"/>
      <c r="D424" s="73"/>
      <c r="E424" s="72"/>
      <c r="F424" s="73"/>
      <c r="G424" s="74"/>
      <c r="H424" s="202"/>
      <c r="I424" s="74"/>
      <c r="J424" s="74"/>
      <c r="K424" s="74"/>
      <c r="L424" s="75"/>
      <c r="M424" s="75"/>
      <c r="N424" s="74"/>
      <c r="O424" s="203"/>
      <c r="P424" s="20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</row>
    <row r="425" spans="1:28" ht="15.75" customHeight="1">
      <c r="A425" s="200"/>
      <c r="B425" s="74"/>
      <c r="C425" s="72"/>
      <c r="D425" s="73"/>
      <c r="E425" s="72"/>
      <c r="F425" s="73"/>
      <c r="G425" s="74"/>
      <c r="H425" s="202"/>
      <c r="I425" s="74"/>
      <c r="J425" s="74"/>
      <c r="K425" s="74"/>
      <c r="L425" s="75"/>
      <c r="M425" s="75"/>
      <c r="N425" s="74"/>
      <c r="O425" s="203"/>
      <c r="P425" s="20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</row>
    <row r="426" spans="1:28" ht="15.75" customHeight="1">
      <c r="A426" s="200"/>
      <c r="B426" s="74"/>
      <c r="C426" s="72"/>
      <c r="D426" s="73"/>
      <c r="E426" s="72"/>
      <c r="F426" s="73"/>
      <c r="G426" s="74"/>
      <c r="H426" s="202"/>
      <c r="I426" s="74"/>
      <c r="J426" s="74"/>
      <c r="K426" s="74"/>
      <c r="L426" s="75"/>
      <c r="M426" s="75"/>
      <c r="N426" s="74"/>
      <c r="O426" s="203"/>
      <c r="P426" s="20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</row>
    <row r="427" spans="1:28" ht="15.75" customHeight="1">
      <c r="A427" s="200"/>
      <c r="B427" s="74"/>
      <c r="C427" s="72"/>
      <c r="D427" s="73"/>
      <c r="E427" s="72"/>
      <c r="F427" s="73"/>
      <c r="G427" s="74"/>
      <c r="H427" s="202"/>
      <c r="I427" s="74"/>
      <c r="J427" s="74"/>
      <c r="K427" s="74"/>
      <c r="L427" s="75"/>
      <c r="M427" s="75"/>
      <c r="N427" s="74"/>
      <c r="O427" s="203"/>
      <c r="P427" s="20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</row>
    <row r="428" spans="1:28" ht="15.75" customHeight="1">
      <c r="A428" s="200"/>
      <c r="B428" s="74"/>
      <c r="C428" s="72"/>
      <c r="D428" s="73"/>
      <c r="E428" s="72"/>
      <c r="F428" s="73"/>
      <c r="G428" s="74"/>
      <c r="H428" s="202"/>
      <c r="I428" s="74"/>
      <c r="J428" s="74"/>
      <c r="K428" s="74"/>
      <c r="L428" s="75"/>
      <c r="M428" s="75"/>
      <c r="N428" s="74"/>
      <c r="O428" s="203"/>
      <c r="P428" s="20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</row>
    <row r="429" spans="1:28" ht="15.75" customHeight="1">
      <c r="A429" s="200"/>
      <c r="B429" s="74"/>
      <c r="C429" s="72"/>
      <c r="D429" s="73"/>
      <c r="E429" s="72"/>
      <c r="F429" s="73"/>
      <c r="G429" s="74"/>
      <c r="H429" s="202"/>
      <c r="I429" s="74"/>
      <c r="J429" s="74"/>
      <c r="K429" s="74"/>
      <c r="L429" s="75"/>
      <c r="M429" s="75"/>
      <c r="N429" s="74"/>
      <c r="O429" s="203"/>
      <c r="P429" s="20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</row>
    <row r="430" spans="1:28" ht="15.75" customHeight="1">
      <c r="A430" s="200"/>
      <c r="B430" s="74"/>
      <c r="C430" s="72"/>
      <c r="D430" s="73"/>
      <c r="E430" s="72"/>
      <c r="F430" s="73"/>
      <c r="G430" s="74"/>
      <c r="H430" s="202"/>
      <c r="I430" s="74"/>
      <c r="J430" s="74"/>
      <c r="K430" s="74"/>
      <c r="L430" s="75"/>
      <c r="M430" s="75"/>
      <c r="N430" s="74"/>
      <c r="O430" s="203"/>
      <c r="P430" s="20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</row>
    <row r="431" spans="1:28" ht="15.75" customHeight="1">
      <c r="A431" s="200"/>
      <c r="B431" s="74"/>
      <c r="C431" s="72"/>
      <c r="D431" s="73"/>
      <c r="E431" s="72"/>
      <c r="F431" s="73"/>
      <c r="G431" s="74"/>
      <c r="H431" s="202"/>
      <c r="I431" s="74"/>
      <c r="J431" s="74"/>
      <c r="K431" s="74"/>
      <c r="L431" s="75"/>
      <c r="M431" s="75"/>
      <c r="N431" s="74"/>
      <c r="O431" s="203"/>
      <c r="P431" s="20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</row>
    <row r="432" spans="1:28" ht="15.75" customHeight="1">
      <c r="A432" s="200"/>
      <c r="B432" s="74"/>
      <c r="C432" s="72"/>
      <c r="D432" s="73"/>
      <c r="E432" s="72"/>
      <c r="F432" s="73"/>
      <c r="G432" s="74"/>
      <c r="H432" s="202"/>
      <c r="I432" s="74"/>
      <c r="J432" s="74"/>
      <c r="K432" s="74"/>
      <c r="L432" s="75"/>
      <c r="M432" s="75"/>
      <c r="N432" s="74"/>
      <c r="O432" s="203"/>
      <c r="P432" s="20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</row>
    <row r="433" spans="1:28" ht="15.75" customHeight="1">
      <c r="A433" s="200"/>
      <c r="B433" s="74"/>
      <c r="C433" s="72"/>
      <c r="D433" s="73"/>
      <c r="E433" s="72"/>
      <c r="F433" s="73"/>
      <c r="G433" s="74"/>
      <c r="H433" s="202"/>
      <c r="I433" s="74"/>
      <c r="J433" s="74"/>
      <c r="K433" s="74"/>
      <c r="L433" s="75"/>
      <c r="M433" s="75"/>
      <c r="N433" s="74"/>
      <c r="O433" s="203"/>
      <c r="P433" s="20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</row>
    <row r="434" spans="1:28" ht="15.75" customHeight="1">
      <c r="A434" s="200"/>
      <c r="B434" s="74"/>
      <c r="C434" s="72"/>
      <c r="D434" s="73"/>
      <c r="E434" s="72"/>
      <c r="F434" s="73"/>
      <c r="G434" s="74"/>
      <c r="H434" s="202"/>
      <c r="I434" s="74"/>
      <c r="J434" s="74"/>
      <c r="K434" s="74"/>
      <c r="L434" s="75"/>
      <c r="M434" s="75"/>
      <c r="N434" s="74"/>
      <c r="O434" s="203"/>
      <c r="P434" s="20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</row>
    <row r="435" spans="1:28" ht="15.75" customHeight="1">
      <c r="A435" s="200"/>
      <c r="B435" s="74"/>
      <c r="C435" s="72"/>
      <c r="D435" s="73"/>
      <c r="E435" s="72"/>
      <c r="F435" s="73"/>
      <c r="G435" s="74"/>
      <c r="H435" s="202"/>
      <c r="I435" s="74"/>
      <c r="J435" s="74"/>
      <c r="K435" s="74"/>
      <c r="L435" s="75"/>
      <c r="M435" s="75"/>
      <c r="N435" s="74"/>
      <c r="O435" s="203"/>
      <c r="P435" s="20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</row>
    <row r="436" spans="1:28" ht="15.75" customHeight="1">
      <c r="A436" s="200"/>
      <c r="B436" s="74"/>
      <c r="C436" s="72"/>
      <c r="D436" s="73"/>
      <c r="E436" s="72"/>
      <c r="F436" s="73"/>
      <c r="G436" s="74"/>
      <c r="H436" s="202"/>
      <c r="I436" s="74"/>
      <c r="J436" s="74"/>
      <c r="K436" s="74"/>
      <c r="L436" s="75"/>
      <c r="M436" s="75"/>
      <c r="N436" s="74"/>
      <c r="O436" s="203"/>
      <c r="P436" s="20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</row>
    <row r="437" spans="1:28" ht="15.75" customHeight="1">
      <c r="A437" s="200"/>
      <c r="B437" s="74"/>
      <c r="C437" s="72"/>
      <c r="D437" s="73"/>
      <c r="E437" s="72"/>
      <c r="F437" s="73"/>
      <c r="G437" s="74"/>
      <c r="H437" s="202"/>
      <c r="I437" s="74"/>
      <c r="J437" s="74"/>
      <c r="K437" s="74"/>
      <c r="L437" s="75"/>
      <c r="M437" s="75"/>
      <c r="N437" s="74"/>
      <c r="O437" s="203"/>
      <c r="P437" s="20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</row>
    <row r="438" spans="1:28" ht="15.75" customHeight="1">
      <c r="A438" s="200"/>
      <c r="B438" s="74"/>
      <c r="C438" s="72"/>
      <c r="D438" s="73"/>
      <c r="E438" s="72"/>
      <c r="F438" s="73"/>
      <c r="G438" s="74"/>
      <c r="H438" s="202"/>
      <c r="I438" s="74"/>
      <c r="J438" s="74"/>
      <c r="K438" s="74"/>
      <c r="L438" s="75"/>
      <c r="M438" s="75"/>
      <c r="N438" s="74"/>
      <c r="O438" s="203"/>
      <c r="P438" s="20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</row>
    <row r="439" spans="1:28" ht="15.75" customHeight="1">
      <c r="A439" s="200"/>
      <c r="B439" s="74"/>
      <c r="C439" s="72"/>
      <c r="D439" s="73"/>
      <c r="E439" s="72"/>
      <c r="F439" s="73"/>
      <c r="G439" s="74"/>
      <c r="H439" s="202"/>
      <c r="I439" s="74"/>
      <c r="J439" s="74"/>
      <c r="K439" s="74"/>
      <c r="L439" s="75"/>
      <c r="M439" s="75"/>
      <c r="N439" s="74"/>
      <c r="O439" s="203"/>
      <c r="P439" s="20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</row>
    <row r="440" spans="1:28" ht="15.75" customHeight="1">
      <c r="A440" s="200"/>
      <c r="B440" s="74"/>
      <c r="C440" s="72"/>
      <c r="D440" s="73"/>
      <c r="E440" s="72"/>
      <c r="F440" s="73"/>
      <c r="G440" s="74"/>
      <c r="H440" s="202"/>
      <c r="I440" s="74"/>
      <c r="J440" s="74"/>
      <c r="K440" s="74"/>
      <c r="L440" s="75"/>
      <c r="M440" s="75"/>
      <c r="N440" s="74"/>
      <c r="O440" s="203"/>
      <c r="P440" s="20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</row>
    <row r="441" spans="1:28" ht="15.75" customHeight="1">
      <c r="A441" s="200"/>
      <c r="B441" s="74"/>
      <c r="C441" s="72"/>
      <c r="D441" s="73"/>
      <c r="E441" s="72"/>
      <c r="F441" s="73"/>
      <c r="G441" s="74"/>
      <c r="H441" s="202"/>
      <c r="I441" s="74"/>
      <c r="J441" s="74"/>
      <c r="K441" s="74"/>
      <c r="L441" s="75"/>
      <c r="M441" s="75"/>
      <c r="N441" s="74"/>
      <c r="O441" s="203"/>
      <c r="P441" s="20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</row>
    <row r="442" spans="1:28" ht="15.75" customHeight="1">
      <c r="A442" s="200"/>
      <c r="B442" s="74"/>
      <c r="C442" s="72"/>
      <c r="D442" s="73"/>
      <c r="E442" s="72"/>
      <c r="F442" s="73"/>
      <c r="G442" s="74"/>
      <c r="H442" s="202"/>
      <c r="I442" s="74"/>
      <c r="J442" s="74"/>
      <c r="K442" s="74"/>
      <c r="L442" s="75"/>
      <c r="M442" s="75"/>
      <c r="N442" s="74"/>
      <c r="O442" s="203"/>
      <c r="P442" s="20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</row>
    <row r="443" spans="1:28" ht="15.75" customHeight="1">
      <c r="A443" s="200"/>
      <c r="B443" s="74"/>
      <c r="C443" s="72"/>
      <c r="D443" s="73"/>
      <c r="E443" s="72"/>
      <c r="F443" s="73"/>
      <c r="G443" s="74"/>
      <c r="H443" s="202"/>
      <c r="I443" s="74"/>
      <c r="J443" s="74"/>
      <c r="K443" s="74"/>
      <c r="L443" s="75"/>
      <c r="M443" s="75"/>
      <c r="N443" s="74"/>
      <c r="O443" s="203"/>
      <c r="P443" s="20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</row>
    <row r="444" spans="1:28" ht="15.75" customHeight="1">
      <c r="A444" s="200"/>
      <c r="B444" s="74"/>
      <c r="C444" s="72"/>
      <c r="D444" s="73"/>
      <c r="E444" s="72"/>
      <c r="F444" s="73"/>
      <c r="G444" s="74"/>
      <c r="H444" s="202"/>
      <c r="I444" s="74"/>
      <c r="J444" s="74"/>
      <c r="K444" s="74"/>
      <c r="L444" s="75"/>
      <c r="M444" s="75"/>
      <c r="N444" s="74"/>
      <c r="O444" s="203"/>
      <c r="P444" s="20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</row>
    <row r="445" spans="1:28" ht="15.75" customHeight="1">
      <c r="A445" s="200"/>
      <c r="B445" s="74"/>
      <c r="C445" s="72"/>
      <c r="D445" s="73"/>
      <c r="E445" s="72"/>
      <c r="F445" s="73"/>
      <c r="G445" s="74"/>
      <c r="H445" s="202"/>
      <c r="I445" s="74"/>
      <c r="J445" s="74"/>
      <c r="K445" s="74"/>
      <c r="L445" s="75"/>
      <c r="M445" s="75"/>
      <c r="N445" s="74"/>
      <c r="O445" s="203"/>
      <c r="P445" s="20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</row>
    <row r="446" spans="1:28" ht="15.75" customHeight="1">
      <c r="A446" s="200"/>
      <c r="B446" s="74"/>
      <c r="C446" s="72"/>
      <c r="D446" s="73"/>
      <c r="E446" s="72"/>
      <c r="F446" s="73"/>
      <c r="G446" s="74"/>
      <c r="H446" s="202"/>
      <c r="I446" s="74"/>
      <c r="J446" s="74"/>
      <c r="K446" s="74"/>
      <c r="L446" s="75"/>
      <c r="M446" s="75"/>
      <c r="N446" s="74"/>
      <c r="O446" s="203"/>
      <c r="P446" s="20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</row>
    <row r="447" spans="1:28" ht="15.75" customHeight="1">
      <c r="A447" s="200"/>
      <c r="B447" s="74"/>
      <c r="C447" s="72"/>
      <c r="D447" s="73"/>
      <c r="E447" s="72"/>
      <c r="F447" s="73"/>
      <c r="G447" s="74"/>
      <c r="H447" s="202"/>
      <c r="I447" s="74"/>
      <c r="J447" s="74"/>
      <c r="K447" s="74"/>
      <c r="L447" s="75"/>
      <c r="M447" s="75"/>
      <c r="N447" s="74"/>
      <c r="O447" s="203"/>
      <c r="P447" s="20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</row>
    <row r="448" spans="1:28" ht="15.75" customHeight="1">
      <c r="A448" s="200"/>
      <c r="B448" s="74"/>
      <c r="C448" s="72"/>
      <c r="D448" s="73"/>
      <c r="E448" s="72"/>
      <c r="F448" s="73"/>
      <c r="G448" s="74"/>
      <c r="H448" s="202"/>
      <c r="I448" s="74"/>
      <c r="J448" s="74"/>
      <c r="K448" s="74"/>
      <c r="L448" s="75"/>
      <c r="M448" s="75"/>
      <c r="N448" s="74"/>
      <c r="O448" s="203"/>
      <c r="P448" s="20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</row>
    <row r="449" spans="1:28" ht="15.75" customHeight="1">
      <c r="A449" s="200"/>
      <c r="B449" s="74"/>
      <c r="C449" s="72"/>
      <c r="D449" s="73"/>
      <c r="E449" s="72"/>
      <c r="F449" s="73"/>
      <c r="G449" s="74"/>
      <c r="H449" s="202"/>
      <c r="I449" s="74"/>
      <c r="J449" s="74"/>
      <c r="K449" s="74"/>
      <c r="L449" s="75"/>
      <c r="M449" s="75"/>
      <c r="N449" s="74"/>
      <c r="O449" s="203"/>
      <c r="P449" s="20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</row>
    <row r="450" spans="1:28" ht="15.75" customHeight="1">
      <c r="A450" s="200"/>
      <c r="B450" s="74"/>
      <c r="C450" s="72"/>
      <c r="D450" s="73"/>
      <c r="E450" s="72"/>
      <c r="F450" s="73"/>
      <c r="G450" s="74"/>
      <c r="H450" s="202"/>
      <c r="I450" s="74"/>
      <c r="J450" s="74"/>
      <c r="K450" s="74"/>
      <c r="L450" s="75"/>
      <c r="M450" s="75"/>
      <c r="N450" s="74"/>
      <c r="O450" s="203"/>
      <c r="P450" s="20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</row>
    <row r="451" spans="1:28" ht="15.75" customHeight="1">
      <c r="A451" s="200"/>
      <c r="B451" s="74"/>
      <c r="C451" s="72"/>
      <c r="D451" s="73"/>
      <c r="E451" s="72"/>
      <c r="F451" s="73"/>
      <c r="G451" s="74"/>
      <c r="H451" s="202"/>
      <c r="I451" s="74"/>
      <c r="J451" s="74"/>
      <c r="K451" s="74"/>
      <c r="L451" s="75"/>
      <c r="M451" s="75"/>
      <c r="N451" s="74"/>
      <c r="O451" s="203"/>
      <c r="P451" s="20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</row>
    <row r="452" spans="1:28" ht="15.75" customHeight="1">
      <c r="A452" s="200"/>
      <c r="B452" s="74"/>
      <c r="C452" s="72"/>
      <c r="D452" s="73"/>
      <c r="E452" s="72"/>
      <c r="F452" s="73"/>
      <c r="G452" s="74"/>
      <c r="H452" s="202"/>
      <c r="I452" s="74"/>
      <c r="J452" s="74"/>
      <c r="K452" s="74"/>
      <c r="L452" s="75"/>
      <c r="M452" s="75"/>
      <c r="N452" s="74"/>
      <c r="O452" s="203"/>
      <c r="P452" s="20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</row>
    <row r="453" spans="1:28" ht="15.75" customHeight="1">
      <c r="A453" s="200"/>
      <c r="B453" s="74"/>
      <c r="C453" s="72"/>
      <c r="D453" s="73"/>
      <c r="E453" s="72"/>
      <c r="F453" s="73"/>
      <c r="G453" s="74"/>
      <c r="H453" s="202"/>
      <c r="I453" s="74"/>
      <c r="J453" s="74"/>
      <c r="K453" s="74"/>
      <c r="L453" s="75"/>
      <c r="M453" s="75"/>
      <c r="N453" s="74"/>
      <c r="O453" s="203"/>
      <c r="P453" s="20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</row>
    <row r="454" spans="1:28" ht="15.75" customHeight="1">
      <c r="A454" s="200"/>
      <c r="B454" s="74"/>
      <c r="C454" s="72"/>
      <c r="D454" s="73"/>
      <c r="E454" s="72"/>
      <c r="F454" s="73"/>
      <c r="G454" s="74"/>
      <c r="H454" s="202"/>
      <c r="I454" s="74"/>
      <c r="J454" s="74"/>
      <c r="K454" s="74"/>
      <c r="L454" s="75"/>
      <c r="M454" s="75"/>
      <c r="N454" s="74"/>
      <c r="O454" s="203"/>
      <c r="P454" s="20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</row>
    <row r="455" spans="1:28" ht="15.75" customHeight="1">
      <c r="A455" s="200"/>
      <c r="B455" s="74"/>
      <c r="C455" s="72"/>
      <c r="D455" s="73"/>
      <c r="E455" s="72"/>
      <c r="F455" s="73"/>
      <c r="G455" s="74"/>
      <c r="H455" s="202"/>
      <c r="I455" s="74"/>
      <c r="J455" s="74"/>
      <c r="K455" s="74"/>
      <c r="L455" s="75"/>
      <c r="M455" s="75"/>
      <c r="N455" s="74"/>
      <c r="O455" s="203"/>
      <c r="P455" s="20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</row>
    <row r="456" spans="1:28" ht="15.75" customHeight="1">
      <c r="A456" s="200"/>
      <c r="B456" s="74"/>
      <c r="C456" s="72"/>
      <c r="D456" s="73"/>
      <c r="E456" s="72"/>
      <c r="F456" s="73"/>
      <c r="G456" s="74"/>
      <c r="H456" s="202"/>
      <c r="I456" s="74"/>
      <c r="J456" s="74"/>
      <c r="K456" s="74"/>
      <c r="L456" s="75"/>
      <c r="M456" s="75"/>
      <c r="N456" s="74"/>
      <c r="O456" s="203"/>
      <c r="P456" s="20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</row>
    <row r="457" spans="1:28" ht="15.75" customHeight="1">
      <c r="A457" s="200"/>
      <c r="B457" s="74"/>
      <c r="C457" s="72"/>
      <c r="D457" s="73"/>
      <c r="E457" s="72"/>
      <c r="F457" s="73"/>
      <c r="G457" s="74"/>
      <c r="H457" s="202"/>
      <c r="I457" s="74"/>
      <c r="J457" s="74"/>
      <c r="K457" s="74"/>
      <c r="L457" s="75"/>
      <c r="M457" s="75"/>
      <c r="N457" s="74"/>
      <c r="O457" s="203"/>
      <c r="P457" s="20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</row>
    <row r="458" spans="1:28" ht="15.75" customHeight="1">
      <c r="A458" s="200"/>
      <c r="B458" s="74"/>
      <c r="C458" s="72"/>
      <c r="D458" s="73"/>
      <c r="E458" s="72"/>
      <c r="F458" s="73"/>
      <c r="G458" s="74"/>
      <c r="H458" s="202"/>
      <c r="I458" s="74"/>
      <c r="J458" s="74"/>
      <c r="K458" s="74"/>
      <c r="L458" s="75"/>
      <c r="M458" s="75"/>
      <c r="N458" s="74"/>
      <c r="O458" s="203"/>
      <c r="P458" s="20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</row>
    <row r="459" spans="1:28" ht="15.75" customHeight="1">
      <c r="A459" s="200"/>
      <c r="B459" s="74"/>
      <c r="C459" s="72"/>
      <c r="D459" s="73"/>
      <c r="E459" s="72"/>
      <c r="F459" s="73"/>
      <c r="G459" s="74"/>
      <c r="H459" s="202"/>
      <c r="I459" s="74"/>
      <c r="J459" s="74"/>
      <c r="K459" s="74"/>
      <c r="L459" s="75"/>
      <c r="M459" s="75"/>
      <c r="N459" s="74"/>
      <c r="O459" s="203"/>
      <c r="P459" s="20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</row>
    <row r="460" spans="1:28" ht="15.75" customHeight="1">
      <c r="A460" s="200"/>
      <c r="B460" s="74"/>
      <c r="C460" s="72"/>
      <c r="D460" s="73"/>
      <c r="E460" s="72"/>
      <c r="F460" s="73"/>
      <c r="G460" s="74"/>
      <c r="H460" s="202"/>
      <c r="I460" s="74"/>
      <c r="J460" s="74"/>
      <c r="K460" s="74"/>
      <c r="L460" s="75"/>
      <c r="M460" s="75"/>
      <c r="N460" s="74"/>
      <c r="O460" s="203"/>
      <c r="P460" s="20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</row>
    <row r="461" spans="1:28" ht="15.75" customHeight="1">
      <c r="A461" s="200"/>
      <c r="B461" s="74"/>
      <c r="C461" s="72"/>
      <c r="D461" s="73"/>
      <c r="E461" s="72"/>
      <c r="F461" s="73"/>
      <c r="G461" s="74"/>
      <c r="H461" s="202"/>
      <c r="I461" s="74"/>
      <c r="J461" s="74"/>
      <c r="K461" s="74"/>
      <c r="L461" s="75"/>
      <c r="M461" s="75"/>
      <c r="N461" s="74"/>
      <c r="O461" s="203"/>
      <c r="P461" s="20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</row>
    <row r="462" spans="1:28" ht="15.75" customHeight="1">
      <c r="A462" s="200"/>
      <c r="B462" s="74"/>
      <c r="C462" s="72"/>
      <c r="D462" s="73"/>
      <c r="E462" s="72"/>
      <c r="F462" s="73"/>
      <c r="G462" s="74"/>
      <c r="H462" s="202"/>
      <c r="I462" s="74"/>
      <c r="J462" s="74"/>
      <c r="K462" s="74"/>
      <c r="L462" s="75"/>
      <c r="M462" s="75"/>
      <c r="N462" s="74"/>
      <c r="O462" s="203"/>
      <c r="P462" s="20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</row>
    <row r="463" spans="1:28" ht="15.75" customHeight="1">
      <c r="A463" s="200"/>
      <c r="B463" s="74"/>
      <c r="C463" s="72"/>
      <c r="D463" s="73"/>
      <c r="E463" s="72"/>
      <c r="F463" s="73"/>
      <c r="G463" s="74"/>
      <c r="H463" s="202"/>
      <c r="I463" s="74"/>
      <c r="J463" s="74"/>
      <c r="K463" s="74"/>
      <c r="L463" s="75"/>
      <c r="M463" s="75"/>
      <c r="N463" s="74"/>
      <c r="O463" s="203"/>
      <c r="P463" s="20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</row>
    <row r="464" spans="1:28" ht="15.75" customHeight="1">
      <c r="A464" s="200"/>
      <c r="B464" s="74"/>
      <c r="C464" s="72"/>
      <c r="D464" s="73"/>
      <c r="E464" s="72"/>
      <c r="F464" s="73"/>
      <c r="G464" s="74"/>
      <c r="H464" s="202"/>
      <c r="I464" s="74"/>
      <c r="J464" s="74"/>
      <c r="K464" s="74"/>
      <c r="L464" s="75"/>
      <c r="M464" s="75"/>
      <c r="N464" s="74"/>
      <c r="O464" s="203"/>
      <c r="P464" s="20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</row>
    <row r="465" spans="1:28" ht="15.75" customHeight="1">
      <c r="A465" s="200"/>
      <c r="B465" s="74"/>
      <c r="C465" s="72"/>
      <c r="D465" s="73"/>
      <c r="E465" s="72"/>
      <c r="F465" s="73"/>
      <c r="G465" s="74"/>
      <c r="H465" s="202"/>
      <c r="I465" s="74"/>
      <c r="J465" s="74"/>
      <c r="K465" s="74"/>
      <c r="L465" s="75"/>
      <c r="M465" s="75"/>
      <c r="N465" s="74"/>
      <c r="O465" s="203"/>
      <c r="P465" s="20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</row>
    <row r="466" spans="1:28" ht="15.75" customHeight="1">
      <c r="A466" s="200"/>
      <c r="B466" s="74"/>
      <c r="C466" s="72"/>
      <c r="D466" s="73"/>
      <c r="E466" s="72"/>
      <c r="F466" s="73"/>
      <c r="G466" s="74"/>
      <c r="H466" s="202"/>
      <c r="I466" s="74"/>
      <c r="J466" s="74"/>
      <c r="K466" s="74"/>
      <c r="L466" s="75"/>
      <c r="M466" s="75"/>
      <c r="N466" s="74"/>
      <c r="O466" s="203"/>
      <c r="P466" s="20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</row>
    <row r="467" spans="1:28" ht="15.75" customHeight="1">
      <c r="A467" s="200"/>
      <c r="B467" s="74"/>
      <c r="C467" s="72"/>
      <c r="D467" s="73"/>
      <c r="E467" s="72"/>
      <c r="F467" s="73"/>
      <c r="G467" s="74"/>
      <c r="H467" s="202"/>
      <c r="I467" s="74"/>
      <c r="J467" s="74"/>
      <c r="K467" s="74"/>
      <c r="L467" s="75"/>
      <c r="M467" s="75"/>
      <c r="N467" s="74"/>
      <c r="O467" s="203"/>
      <c r="P467" s="20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</row>
    <row r="468" spans="1:28" ht="15.75" customHeight="1">
      <c r="A468" s="200"/>
      <c r="B468" s="74"/>
      <c r="C468" s="72"/>
      <c r="D468" s="73"/>
      <c r="E468" s="72"/>
      <c r="F468" s="73"/>
      <c r="G468" s="74"/>
      <c r="H468" s="202"/>
      <c r="I468" s="74"/>
      <c r="J468" s="74"/>
      <c r="K468" s="74"/>
      <c r="L468" s="75"/>
      <c r="M468" s="75"/>
      <c r="N468" s="74"/>
      <c r="O468" s="203"/>
      <c r="P468" s="20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</row>
    <row r="469" spans="1:28" ht="15.75" customHeight="1">
      <c r="A469" s="200"/>
      <c r="B469" s="74"/>
      <c r="C469" s="72"/>
      <c r="D469" s="73"/>
      <c r="E469" s="72"/>
      <c r="F469" s="73"/>
      <c r="G469" s="74"/>
      <c r="H469" s="202"/>
      <c r="I469" s="74"/>
      <c r="J469" s="74"/>
      <c r="K469" s="74"/>
      <c r="L469" s="75"/>
      <c r="M469" s="75"/>
      <c r="N469" s="74"/>
      <c r="O469" s="203"/>
      <c r="P469" s="20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</row>
    <row r="470" spans="1:28" ht="15.75" customHeight="1">
      <c r="A470" s="200"/>
      <c r="B470" s="74"/>
      <c r="C470" s="72"/>
      <c r="D470" s="73"/>
      <c r="E470" s="72"/>
      <c r="F470" s="73"/>
      <c r="G470" s="74"/>
      <c r="H470" s="202"/>
      <c r="I470" s="74"/>
      <c r="J470" s="74"/>
      <c r="K470" s="74"/>
      <c r="L470" s="75"/>
      <c r="M470" s="75"/>
      <c r="N470" s="74"/>
      <c r="O470" s="203"/>
      <c r="P470" s="20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</row>
    <row r="471" spans="1:28" ht="15.75" customHeight="1">
      <c r="A471" s="200"/>
      <c r="B471" s="74"/>
      <c r="C471" s="72"/>
      <c r="D471" s="73"/>
      <c r="E471" s="72"/>
      <c r="F471" s="73"/>
      <c r="G471" s="74"/>
      <c r="H471" s="202"/>
      <c r="I471" s="74"/>
      <c r="J471" s="74"/>
      <c r="K471" s="74"/>
      <c r="L471" s="75"/>
      <c r="M471" s="75"/>
      <c r="N471" s="74"/>
      <c r="O471" s="203"/>
      <c r="P471" s="20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</row>
    <row r="472" spans="1:28" ht="15.75" customHeight="1">
      <c r="A472" s="200"/>
      <c r="B472" s="74"/>
      <c r="C472" s="72"/>
      <c r="D472" s="73"/>
      <c r="E472" s="72"/>
      <c r="F472" s="73"/>
      <c r="G472" s="74"/>
      <c r="H472" s="202"/>
      <c r="I472" s="74"/>
      <c r="J472" s="74"/>
      <c r="K472" s="74"/>
      <c r="L472" s="75"/>
      <c r="M472" s="75"/>
      <c r="N472" s="74"/>
      <c r="O472" s="203"/>
      <c r="P472" s="20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</row>
    <row r="473" spans="1:28" ht="15.75" customHeight="1">
      <c r="A473" s="200"/>
      <c r="B473" s="74"/>
      <c r="C473" s="72"/>
      <c r="D473" s="73"/>
      <c r="E473" s="72"/>
      <c r="F473" s="73"/>
      <c r="G473" s="74"/>
      <c r="H473" s="202"/>
      <c r="I473" s="74"/>
      <c r="J473" s="74"/>
      <c r="K473" s="74"/>
      <c r="L473" s="75"/>
      <c r="M473" s="75"/>
      <c r="N473" s="74"/>
      <c r="O473" s="203"/>
      <c r="P473" s="20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</row>
    <row r="474" spans="1:28" ht="15.75" customHeight="1">
      <c r="A474" s="200"/>
      <c r="B474" s="74"/>
      <c r="C474" s="72"/>
      <c r="D474" s="73"/>
      <c r="E474" s="72"/>
      <c r="F474" s="73"/>
      <c r="G474" s="74"/>
      <c r="H474" s="202"/>
      <c r="I474" s="74"/>
      <c r="J474" s="74"/>
      <c r="K474" s="74"/>
      <c r="L474" s="75"/>
      <c r="M474" s="75"/>
      <c r="N474" s="74"/>
      <c r="O474" s="203"/>
      <c r="P474" s="20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</row>
    <row r="475" spans="1:28" ht="15.75" customHeight="1">
      <c r="A475" s="200"/>
      <c r="B475" s="74"/>
      <c r="C475" s="72"/>
      <c r="D475" s="73"/>
      <c r="E475" s="72"/>
      <c r="F475" s="73"/>
      <c r="G475" s="74"/>
      <c r="H475" s="202"/>
      <c r="I475" s="74"/>
      <c r="J475" s="74"/>
      <c r="K475" s="74"/>
      <c r="L475" s="75"/>
      <c r="M475" s="75"/>
      <c r="N475" s="74"/>
      <c r="O475" s="203"/>
      <c r="P475" s="20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</row>
    <row r="476" spans="1:28" ht="15.75" customHeight="1">
      <c r="A476" s="200"/>
      <c r="B476" s="74"/>
      <c r="C476" s="72"/>
      <c r="D476" s="73"/>
      <c r="E476" s="72"/>
      <c r="F476" s="73"/>
      <c r="G476" s="74"/>
      <c r="H476" s="202"/>
      <c r="I476" s="74"/>
      <c r="J476" s="74"/>
      <c r="K476" s="74"/>
      <c r="L476" s="75"/>
      <c r="M476" s="75"/>
      <c r="N476" s="74"/>
      <c r="O476" s="203"/>
      <c r="P476" s="20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</row>
    <row r="477" spans="1:28" ht="15.75" customHeight="1">
      <c r="A477" s="200"/>
      <c r="B477" s="74"/>
      <c r="C477" s="72"/>
      <c r="D477" s="73"/>
      <c r="E477" s="72"/>
      <c r="F477" s="73"/>
      <c r="G477" s="74"/>
      <c r="H477" s="202"/>
      <c r="I477" s="74"/>
      <c r="J477" s="74"/>
      <c r="K477" s="74"/>
      <c r="L477" s="75"/>
      <c r="M477" s="75"/>
      <c r="N477" s="74"/>
      <c r="O477" s="203"/>
      <c r="P477" s="20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</row>
    <row r="478" spans="1:28" ht="15.75" customHeight="1">
      <c r="A478" s="200"/>
      <c r="B478" s="74"/>
      <c r="C478" s="72"/>
      <c r="D478" s="73"/>
      <c r="E478" s="72"/>
      <c r="F478" s="73"/>
      <c r="G478" s="74"/>
      <c r="H478" s="202"/>
      <c r="I478" s="74"/>
      <c r="J478" s="74"/>
      <c r="K478" s="74"/>
      <c r="L478" s="75"/>
      <c r="M478" s="75"/>
      <c r="N478" s="74"/>
      <c r="O478" s="203"/>
      <c r="P478" s="20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</row>
    <row r="479" spans="1:28" ht="15.75" customHeight="1">
      <c r="A479" s="200"/>
      <c r="B479" s="74"/>
      <c r="C479" s="72"/>
      <c r="D479" s="73"/>
      <c r="E479" s="72"/>
      <c r="F479" s="73"/>
      <c r="G479" s="74"/>
      <c r="H479" s="202"/>
      <c r="I479" s="74"/>
      <c r="J479" s="74"/>
      <c r="K479" s="74"/>
      <c r="L479" s="75"/>
      <c r="M479" s="75"/>
      <c r="N479" s="74"/>
      <c r="O479" s="203"/>
      <c r="P479" s="20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</row>
    <row r="480" spans="1:28" ht="15.75" customHeight="1">
      <c r="A480" s="200"/>
      <c r="B480" s="74"/>
      <c r="C480" s="72"/>
      <c r="D480" s="73"/>
      <c r="E480" s="72"/>
      <c r="F480" s="73"/>
      <c r="G480" s="74"/>
      <c r="H480" s="202"/>
      <c r="I480" s="74"/>
      <c r="J480" s="74"/>
      <c r="K480" s="74"/>
      <c r="L480" s="75"/>
      <c r="M480" s="75"/>
      <c r="N480" s="74"/>
      <c r="O480" s="203"/>
      <c r="P480" s="20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</row>
    <row r="481" spans="1:28" ht="15.75" customHeight="1">
      <c r="A481" s="200"/>
      <c r="B481" s="74"/>
      <c r="C481" s="72"/>
      <c r="D481" s="73"/>
      <c r="E481" s="72"/>
      <c r="F481" s="73"/>
      <c r="G481" s="74"/>
      <c r="H481" s="202"/>
      <c r="I481" s="74"/>
      <c r="J481" s="74"/>
      <c r="K481" s="74"/>
      <c r="L481" s="75"/>
      <c r="M481" s="75"/>
      <c r="N481" s="74"/>
      <c r="O481" s="203"/>
      <c r="P481" s="20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</row>
    <row r="482" spans="1:28" ht="15.75" customHeight="1">
      <c r="A482" s="200"/>
      <c r="B482" s="74"/>
      <c r="C482" s="72"/>
      <c r="D482" s="73"/>
      <c r="E482" s="72"/>
      <c r="F482" s="73"/>
      <c r="G482" s="74"/>
      <c r="H482" s="202"/>
      <c r="I482" s="74"/>
      <c r="J482" s="74"/>
      <c r="K482" s="74"/>
      <c r="L482" s="75"/>
      <c r="M482" s="75"/>
      <c r="N482" s="74"/>
      <c r="O482" s="203"/>
      <c r="P482" s="20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</row>
    <row r="483" spans="1:28" ht="15.75" customHeight="1">
      <c r="A483" s="200"/>
      <c r="B483" s="74"/>
      <c r="C483" s="72"/>
      <c r="D483" s="73"/>
      <c r="E483" s="72"/>
      <c r="F483" s="73"/>
      <c r="G483" s="74"/>
      <c r="H483" s="202"/>
      <c r="I483" s="74"/>
      <c r="J483" s="74"/>
      <c r="K483" s="74"/>
      <c r="L483" s="75"/>
      <c r="M483" s="75"/>
      <c r="N483" s="74"/>
      <c r="O483" s="203"/>
      <c r="P483" s="20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</row>
    <row r="484" spans="1:28" ht="15.75" customHeight="1">
      <c r="A484" s="200"/>
      <c r="B484" s="74"/>
      <c r="C484" s="72"/>
      <c r="D484" s="73"/>
      <c r="E484" s="72"/>
      <c r="F484" s="73"/>
      <c r="G484" s="74"/>
      <c r="H484" s="202"/>
      <c r="I484" s="74"/>
      <c r="J484" s="74"/>
      <c r="K484" s="74"/>
      <c r="L484" s="75"/>
      <c r="M484" s="75"/>
      <c r="N484" s="74"/>
      <c r="O484" s="203"/>
      <c r="P484" s="20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</row>
    <row r="485" spans="1:28" ht="15.75" customHeight="1">
      <c r="A485" s="200"/>
      <c r="B485" s="74"/>
      <c r="C485" s="72"/>
      <c r="D485" s="73"/>
      <c r="E485" s="72"/>
      <c r="F485" s="73"/>
      <c r="G485" s="74"/>
      <c r="H485" s="202"/>
      <c r="I485" s="74"/>
      <c r="J485" s="74"/>
      <c r="K485" s="74"/>
      <c r="L485" s="75"/>
      <c r="M485" s="75"/>
      <c r="N485" s="74"/>
      <c r="O485" s="203"/>
      <c r="P485" s="20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</row>
    <row r="486" spans="1:28" ht="15.75" customHeight="1">
      <c r="A486" s="200"/>
      <c r="B486" s="74"/>
      <c r="C486" s="72"/>
      <c r="D486" s="73"/>
      <c r="E486" s="72"/>
      <c r="F486" s="73"/>
      <c r="G486" s="74"/>
      <c r="H486" s="202"/>
      <c r="I486" s="74"/>
      <c r="J486" s="74"/>
      <c r="K486" s="74"/>
      <c r="L486" s="75"/>
      <c r="M486" s="75"/>
      <c r="N486" s="74"/>
      <c r="O486" s="203"/>
      <c r="P486" s="20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</row>
    <row r="487" spans="1:28" ht="15.75" customHeight="1">
      <c r="A487" s="200"/>
      <c r="B487" s="74"/>
      <c r="C487" s="72"/>
      <c r="D487" s="73"/>
      <c r="E487" s="72"/>
      <c r="F487" s="73"/>
      <c r="G487" s="74"/>
      <c r="H487" s="202"/>
      <c r="I487" s="74"/>
      <c r="J487" s="74"/>
      <c r="K487" s="74"/>
      <c r="L487" s="75"/>
      <c r="M487" s="75"/>
      <c r="N487" s="74"/>
      <c r="O487" s="203"/>
      <c r="P487" s="20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</row>
    <row r="488" spans="1:28" ht="15.75" customHeight="1">
      <c r="A488" s="200"/>
      <c r="B488" s="74"/>
      <c r="C488" s="72"/>
      <c r="D488" s="73"/>
      <c r="E488" s="72"/>
      <c r="F488" s="73"/>
      <c r="G488" s="74"/>
      <c r="H488" s="202"/>
      <c r="I488" s="74"/>
      <c r="J488" s="74"/>
      <c r="K488" s="74"/>
      <c r="L488" s="75"/>
      <c r="M488" s="75"/>
      <c r="N488" s="74"/>
      <c r="O488" s="203"/>
      <c r="P488" s="20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</row>
    <row r="489" spans="1:28" ht="15.75" customHeight="1">
      <c r="A489" s="200"/>
      <c r="B489" s="74"/>
      <c r="C489" s="72"/>
      <c r="D489" s="73"/>
      <c r="E489" s="72"/>
      <c r="F489" s="73"/>
      <c r="G489" s="74"/>
      <c r="H489" s="202"/>
      <c r="I489" s="74"/>
      <c r="J489" s="74"/>
      <c r="K489" s="74"/>
      <c r="L489" s="75"/>
      <c r="M489" s="75"/>
      <c r="N489" s="74"/>
      <c r="O489" s="203"/>
      <c r="P489" s="20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</row>
    <row r="490" spans="1:28" ht="15.75" customHeight="1">
      <c r="A490" s="200"/>
      <c r="B490" s="74"/>
      <c r="C490" s="72"/>
      <c r="D490" s="73"/>
      <c r="E490" s="72"/>
      <c r="F490" s="73"/>
      <c r="G490" s="74"/>
      <c r="H490" s="202"/>
      <c r="I490" s="74"/>
      <c r="J490" s="74"/>
      <c r="K490" s="74"/>
      <c r="L490" s="75"/>
      <c r="M490" s="75"/>
      <c r="N490" s="74"/>
      <c r="O490" s="203"/>
      <c r="P490" s="20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</row>
    <row r="491" spans="1:28" ht="15.75" customHeight="1">
      <c r="A491" s="200"/>
      <c r="B491" s="74"/>
      <c r="C491" s="72"/>
      <c r="D491" s="73"/>
      <c r="E491" s="72"/>
      <c r="F491" s="73"/>
      <c r="G491" s="74"/>
      <c r="H491" s="202"/>
      <c r="I491" s="74"/>
      <c r="J491" s="74"/>
      <c r="K491" s="74"/>
      <c r="L491" s="75"/>
      <c r="M491" s="75"/>
      <c r="N491" s="74"/>
      <c r="O491" s="203"/>
      <c r="P491" s="20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</row>
    <row r="492" spans="1:28" ht="15.75" customHeight="1">
      <c r="A492" s="200"/>
      <c r="B492" s="74"/>
      <c r="C492" s="72"/>
      <c r="D492" s="73"/>
      <c r="E492" s="72"/>
      <c r="F492" s="73"/>
      <c r="G492" s="74"/>
      <c r="H492" s="202"/>
      <c r="I492" s="74"/>
      <c r="J492" s="74"/>
      <c r="K492" s="74"/>
      <c r="L492" s="75"/>
      <c r="M492" s="75"/>
      <c r="N492" s="74"/>
      <c r="O492" s="203"/>
      <c r="P492" s="20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</row>
    <row r="493" spans="1:28" ht="15.75" customHeight="1">
      <c r="A493" s="200"/>
      <c r="B493" s="74"/>
      <c r="C493" s="72"/>
      <c r="D493" s="73"/>
      <c r="E493" s="72"/>
      <c r="F493" s="73"/>
      <c r="G493" s="74"/>
      <c r="H493" s="202"/>
      <c r="I493" s="74"/>
      <c r="J493" s="74"/>
      <c r="K493" s="74"/>
      <c r="L493" s="75"/>
      <c r="M493" s="75"/>
      <c r="N493" s="74"/>
      <c r="O493" s="203"/>
      <c r="P493" s="20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</row>
    <row r="494" spans="1:28" ht="15.75" customHeight="1">
      <c r="A494" s="200"/>
      <c r="B494" s="74"/>
      <c r="C494" s="72"/>
      <c r="D494" s="73"/>
      <c r="E494" s="72"/>
      <c r="F494" s="73"/>
      <c r="G494" s="74"/>
      <c r="H494" s="202"/>
      <c r="I494" s="74"/>
      <c r="J494" s="74"/>
      <c r="K494" s="74"/>
      <c r="L494" s="75"/>
      <c r="M494" s="75"/>
      <c r="N494" s="74"/>
      <c r="O494" s="203"/>
      <c r="P494" s="20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</row>
    <row r="495" spans="1:28" ht="15.75" customHeight="1">
      <c r="A495" s="200"/>
      <c r="B495" s="74"/>
      <c r="C495" s="72"/>
      <c r="D495" s="73"/>
      <c r="E495" s="72"/>
      <c r="F495" s="73"/>
      <c r="G495" s="74"/>
      <c r="H495" s="202"/>
      <c r="I495" s="74"/>
      <c r="J495" s="74"/>
      <c r="K495" s="74"/>
      <c r="L495" s="75"/>
      <c r="M495" s="75"/>
      <c r="N495" s="74"/>
      <c r="O495" s="203"/>
      <c r="P495" s="20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</row>
    <row r="496" spans="1:28" ht="15.75" customHeight="1">
      <c r="A496" s="200"/>
      <c r="B496" s="74"/>
      <c r="C496" s="72"/>
      <c r="D496" s="73"/>
      <c r="E496" s="72"/>
      <c r="F496" s="73"/>
      <c r="G496" s="74"/>
      <c r="H496" s="202"/>
      <c r="I496" s="74"/>
      <c r="J496" s="74"/>
      <c r="K496" s="74"/>
      <c r="L496" s="75"/>
      <c r="M496" s="75"/>
      <c r="N496" s="74"/>
      <c r="O496" s="203"/>
      <c r="P496" s="20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</row>
    <row r="497" spans="1:28" ht="15.75" customHeight="1">
      <c r="A497" s="200"/>
      <c r="B497" s="74"/>
      <c r="C497" s="72"/>
      <c r="D497" s="73"/>
      <c r="E497" s="72"/>
      <c r="F497" s="73"/>
      <c r="G497" s="74"/>
      <c r="H497" s="202"/>
      <c r="I497" s="74"/>
      <c r="J497" s="74"/>
      <c r="K497" s="74"/>
      <c r="L497" s="75"/>
      <c r="M497" s="75"/>
      <c r="N497" s="74"/>
      <c r="O497" s="203"/>
      <c r="P497" s="20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</row>
    <row r="498" spans="1:28" ht="15.75" customHeight="1">
      <c r="A498" s="200"/>
      <c r="B498" s="74"/>
      <c r="C498" s="72"/>
      <c r="D498" s="73"/>
      <c r="E498" s="72"/>
      <c r="F498" s="73"/>
      <c r="G498" s="74"/>
      <c r="H498" s="202"/>
      <c r="I498" s="74"/>
      <c r="J498" s="74"/>
      <c r="K498" s="74"/>
      <c r="L498" s="75"/>
      <c r="M498" s="75"/>
      <c r="N498" s="74"/>
      <c r="O498" s="203"/>
      <c r="P498" s="20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</row>
    <row r="499" spans="1:28" ht="15.75" customHeight="1">
      <c r="A499" s="200"/>
      <c r="B499" s="74"/>
      <c r="C499" s="72"/>
      <c r="D499" s="73"/>
      <c r="E499" s="72"/>
      <c r="F499" s="73"/>
      <c r="G499" s="74"/>
      <c r="H499" s="202"/>
      <c r="I499" s="74"/>
      <c r="J499" s="74"/>
      <c r="K499" s="74"/>
      <c r="L499" s="75"/>
      <c r="M499" s="75"/>
      <c r="N499" s="74"/>
      <c r="O499" s="203"/>
      <c r="P499" s="20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</row>
    <row r="500" spans="1:28" ht="15.75" customHeight="1">
      <c r="A500" s="200"/>
      <c r="B500" s="74"/>
      <c r="C500" s="72"/>
      <c r="D500" s="73"/>
      <c r="E500" s="72"/>
      <c r="F500" s="73"/>
      <c r="G500" s="74"/>
      <c r="H500" s="202"/>
      <c r="I500" s="74"/>
      <c r="J500" s="74"/>
      <c r="K500" s="74"/>
      <c r="L500" s="75"/>
      <c r="M500" s="75"/>
      <c r="N500" s="74"/>
      <c r="O500" s="203"/>
      <c r="P500" s="20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</row>
    <row r="501" spans="1:28" ht="15.75" customHeight="1">
      <c r="A501" s="200"/>
      <c r="B501" s="74"/>
      <c r="C501" s="72"/>
      <c r="D501" s="73"/>
      <c r="E501" s="72"/>
      <c r="F501" s="73"/>
      <c r="G501" s="74"/>
      <c r="H501" s="202"/>
      <c r="I501" s="74"/>
      <c r="J501" s="74"/>
      <c r="K501" s="74"/>
      <c r="L501" s="75"/>
      <c r="M501" s="75"/>
      <c r="N501" s="74"/>
      <c r="O501" s="203"/>
      <c r="P501" s="20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</row>
    <row r="502" spans="1:28" ht="15.75" customHeight="1">
      <c r="A502" s="200"/>
      <c r="B502" s="74"/>
      <c r="C502" s="72"/>
      <c r="D502" s="73"/>
      <c r="E502" s="72"/>
      <c r="F502" s="73"/>
      <c r="G502" s="74"/>
      <c r="H502" s="202"/>
      <c r="I502" s="74"/>
      <c r="J502" s="74"/>
      <c r="K502" s="74"/>
      <c r="L502" s="75"/>
      <c r="M502" s="75"/>
      <c r="N502" s="74"/>
      <c r="O502" s="203"/>
      <c r="P502" s="20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</row>
    <row r="503" spans="1:28" ht="15.75" customHeight="1">
      <c r="A503" s="200"/>
      <c r="B503" s="74"/>
      <c r="C503" s="72"/>
      <c r="D503" s="73"/>
      <c r="E503" s="72"/>
      <c r="F503" s="73"/>
      <c r="G503" s="74"/>
      <c r="H503" s="202"/>
      <c r="I503" s="74"/>
      <c r="J503" s="74"/>
      <c r="K503" s="74"/>
      <c r="L503" s="75"/>
      <c r="M503" s="75"/>
      <c r="N503" s="74"/>
      <c r="O503" s="203"/>
      <c r="P503" s="20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</row>
    <row r="504" spans="1:28" ht="15.75" customHeight="1">
      <c r="A504" s="200"/>
      <c r="B504" s="74"/>
      <c r="C504" s="72"/>
      <c r="D504" s="73"/>
      <c r="E504" s="72"/>
      <c r="F504" s="73"/>
      <c r="G504" s="74"/>
      <c r="H504" s="202"/>
      <c r="I504" s="74"/>
      <c r="J504" s="74"/>
      <c r="K504" s="74"/>
      <c r="L504" s="75"/>
      <c r="M504" s="75"/>
      <c r="N504" s="74"/>
      <c r="O504" s="203"/>
      <c r="P504" s="20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</row>
    <row r="505" spans="1:28" ht="15.75" customHeight="1">
      <c r="A505" s="200"/>
      <c r="B505" s="74"/>
      <c r="C505" s="72"/>
      <c r="D505" s="73"/>
      <c r="E505" s="72"/>
      <c r="F505" s="73"/>
      <c r="G505" s="74"/>
      <c r="H505" s="202"/>
      <c r="I505" s="74"/>
      <c r="J505" s="74"/>
      <c r="K505" s="74"/>
      <c r="L505" s="75"/>
      <c r="M505" s="75"/>
      <c r="N505" s="74"/>
      <c r="O505" s="203"/>
      <c r="P505" s="20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</row>
    <row r="506" spans="1:28" ht="15.75" customHeight="1">
      <c r="A506" s="200"/>
      <c r="B506" s="74"/>
      <c r="C506" s="72"/>
      <c r="D506" s="73"/>
      <c r="E506" s="72"/>
      <c r="F506" s="73"/>
      <c r="G506" s="74"/>
      <c r="H506" s="202"/>
      <c r="I506" s="74"/>
      <c r="J506" s="74"/>
      <c r="K506" s="74"/>
      <c r="L506" s="75"/>
      <c r="M506" s="75"/>
      <c r="N506" s="74"/>
      <c r="O506" s="203"/>
      <c r="P506" s="20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</row>
    <row r="507" spans="1:28" ht="15.75" customHeight="1">
      <c r="A507" s="200"/>
      <c r="B507" s="74"/>
      <c r="C507" s="72"/>
      <c r="D507" s="73"/>
      <c r="E507" s="72"/>
      <c r="F507" s="73"/>
      <c r="G507" s="74"/>
      <c r="H507" s="202"/>
      <c r="I507" s="74"/>
      <c r="J507" s="74"/>
      <c r="K507" s="74"/>
      <c r="L507" s="75"/>
      <c r="M507" s="75"/>
      <c r="N507" s="74"/>
      <c r="O507" s="203"/>
      <c r="P507" s="20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</row>
    <row r="508" spans="1:28" ht="15.75" customHeight="1">
      <c r="A508" s="200"/>
      <c r="B508" s="74"/>
      <c r="C508" s="72"/>
      <c r="D508" s="73"/>
      <c r="E508" s="72"/>
      <c r="F508" s="73"/>
      <c r="G508" s="74"/>
      <c r="H508" s="202"/>
      <c r="I508" s="74"/>
      <c r="J508" s="74"/>
      <c r="K508" s="74"/>
      <c r="L508" s="75"/>
      <c r="M508" s="75"/>
      <c r="N508" s="74"/>
      <c r="O508" s="203"/>
      <c r="P508" s="20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</row>
    <row r="509" spans="1:28" ht="15.75" customHeight="1">
      <c r="A509" s="200"/>
      <c r="B509" s="74"/>
      <c r="C509" s="72"/>
      <c r="D509" s="73"/>
      <c r="E509" s="72"/>
      <c r="F509" s="73"/>
      <c r="G509" s="74"/>
      <c r="H509" s="202"/>
      <c r="I509" s="74"/>
      <c r="J509" s="74"/>
      <c r="K509" s="74"/>
      <c r="L509" s="75"/>
      <c r="M509" s="75"/>
      <c r="N509" s="74"/>
      <c r="O509" s="203"/>
      <c r="P509" s="20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</row>
    <row r="510" spans="1:28" ht="15.75" customHeight="1">
      <c r="A510" s="200"/>
      <c r="B510" s="74"/>
      <c r="C510" s="72"/>
      <c r="D510" s="73"/>
      <c r="E510" s="72"/>
      <c r="F510" s="73"/>
      <c r="G510" s="74"/>
      <c r="H510" s="202"/>
      <c r="I510" s="74"/>
      <c r="J510" s="74"/>
      <c r="K510" s="74"/>
      <c r="L510" s="75"/>
      <c r="M510" s="75"/>
      <c r="N510" s="74"/>
      <c r="O510" s="203"/>
      <c r="P510" s="20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</row>
    <row r="511" spans="1:28" ht="15.75" customHeight="1">
      <c r="A511" s="200"/>
      <c r="B511" s="74"/>
      <c r="C511" s="72"/>
      <c r="D511" s="73"/>
      <c r="E511" s="72"/>
      <c r="F511" s="73"/>
      <c r="G511" s="74"/>
      <c r="H511" s="202"/>
      <c r="I511" s="74"/>
      <c r="J511" s="74"/>
      <c r="K511" s="74"/>
      <c r="L511" s="75"/>
      <c r="M511" s="75"/>
      <c r="N511" s="74"/>
      <c r="O511" s="203"/>
      <c r="P511" s="20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</row>
    <row r="512" spans="1:28" ht="15.75" customHeight="1">
      <c r="A512" s="200"/>
      <c r="B512" s="74"/>
      <c r="C512" s="72"/>
      <c r="D512" s="73"/>
      <c r="E512" s="72"/>
      <c r="F512" s="73"/>
      <c r="G512" s="74"/>
      <c r="H512" s="202"/>
      <c r="I512" s="74"/>
      <c r="J512" s="74"/>
      <c r="K512" s="74"/>
      <c r="L512" s="75"/>
      <c r="M512" s="75"/>
      <c r="N512" s="74"/>
      <c r="O512" s="203"/>
      <c r="P512" s="20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</row>
    <row r="513" spans="1:28" ht="15.75" customHeight="1">
      <c r="A513" s="200"/>
      <c r="B513" s="74"/>
      <c r="C513" s="72"/>
      <c r="D513" s="73"/>
      <c r="E513" s="72"/>
      <c r="F513" s="73"/>
      <c r="G513" s="74"/>
      <c r="H513" s="202"/>
      <c r="I513" s="74"/>
      <c r="J513" s="74"/>
      <c r="K513" s="74"/>
      <c r="L513" s="75"/>
      <c r="M513" s="75"/>
      <c r="N513" s="74"/>
      <c r="O513" s="203"/>
      <c r="P513" s="20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</row>
    <row r="514" spans="1:28" ht="15.75" customHeight="1">
      <c r="A514" s="200"/>
      <c r="B514" s="74"/>
      <c r="C514" s="72"/>
      <c r="D514" s="73"/>
      <c r="E514" s="72"/>
      <c r="F514" s="73"/>
      <c r="G514" s="74"/>
      <c r="H514" s="202"/>
      <c r="I514" s="74"/>
      <c r="J514" s="74"/>
      <c r="K514" s="74"/>
      <c r="L514" s="75"/>
      <c r="M514" s="75"/>
      <c r="N514" s="74"/>
      <c r="O514" s="203"/>
      <c r="P514" s="20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</row>
    <row r="515" spans="1:28" ht="15.75" customHeight="1">
      <c r="A515" s="200"/>
      <c r="B515" s="74"/>
      <c r="C515" s="72"/>
      <c r="D515" s="73"/>
      <c r="E515" s="72"/>
      <c r="F515" s="73"/>
      <c r="G515" s="74"/>
      <c r="H515" s="202"/>
      <c r="I515" s="74"/>
      <c r="J515" s="74"/>
      <c r="K515" s="74"/>
      <c r="L515" s="75"/>
      <c r="M515" s="75"/>
      <c r="N515" s="74"/>
      <c r="O515" s="203"/>
      <c r="P515" s="20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</row>
    <row r="516" spans="1:28" ht="15.75" customHeight="1">
      <c r="A516" s="200"/>
      <c r="B516" s="74"/>
      <c r="C516" s="72"/>
      <c r="D516" s="73"/>
      <c r="E516" s="72"/>
      <c r="F516" s="73"/>
      <c r="G516" s="74"/>
      <c r="H516" s="202"/>
      <c r="I516" s="74"/>
      <c r="J516" s="74"/>
      <c r="K516" s="74"/>
      <c r="L516" s="75"/>
      <c r="M516" s="75"/>
      <c r="N516" s="74"/>
      <c r="O516" s="203"/>
      <c r="P516" s="20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</row>
    <row r="517" spans="1:28" ht="15.75" customHeight="1">
      <c r="A517" s="200"/>
      <c r="B517" s="74"/>
      <c r="C517" s="72"/>
      <c r="D517" s="73"/>
      <c r="E517" s="72"/>
      <c r="F517" s="73"/>
      <c r="G517" s="74"/>
      <c r="H517" s="202"/>
      <c r="I517" s="74"/>
      <c r="J517" s="74"/>
      <c r="K517" s="74"/>
      <c r="L517" s="75"/>
      <c r="M517" s="75"/>
      <c r="N517" s="74"/>
      <c r="O517" s="203"/>
      <c r="P517" s="20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</row>
    <row r="518" spans="1:28" ht="15.75" customHeight="1">
      <c r="A518" s="200"/>
      <c r="B518" s="74"/>
      <c r="C518" s="72"/>
      <c r="D518" s="73"/>
      <c r="E518" s="72"/>
      <c r="F518" s="73"/>
      <c r="G518" s="74"/>
      <c r="H518" s="202"/>
      <c r="I518" s="74"/>
      <c r="J518" s="74"/>
      <c r="K518" s="74"/>
      <c r="L518" s="75"/>
      <c r="M518" s="75"/>
      <c r="N518" s="74"/>
      <c r="O518" s="203"/>
      <c r="P518" s="20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</row>
    <row r="519" spans="1:28" ht="15.75" customHeight="1">
      <c r="A519" s="200"/>
      <c r="B519" s="74"/>
      <c r="C519" s="72"/>
      <c r="D519" s="73"/>
      <c r="E519" s="72"/>
      <c r="F519" s="73"/>
      <c r="G519" s="74"/>
      <c r="H519" s="202"/>
      <c r="I519" s="74"/>
      <c r="J519" s="74"/>
      <c r="K519" s="74"/>
      <c r="L519" s="75"/>
      <c r="M519" s="75"/>
      <c r="N519" s="74"/>
      <c r="O519" s="203"/>
      <c r="P519" s="20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</row>
    <row r="520" spans="1:28" ht="15.75" customHeight="1">
      <c r="A520" s="200"/>
      <c r="B520" s="74"/>
      <c r="C520" s="72"/>
      <c r="D520" s="73"/>
      <c r="E520" s="72"/>
      <c r="F520" s="73"/>
      <c r="G520" s="74"/>
      <c r="H520" s="202"/>
      <c r="I520" s="74"/>
      <c r="J520" s="74"/>
      <c r="K520" s="74"/>
      <c r="L520" s="75"/>
      <c r="M520" s="75"/>
      <c r="N520" s="74"/>
      <c r="O520" s="203"/>
      <c r="P520" s="20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</row>
    <row r="521" spans="1:28" ht="15.75" customHeight="1">
      <c r="A521" s="200"/>
      <c r="B521" s="74"/>
      <c r="C521" s="72"/>
      <c r="D521" s="73"/>
      <c r="E521" s="72"/>
      <c r="F521" s="73"/>
      <c r="G521" s="74"/>
      <c r="H521" s="202"/>
      <c r="I521" s="74"/>
      <c r="J521" s="74"/>
      <c r="K521" s="74"/>
      <c r="L521" s="75"/>
      <c r="M521" s="75"/>
      <c r="N521" s="74"/>
      <c r="O521" s="203"/>
      <c r="P521" s="20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</row>
    <row r="522" spans="1:28" ht="15.75" customHeight="1">
      <c r="A522" s="200"/>
      <c r="B522" s="74"/>
      <c r="C522" s="72"/>
      <c r="D522" s="73"/>
      <c r="E522" s="72"/>
      <c r="F522" s="73"/>
      <c r="G522" s="74"/>
      <c r="H522" s="202"/>
      <c r="I522" s="74"/>
      <c r="J522" s="74"/>
      <c r="K522" s="74"/>
      <c r="L522" s="75"/>
      <c r="M522" s="75"/>
      <c r="N522" s="74"/>
      <c r="O522" s="203"/>
      <c r="P522" s="20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</row>
    <row r="523" spans="1:28" ht="15.75" customHeight="1">
      <c r="A523" s="200"/>
      <c r="B523" s="74"/>
      <c r="C523" s="72"/>
      <c r="D523" s="73"/>
      <c r="E523" s="72"/>
      <c r="F523" s="73"/>
      <c r="G523" s="74"/>
      <c r="H523" s="202"/>
      <c r="I523" s="74"/>
      <c r="J523" s="74"/>
      <c r="K523" s="74"/>
      <c r="L523" s="75"/>
      <c r="M523" s="75"/>
      <c r="N523" s="74"/>
      <c r="O523" s="203"/>
      <c r="P523" s="20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</row>
    <row r="524" spans="1:28" ht="15.75" customHeight="1">
      <c r="A524" s="200"/>
      <c r="B524" s="74"/>
      <c r="C524" s="72"/>
      <c r="D524" s="73"/>
      <c r="E524" s="72"/>
      <c r="F524" s="73"/>
      <c r="G524" s="74"/>
      <c r="H524" s="202"/>
      <c r="I524" s="74"/>
      <c r="J524" s="74"/>
      <c r="K524" s="74"/>
      <c r="L524" s="75"/>
      <c r="M524" s="75"/>
      <c r="N524" s="74"/>
      <c r="O524" s="203"/>
      <c r="P524" s="20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</row>
    <row r="525" spans="1:28" ht="15.75" customHeight="1">
      <c r="A525" s="200"/>
      <c r="B525" s="74"/>
      <c r="C525" s="72"/>
      <c r="D525" s="73"/>
      <c r="E525" s="72"/>
      <c r="F525" s="73"/>
      <c r="G525" s="74"/>
      <c r="H525" s="202"/>
      <c r="I525" s="74"/>
      <c r="J525" s="74"/>
      <c r="K525" s="74"/>
      <c r="L525" s="75"/>
      <c r="M525" s="75"/>
      <c r="N525" s="74"/>
      <c r="O525" s="203"/>
      <c r="P525" s="20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</row>
    <row r="526" spans="1:28" ht="15.75" customHeight="1">
      <c r="A526" s="200"/>
      <c r="B526" s="74"/>
      <c r="C526" s="72"/>
      <c r="D526" s="73"/>
      <c r="E526" s="72"/>
      <c r="F526" s="73"/>
      <c r="G526" s="74"/>
      <c r="H526" s="202"/>
      <c r="I526" s="74"/>
      <c r="J526" s="74"/>
      <c r="K526" s="74"/>
      <c r="L526" s="75"/>
      <c r="M526" s="75"/>
      <c r="N526" s="74"/>
      <c r="O526" s="203"/>
      <c r="P526" s="20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</row>
    <row r="527" spans="1:28" ht="15.75" customHeight="1">
      <c r="A527" s="200"/>
      <c r="B527" s="74"/>
      <c r="C527" s="72"/>
      <c r="D527" s="73"/>
      <c r="E527" s="72"/>
      <c r="F527" s="73"/>
      <c r="G527" s="74"/>
      <c r="H527" s="202"/>
      <c r="I527" s="74"/>
      <c r="J527" s="74"/>
      <c r="K527" s="74"/>
      <c r="L527" s="75"/>
      <c r="M527" s="75"/>
      <c r="N527" s="74"/>
      <c r="O527" s="203"/>
      <c r="P527" s="20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</row>
    <row r="528" spans="1:28" ht="15.75" customHeight="1">
      <c r="A528" s="200"/>
      <c r="B528" s="74"/>
      <c r="C528" s="72"/>
      <c r="D528" s="73"/>
      <c r="E528" s="72"/>
      <c r="F528" s="73"/>
      <c r="G528" s="74"/>
      <c r="H528" s="202"/>
      <c r="I528" s="74"/>
      <c r="J528" s="74"/>
      <c r="K528" s="74"/>
      <c r="L528" s="75"/>
      <c r="M528" s="75"/>
      <c r="N528" s="74"/>
      <c r="O528" s="203"/>
      <c r="P528" s="20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</row>
    <row r="529" spans="1:28" ht="15.75" customHeight="1">
      <c r="A529" s="200"/>
      <c r="B529" s="74"/>
      <c r="C529" s="72"/>
      <c r="D529" s="73"/>
      <c r="E529" s="72"/>
      <c r="F529" s="73"/>
      <c r="G529" s="74"/>
      <c r="H529" s="202"/>
      <c r="I529" s="74"/>
      <c r="J529" s="74"/>
      <c r="K529" s="74"/>
      <c r="L529" s="75"/>
      <c r="M529" s="75"/>
      <c r="N529" s="74"/>
      <c r="O529" s="203"/>
      <c r="P529" s="20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</row>
    <row r="530" spans="1:28" ht="15.75" customHeight="1">
      <c r="A530" s="200"/>
      <c r="B530" s="74"/>
      <c r="C530" s="72"/>
      <c r="D530" s="73"/>
      <c r="E530" s="72"/>
      <c r="F530" s="73"/>
      <c r="G530" s="74"/>
      <c r="H530" s="202"/>
      <c r="I530" s="74"/>
      <c r="J530" s="74"/>
      <c r="K530" s="74"/>
      <c r="L530" s="75"/>
      <c r="M530" s="75"/>
      <c r="N530" s="74"/>
      <c r="O530" s="203"/>
      <c r="P530" s="20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</row>
    <row r="531" spans="1:28" ht="15.75" customHeight="1">
      <c r="A531" s="200"/>
      <c r="B531" s="74"/>
      <c r="C531" s="72"/>
      <c r="D531" s="73"/>
      <c r="E531" s="72"/>
      <c r="F531" s="73"/>
      <c r="G531" s="74"/>
      <c r="H531" s="202"/>
      <c r="I531" s="74"/>
      <c r="J531" s="74"/>
      <c r="K531" s="74"/>
      <c r="L531" s="75"/>
      <c r="M531" s="75"/>
      <c r="N531" s="74"/>
      <c r="O531" s="203"/>
      <c r="P531" s="20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</row>
    <row r="532" spans="1:28" ht="15.75" customHeight="1">
      <c r="A532" s="200"/>
      <c r="B532" s="74"/>
      <c r="C532" s="72"/>
      <c r="D532" s="73"/>
      <c r="E532" s="72"/>
      <c r="F532" s="73"/>
      <c r="G532" s="74"/>
      <c r="H532" s="202"/>
      <c r="I532" s="74"/>
      <c r="J532" s="74"/>
      <c r="K532" s="74"/>
      <c r="L532" s="75"/>
      <c r="M532" s="75"/>
      <c r="N532" s="74"/>
      <c r="O532" s="203"/>
      <c r="P532" s="20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</row>
    <row r="533" spans="1:28" ht="15.75" customHeight="1">
      <c r="A533" s="200"/>
      <c r="B533" s="74"/>
      <c r="C533" s="72"/>
      <c r="D533" s="73"/>
      <c r="E533" s="72"/>
      <c r="F533" s="73"/>
      <c r="G533" s="74"/>
      <c r="H533" s="202"/>
      <c r="I533" s="74"/>
      <c r="J533" s="74"/>
      <c r="K533" s="74"/>
      <c r="L533" s="75"/>
      <c r="M533" s="75"/>
      <c r="N533" s="74"/>
      <c r="O533" s="203"/>
      <c r="P533" s="20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</row>
    <row r="534" spans="1:28" ht="15.75" customHeight="1">
      <c r="A534" s="200"/>
      <c r="B534" s="74"/>
      <c r="C534" s="72"/>
      <c r="D534" s="73"/>
      <c r="E534" s="72"/>
      <c r="F534" s="73"/>
      <c r="G534" s="74"/>
      <c r="H534" s="202"/>
      <c r="I534" s="74"/>
      <c r="J534" s="74"/>
      <c r="K534" s="74"/>
      <c r="L534" s="75"/>
      <c r="M534" s="75"/>
      <c r="N534" s="74"/>
      <c r="O534" s="203"/>
      <c r="P534" s="20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</row>
    <row r="535" spans="1:28" ht="15.75" customHeight="1">
      <c r="A535" s="200"/>
      <c r="B535" s="74"/>
      <c r="C535" s="72"/>
      <c r="D535" s="73"/>
      <c r="E535" s="72"/>
      <c r="F535" s="73"/>
      <c r="G535" s="74"/>
      <c r="H535" s="202"/>
      <c r="I535" s="74"/>
      <c r="J535" s="74"/>
      <c r="K535" s="74"/>
      <c r="L535" s="75"/>
      <c r="M535" s="75"/>
      <c r="N535" s="74"/>
      <c r="O535" s="203"/>
      <c r="P535" s="20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</row>
    <row r="536" spans="1:28" ht="15.75" customHeight="1">
      <c r="A536" s="200"/>
      <c r="B536" s="74"/>
      <c r="C536" s="72"/>
      <c r="D536" s="73"/>
      <c r="E536" s="72"/>
      <c r="F536" s="73"/>
      <c r="G536" s="74"/>
      <c r="H536" s="202"/>
      <c r="I536" s="74"/>
      <c r="J536" s="74"/>
      <c r="K536" s="74"/>
      <c r="L536" s="75"/>
      <c r="M536" s="75"/>
      <c r="N536" s="74"/>
      <c r="O536" s="203"/>
      <c r="P536" s="20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</row>
    <row r="537" spans="1:28" ht="15.75" customHeight="1">
      <c r="A537" s="200"/>
      <c r="B537" s="74"/>
      <c r="C537" s="72"/>
      <c r="D537" s="73"/>
      <c r="E537" s="72"/>
      <c r="F537" s="73"/>
      <c r="G537" s="74"/>
      <c r="H537" s="202"/>
      <c r="I537" s="74"/>
      <c r="J537" s="74"/>
      <c r="K537" s="74"/>
      <c r="L537" s="75"/>
      <c r="M537" s="75"/>
      <c r="N537" s="74"/>
      <c r="O537" s="203"/>
      <c r="P537" s="20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</row>
    <row r="538" spans="1:28" ht="15.75" customHeight="1">
      <c r="A538" s="200"/>
      <c r="B538" s="74"/>
      <c r="C538" s="72"/>
      <c r="D538" s="73"/>
      <c r="E538" s="72"/>
      <c r="F538" s="73"/>
      <c r="G538" s="74"/>
      <c r="H538" s="202"/>
      <c r="I538" s="74"/>
      <c r="J538" s="74"/>
      <c r="K538" s="74"/>
      <c r="L538" s="75"/>
      <c r="M538" s="75"/>
      <c r="N538" s="74"/>
      <c r="O538" s="203"/>
      <c r="P538" s="20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</row>
    <row r="539" spans="1:28" ht="15.75" customHeight="1">
      <c r="A539" s="200"/>
      <c r="B539" s="74"/>
      <c r="C539" s="72"/>
      <c r="D539" s="73"/>
      <c r="E539" s="72"/>
      <c r="F539" s="73"/>
      <c r="G539" s="74"/>
      <c r="H539" s="202"/>
      <c r="I539" s="74"/>
      <c r="J539" s="74"/>
      <c r="K539" s="74"/>
      <c r="L539" s="75"/>
      <c r="M539" s="75"/>
      <c r="N539" s="74"/>
      <c r="O539" s="203"/>
      <c r="P539" s="20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</row>
    <row r="540" spans="1:28" ht="15.75" customHeight="1">
      <c r="A540" s="200"/>
      <c r="B540" s="74"/>
      <c r="C540" s="72"/>
      <c r="D540" s="73"/>
      <c r="E540" s="72"/>
      <c r="F540" s="73"/>
      <c r="G540" s="74"/>
      <c r="H540" s="202"/>
      <c r="I540" s="74"/>
      <c r="J540" s="74"/>
      <c r="K540" s="74"/>
      <c r="L540" s="75"/>
      <c r="M540" s="75"/>
      <c r="N540" s="74"/>
      <c r="O540" s="203"/>
      <c r="P540" s="20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</row>
    <row r="541" spans="1:28" ht="15.75" customHeight="1">
      <c r="A541" s="200"/>
      <c r="B541" s="74"/>
      <c r="C541" s="72"/>
      <c r="D541" s="73"/>
      <c r="E541" s="72"/>
      <c r="F541" s="73"/>
      <c r="G541" s="74"/>
      <c r="H541" s="202"/>
      <c r="I541" s="74"/>
      <c r="J541" s="74"/>
      <c r="K541" s="74"/>
      <c r="L541" s="75"/>
      <c r="M541" s="75"/>
      <c r="N541" s="74"/>
      <c r="O541" s="203"/>
      <c r="P541" s="20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</row>
    <row r="542" spans="1:28" ht="15.75" customHeight="1">
      <c r="A542" s="200"/>
      <c r="B542" s="74"/>
      <c r="C542" s="72"/>
      <c r="D542" s="73"/>
      <c r="E542" s="72"/>
      <c r="F542" s="73"/>
      <c r="G542" s="74"/>
      <c r="H542" s="202"/>
      <c r="I542" s="74"/>
      <c r="J542" s="74"/>
      <c r="K542" s="74"/>
      <c r="L542" s="75"/>
      <c r="M542" s="75"/>
      <c r="N542" s="74"/>
      <c r="O542" s="203"/>
      <c r="P542" s="20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</row>
    <row r="543" spans="1:28" ht="15.75" customHeight="1">
      <c r="A543" s="200"/>
      <c r="B543" s="74"/>
      <c r="C543" s="72"/>
      <c r="D543" s="73"/>
      <c r="E543" s="72"/>
      <c r="F543" s="73"/>
      <c r="G543" s="74"/>
      <c r="H543" s="202"/>
      <c r="I543" s="74"/>
      <c r="J543" s="74"/>
      <c r="K543" s="74"/>
      <c r="L543" s="75"/>
      <c r="M543" s="75"/>
      <c r="N543" s="74"/>
      <c r="O543" s="203"/>
      <c r="P543" s="20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</row>
    <row r="544" spans="1:28" ht="15.75" customHeight="1">
      <c r="A544" s="200"/>
      <c r="B544" s="74"/>
      <c r="C544" s="72"/>
      <c r="D544" s="73"/>
      <c r="E544" s="72"/>
      <c r="F544" s="73"/>
      <c r="G544" s="74"/>
      <c r="H544" s="202"/>
      <c r="I544" s="74"/>
      <c r="J544" s="74"/>
      <c r="K544" s="74"/>
      <c r="L544" s="75"/>
      <c r="M544" s="75"/>
      <c r="N544" s="74"/>
      <c r="O544" s="203"/>
      <c r="P544" s="20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</row>
    <row r="545" spans="1:28" ht="15.75" customHeight="1">
      <c r="A545" s="200"/>
      <c r="B545" s="74"/>
      <c r="C545" s="72"/>
      <c r="D545" s="73"/>
      <c r="E545" s="72"/>
      <c r="F545" s="73"/>
      <c r="G545" s="74"/>
      <c r="H545" s="202"/>
      <c r="I545" s="74"/>
      <c r="J545" s="74"/>
      <c r="K545" s="74"/>
      <c r="L545" s="75"/>
      <c r="M545" s="75"/>
      <c r="N545" s="74"/>
      <c r="O545" s="203"/>
      <c r="P545" s="20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</row>
    <row r="546" spans="1:28" ht="15.75" customHeight="1">
      <c r="A546" s="200"/>
      <c r="B546" s="74"/>
      <c r="C546" s="72"/>
      <c r="D546" s="73"/>
      <c r="E546" s="72"/>
      <c r="F546" s="73"/>
      <c r="G546" s="74"/>
      <c r="H546" s="202"/>
      <c r="I546" s="74"/>
      <c r="J546" s="74"/>
      <c r="K546" s="74"/>
      <c r="L546" s="75"/>
      <c r="M546" s="75"/>
      <c r="N546" s="74"/>
      <c r="O546" s="203"/>
      <c r="P546" s="20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</row>
    <row r="547" spans="1:28" ht="15.75" customHeight="1">
      <c r="A547" s="200"/>
      <c r="B547" s="74"/>
      <c r="C547" s="72"/>
      <c r="D547" s="73"/>
      <c r="E547" s="72"/>
      <c r="F547" s="73"/>
      <c r="G547" s="74"/>
      <c r="H547" s="202"/>
      <c r="I547" s="74"/>
      <c r="J547" s="74"/>
      <c r="K547" s="74"/>
      <c r="L547" s="75"/>
      <c r="M547" s="75"/>
      <c r="N547" s="74"/>
      <c r="O547" s="203"/>
      <c r="P547" s="20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</row>
    <row r="548" spans="1:28" ht="15.75" customHeight="1">
      <c r="A548" s="200"/>
      <c r="B548" s="74"/>
      <c r="C548" s="72"/>
      <c r="D548" s="73"/>
      <c r="E548" s="72"/>
      <c r="F548" s="73"/>
      <c r="G548" s="74"/>
      <c r="H548" s="202"/>
      <c r="I548" s="74"/>
      <c r="J548" s="74"/>
      <c r="K548" s="74"/>
      <c r="L548" s="75"/>
      <c r="M548" s="75"/>
      <c r="N548" s="74"/>
      <c r="O548" s="203"/>
      <c r="P548" s="20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</row>
    <row r="549" spans="1:28" ht="15.75" customHeight="1">
      <c r="A549" s="200"/>
      <c r="B549" s="74"/>
      <c r="C549" s="72"/>
      <c r="D549" s="73"/>
      <c r="E549" s="72"/>
      <c r="F549" s="73"/>
      <c r="G549" s="74"/>
      <c r="H549" s="202"/>
      <c r="I549" s="74"/>
      <c r="J549" s="74"/>
      <c r="K549" s="74"/>
      <c r="L549" s="75"/>
      <c r="M549" s="75"/>
      <c r="N549" s="74"/>
      <c r="O549" s="203"/>
      <c r="P549" s="20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</row>
    <row r="550" spans="1:28" ht="15.75" customHeight="1">
      <c r="A550" s="200"/>
      <c r="B550" s="74"/>
      <c r="C550" s="72"/>
      <c r="D550" s="73"/>
      <c r="E550" s="72"/>
      <c r="F550" s="73"/>
      <c r="G550" s="74"/>
      <c r="H550" s="202"/>
      <c r="I550" s="74"/>
      <c r="J550" s="74"/>
      <c r="K550" s="74"/>
      <c r="L550" s="75"/>
      <c r="M550" s="75"/>
      <c r="N550" s="74"/>
      <c r="O550" s="203"/>
      <c r="P550" s="20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</row>
    <row r="551" spans="1:28" ht="15.75" customHeight="1">
      <c r="A551" s="200"/>
      <c r="B551" s="74"/>
      <c r="C551" s="72"/>
      <c r="D551" s="73"/>
      <c r="E551" s="72"/>
      <c r="F551" s="73"/>
      <c r="G551" s="74"/>
      <c r="H551" s="202"/>
      <c r="I551" s="74"/>
      <c r="J551" s="74"/>
      <c r="K551" s="74"/>
      <c r="L551" s="75"/>
      <c r="M551" s="75"/>
      <c r="N551" s="74"/>
      <c r="O551" s="203"/>
      <c r="P551" s="20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</row>
    <row r="552" spans="1:28" ht="15.75" customHeight="1">
      <c r="A552" s="200"/>
      <c r="B552" s="74"/>
      <c r="C552" s="72"/>
      <c r="D552" s="73"/>
      <c r="E552" s="72"/>
      <c r="F552" s="73"/>
      <c r="G552" s="74"/>
      <c r="H552" s="202"/>
      <c r="I552" s="74"/>
      <c r="J552" s="74"/>
      <c r="K552" s="74"/>
      <c r="L552" s="75"/>
      <c r="M552" s="75"/>
      <c r="N552" s="74"/>
      <c r="O552" s="203"/>
      <c r="P552" s="20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</row>
    <row r="553" spans="1:28" ht="15.75" customHeight="1">
      <c r="A553" s="200"/>
      <c r="B553" s="74"/>
      <c r="C553" s="72"/>
      <c r="D553" s="73"/>
      <c r="E553" s="72"/>
      <c r="F553" s="73"/>
      <c r="G553" s="74"/>
      <c r="H553" s="202"/>
      <c r="I553" s="74"/>
      <c r="J553" s="74"/>
      <c r="K553" s="74"/>
      <c r="L553" s="75"/>
      <c r="M553" s="75"/>
      <c r="N553" s="74"/>
      <c r="O553" s="203"/>
      <c r="P553" s="20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</row>
    <row r="554" spans="1:28" ht="15.75" customHeight="1">
      <c r="A554" s="200"/>
      <c r="B554" s="74"/>
      <c r="C554" s="72"/>
      <c r="D554" s="73"/>
      <c r="E554" s="72"/>
      <c r="F554" s="73"/>
      <c r="G554" s="74"/>
      <c r="H554" s="202"/>
      <c r="I554" s="74"/>
      <c r="J554" s="74"/>
      <c r="K554" s="74"/>
      <c r="L554" s="75"/>
      <c r="M554" s="75"/>
      <c r="N554" s="74"/>
      <c r="O554" s="203"/>
      <c r="P554" s="20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</row>
    <row r="555" spans="1:28" ht="15.75" customHeight="1">
      <c r="A555" s="200"/>
      <c r="B555" s="74"/>
      <c r="C555" s="72"/>
      <c r="D555" s="73"/>
      <c r="E555" s="72"/>
      <c r="F555" s="73"/>
      <c r="G555" s="74"/>
      <c r="H555" s="202"/>
      <c r="I555" s="74"/>
      <c r="J555" s="74"/>
      <c r="K555" s="74"/>
      <c r="L555" s="75"/>
      <c r="M555" s="75"/>
      <c r="N555" s="74"/>
      <c r="O555" s="203"/>
      <c r="P555" s="20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</row>
    <row r="556" spans="1:28" ht="15.75" customHeight="1">
      <c r="A556" s="200"/>
      <c r="B556" s="74"/>
      <c r="C556" s="72"/>
      <c r="D556" s="73"/>
      <c r="E556" s="72"/>
      <c r="F556" s="73"/>
      <c r="G556" s="74"/>
      <c r="H556" s="202"/>
      <c r="I556" s="74"/>
      <c r="J556" s="74"/>
      <c r="K556" s="74"/>
      <c r="L556" s="75"/>
      <c r="M556" s="75"/>
      <c r="N556" s="74"/>
      <c r="O556" s="203"/>
      <c r="P556" s="20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</row>
    <row r="557" spans="1:28" ht="15.75" customHeight="1">
      <c r="A557" s="200"/>
      <c r="B557" s="74"/>
      <c r="C557" s="72"/>
      <c r="D557" s="73"/>
      <c r="E557" s="72"/>
      <c r="F557" s="73"/>
      <c r="G557" s="74"/>
      <c r="H557" s="202"/>
      <c r="I557" s="74"/>
      <c r="J557" s="74"/>
      <c r="K557" s="74"/>
      <c r="L557" s="75"/>
      <c r="M557" s="75"/>
      <c r="N557" s="74"/>
      <c r="O557" s="203"/>
      <c r="P557" s="20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</row>
    <row r="558" spans="1:28" ht="15.75" customHeight="1">
      <c r="A558" s="200"/>
      <c r="B558" s="74"/>
      <c r="C558" s="72"/>
      <c r="D558" s="73"/>
      <c r="E558" s="72"/>
      <c r="F558" s="73"/>
      <c r="G558" s="74"/>
      <c r="H558" s="202"/>
      <c r="I558" s="74"/>
      <c r="J558" s="74"/>
      <c r="K558" s="74"/>
      <c r="L558" s="75"/>
      <c r="M558" s="75"/>
      <c r="N558" s="74"/>
      <c r="O558" s="203"/>
      <c r="P558" s="20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</row>
    <row r="559" spans="1:28" ht="15.75" customHeight="1">
      <c r="A559" s="200"/>
      <c r="B559" s="74"/>
      <c r="C559" s="72"/>
      <c r="D559" s="73"/>
      <c r="E559" s="72"/>
      <c r="F559" s="73"/>
      <c r="G559" s="74"/>
      <c r="H559" s="202"/>
      <c r="I559" s="74"/>
      <c r="J559" s="74"/>
      <c r="K559" s="74"/>
      <c r="L559" s="75"/>
      <c r="M559" s="75"/>
      <c r="N559" s="74"/>
      <c r="O559" s="203"/>
      <c r="P559" s="20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</row>
    <row r="560" spans="1:28" ht="15.75" customHeight="1">
      <c r="A560" s="200"/>
      <c r="B560" s="74"/>
      <c r="C560" s="72"/>
      <c r="D560" s="73"/>
      <c r="E560" s="72"/>
      <c r="F560" s="73"/>
      <c r="G560" s="74"/>
      <c r="H560" s="202"/>
      <c r="I560" s="74"/>
      <c r="J560" s="74"/>
      <c r="K560" s="74"/>
      <c r="L560" s="75"/>
      <c r="M560" s="75"/>
      <c r="N560" s="74"/>
      <c r="O560" s="203"/>
      <c r="P560" s="20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</row>
    <row r="561" spans="1:28" ht="15.75" customHeight="1">
      <c r="A561" s="200"/>
      <c r="B561" s="74"/>
      <c r="C561" s="72"/>
      <c r="D561" s="73"/>
      <c r="E561" s="72"/>
      <c r="F561" s="73"/>
      <c r="G561" s="74"/>
      <c r="H561" s="202"/>
      <c r="I561" s="74"/>
      <c r="J561" s="74"/>
      <c r="K561" s="74"/>
      <c r="L561" s="75"/>
      <c r="M561" s="75"/>
      <c r="N561" s="74"/>
      <c r="O561" s="203"/>
      <c r="P561" s="20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</row>
    <row r="562" spans="1:28" ht="15.75" customHeight="1">
      <c r="A562" s="200"/>
      <c r="B562" s="74"/>
      <c r="C562" s="72"/>
      <c r="D562" s="73"/>
      <c r="E562" s="72"/>
      <c r="F562" s="73"/>
      <c r="G562" s="74"/>
      <c r="H562" s="202"/>
      <c r="I562" s="74"/>
      <c r="J562" s="74"/>
      <c r="K562" s="74"/>
      <c r="L562" s="75"/>
      <c r="M562" s="75"/>
      <c r="N562" s="74"/>
      <c r="O562" s="203"/>
      <c r="P562" s="20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</row>
    <row r="563" spans="1:28" ht="15.75" customHeight="1">
      <c r="A563" s="200"/>
      <c r="B563" s="74"/>
      <c r="C563" s="72"/>
      <c r="D563" s="73"/>
      <c r="E563" s="72"/>
      <c r="F563" s="73"/>
      <c r="G563" s="74"/>
      <c r="H563" s="202"/>
      <c r="I563" s="74"/>
      <c r="J563" s="74"/>
      <c r="K563" s="74"/>
      <c r="L563" s="75"/>
      <c r="M563" s="75"/>
      <c r="N563" s="74"/>
      <c r="O563" s="203"/>
      <c r="P563" s="20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</row>
    <row r="564" spans="1:28" ht="15.75" customHeight="1">
      <c r="A564" s="200"/>
      <c r="B564" s="74"/>
      <c r="C564" s="72"/>
      <c r="D564" s="73"/>
      <c r="E564" s="72"/>
      <c r="F564" s="73"/>
      <c r="G564" s="74"/>
      <c r="H564" s="202"/>
      <c r="I564" s="74"/>
      <c r="J564" s="74"/>
      <c r="K564" s="74"/>
      <c r="L564" s="75"/>
      <c r="M564" s="75"/>
      <c r="N564" s="74"/>
      <c r="O564" s="203"/>
      <c r="P564" s="20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</row>
    <row r="565" spans="1:28" ht="15.75" customHeight="1">
      <c r="A565" s="200"/>
      <c r="B565" s="74"/>
      <c r="C565" s="72"/>
      <c r="D565" s="73"/>
      <c r="E565" s="72"/>
      <c r="F565" s="73"/>
      <c r="G565" s="74"/>
      <c r="H565" s="202"/>
      <c r="I565" s="74"/>
      <c r="J565" s="74"/>
      <c r="K565" s="74"/>
      <c r="L565" s="75"/>
      <c r="M565" s="75"/>
      <c r="N565" s="74"/>
      <c r="O565" s="203"/>
      <c r="P565" s="20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</row>
    <row r="566" spans="1:28" ht="15.75" customHeight="1">
      <c r="A566" s="200"/>
      <c r="B566" s="74"/>
      <c r="C566" s="72"/>
      <c r="D566" s="73"/>
      <c r="E566" s="72"/>
      <c r="F566" s="73"/>
      <c r="G566" s="74"/>
      <c r="H566" s="202"/>
      <c r="I566" s="74"/>
      <c r="J566" s="74"/>
      <c r="K566" s="74"/>
      <c r="L566" s="75"/>
      <c r="M566" s="75"/>
      <c r="N566" s="74"/>
      <c r="O566" s="203"/>
      <c r="P566" s="20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</row>
    <row r="567" spans="1:28" ht="15.75" customHeight="1">
      <c r="A567" s="200"/>
      <c r="B567" s="74"/>
      <c r="C567" s="72"/>
      <c r="D567" s="73"/>
      <c r="E567" s="72"/>
      <c r="F567" s="73"/>
      <c r="G567" s="74"/>
      <c r="H567" s="202"/>
      <c r="I567" s="74"/>
      <c r="J567" s="74"/>
      <c r="K567" s="74"/>
      <c r="L567" s="75"/>
      <c r="M567" s="75"/>
      <c r="N567" s="74"/>
      <c r="O567" s="203"/>
      <c r="P567" s="20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</row>
    <row r="568" spans="1:28" ht="15.75" customHeight="1">
      <c r="A568" s="200"/>
      <c r="B568" s="74"/>
      <c r="C568" s="72"/>
      <c r="D568" s="73"/>
      <c r="E568" s="72"/>
      <c r="F568" s="73"/>
      <c r="G568" s="74"/>
      <c r="H568" s="202"/>
      <c r="I568" s="74"/>
      <c r="J568" s="74"/>
      <c r="K568" s="74"/>
      <c r="L568" s="75"/>
      <c r="M568" s="75"/>
      <c r="N568" s="74"/>
      <c r="O568" s="203"/>
      <c r="P568" s="20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</row>
    <row r="569" spans="1:28" ht="15.75" customHeight="1">
      <c r="A569" s="200"/>
      <c r="B569" s="74"/>
      <c r="C569" s="72"/>
      <c r="D569" s="73"/>
      <c r="E569" s="72"/>
      <c r="F569" s="73"/>
      <c r="G569" s="74"/>
      <c r="H569" s="202"/>
      <c r="I569" s="74"/>
      <c r="J569" s="74"/>
      <c r="K569" s="74"/>
      <c r="L569" s="75"/>
      <c r="M569" s="75"/>
      <c r="N569" s="74"/>
      <c r="O569" s="203"/>
      <c r="P569" s="20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</row>
    <row r="570" spans="1:28" ht="15.75" customHeight="1">
      <c r="A570" s="200"/>
      <c r="B570" s="74"/>
      <c r="C570" s="72"/>
      <c r="D570" s="73"/>
      <c r="E570" s="72"/>
      <c r="F570" s="73"/>
      <c r="G570" s="74"/>
      <c r="H570" s="202"/>
      <c r="I570" s="74"/>
      <c r="J570" s="74"/>
      <c r="K570" s="74"/>
      <c r="L570" s="75"/>
      <c r="M570" s="75"/>
      <c r="N570" s="74"/>
      <c r="O570" s="203"/>
      <c r="P570" s="20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</row>
    <row r="571" spans="1:28" ht="15.75" customHeight="1">
      <c r="A571" s="200"/>
      <c r="B571" s="74"/>
      <c r="C571" s="72"/>
      <c r="D571" s="73"/>
      <c r="E571" s="72"/>
      <c r="F571" s="73"/>
      <c r="G571" s="74"/>
      <c r="H571" s="202"/>
      <c r="I571" s="74"/>
      <c r="J571" s="74"/>
      <c r="K571" s="74"/>
      <c r="L571" s="75"/>
      <c r="M571" s="75"/>
      <c r="N571" s="74"/>
      <c r="O571" s="203"/>
      <c r="P571" s="20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</row>
    <row r="572" spans="1:28" ht="15.75" customHeight="1">
      <c r="A572" s="200"/>
      <c r="B572" s="74"/>
      <c r="C572" s="72"/>
      <c r="D572" s="73"/>
      <c r="E572" s="72"/>
      <c r="F572" s="73"/>
      <c r="G572" s="74"/>
      <c r="H572" s="202"/>
      <c r="I572" s="74"/>
      <c r="J572" s="74"/>
      <c r="K572" s="74"/>
      <c r="L572" s="75"/>
      <c r="M572" s="75"/>
      <c r="N572" s="74"/>
      <c r="O572" s="203"/>
      <c r="P572" s="20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</row>
    <row r="573" spans="1:28" ht="15.75" customHeight="1">
      <c r="A573" s="200"/>
      <c r="B573" s="74"/>
      <c r="C573" s="72"/>
      <c r="D573" s="73"/>
      <c r="E573" s="72"/>
      <c r="F573" s="73"/>
      <c r="G573" s="74"/>
      <c r="H573" s="202"/>
      <c r="I573" s="74"/>
      <c r="J573" s="74"/>
      <c r="K573" s="74"/>
      <c r="L573" s="75"/>
      <c r="M573" s="75"/>
      <c r="N573" s="74"/>
      <c r="O573" s="203"/>
      <c r="P573" s="20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</row>
    <row r="574" spans="1:28" ht="15.75" customHeight="1">
      <c r="A574" s="200"/>
      <c r="B574" s="74"/>
      <c r="C574" s="72"/>
      <c r="D574" s="73"/>
      <c r="E574" s="72"/>
      <c r="F574" s="73"/>
      <c r="G574" s="74"/>
      <c r="H574" s="202"/>
      <c r="I574" s="74"/>
      <c r="J574" s="74"/>
      <c r="K574" s="74"/>
      <c r="L574" s="75"/>
      <c r="M574" s="75"/>
      <c r="N574" s="74"/>
      <c r="O574" s="203"/>
      <c r="P574" s="20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</row>
    <row r="575" spans="1:28" ht="15.75" customHeight="1">
      <c r="A575" s="200"/>
      <c r="B575" s="74"/>
      <c r="C575" s="72"/>
      <c r="D575" s="73"/>
      <c r="E575" s="72"/>
      <c r="F575" s="73"/>
      <c r="G575" s="74"/>
      <c r="H575" s="202"/>
      <c r="I575" s="74"/>
      <c r="J575" s="74"/>
      <c r="K575" s="74"/>
      <c r="L575" s="75"/>
      <c r="M575" s="75"/>
      <c r="N575" s="74"/>
      <c r="O575" s="203"/>
      <c r="P575" s="20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</row>
    <row r="576" spans="1:28" ht="15.75" customHeight="1">
      <c r="A576" s="200"/>
      <c r="B576" s="74"/>
      <c r="C576" s="72"/>
      <c r="D576" s="73"/>
      <c r="E576" s="72"/>
      <c r="F576" s="73"/>
      <c r="G576" s="74"/>
      <c r="H576" s="202"/>
      <c r="I576" s="74"/>
      <c r="J576" s="74"/>
      <c r="K576" s="74"/>
      <c r="L576" s="75"/>
      <c r="M576" s="75"/>
      <c r="N576" s="74"/>
      <c r="O576" s="203"/>
      <c r="P576" s="20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</row>
    <row r="577" spans="1:28" ht="15.75" customHeight="1">
      <c r="A577" s="200"/>
      <c r="B577" s="74"/>
      <c r="C577" s="72"/>
      <c r="D577" s="73"/>
      <c r="E577" s="72"/>
      <c r="F577" s="73"/>
      <c r="G577" s="74"/>
      <c r="H577" s="202"/>
      <c r="I577" s="74"/>
      <c r="J577" s="74"/>
      <c r="K577" s="74"/>
      <c r="L577" s="75"/>
      <c r="M577" s="75"/>
      <c r="N577" s="74"/>
      <c r="O577" s="203"/>
      <c r="P577" s="20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</row>
    <row r="578" spans="1:28" ht="15.75" customHeight="1">
      <c r="A578" s="200"/>
      <c r="B578" s="74"/>
      <c r="C578" s="72"/>
      <c r="D578" s="73"/>
      <c r="E578" s="72"/>
      <c r="F578" s="73"/>
      <c r="G578" s="74"/>
      <c r="H578" s="202"/>
      <c r="I578" s="74"/>
      <c r="J578" s="74"/>
      <c r="K578" s="74"/>
      <c r="L578" s="75"/>
      <c r="M578" s="75"/>
      <c r="N578" s="74"/>
      <c r="O578" s="203"/>
      <c r="P578" s="20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</row>
    <row r="579" spans="1:28" ht="15.75" customHeight="1">
      <c r="A579" s="200"/>
      <c r="B579" s="74"/>
      <c r="C579" s="72"/>
      <c r="D579" s="73"/>
      <c r="E579" s="72"/>
      <c r="F579" s="73"/>
      <c r="G579" s="74"/>
      <c r="H579" s="202"/>
      <c r="I579" s="74"/>
      <c r="J579" s="74"/>
      <c r="K579" s="74"/>
      <c r="L579" s="75"/>
      <c r="M579" s="75"/>
      <c r="N579" s="74"/>
      <c r="O579" s="203"/>
      <c r="P579" s="20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</row>
    <row r="580" spans="1:28" ht="15.75" customHeight="1">
      <c r="A580" s="200"/>
      <c r="B580" s="74"/>
      <c r="C580" s="72"/>
      <c r="D580" s="73"/>
      <c r="E580" s="72"/>
      <c r="F580" s="73"/>
      <c r="G580" s="74"/>
      <c r="H580" s="202"/>
      <c r="I580" s="74"/>
      <c r="J580" s="74"/>
      <c r="K580" s="74"/>
      <c r="L580" s="75"/>
      <c r="M580" s="75"/>
      <c r="N580" s="74"/>
      <c r="O580" s="203"/>
      <c r="P580" s="20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</row>
    <row r="581" spans="1:28" ht="15.75" customHeight="1">
      <c r="A581" s="200"/>
      <c r="B581" s="74"/>
      <c r="C581" s="72"/>
      <c r="D581" s="73"/>
      <c r="E581" s="72"/>
      <c r="F581" s="73"/>
      <c r="G581" s="74"/>
      <c r="H581" s="202"/>
      <c r="I581" s="74"/>
      <c r="J581" s="74"/>
      <c r="K581" s="74"/>
      <c r="L581" s="75"/>
      <c r="M581" s="75"/>
      <c r="N581" s="74"/>
      <c r="O581" s="203"/>
      <c r="P581" s="20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</row>
    <row r="582" spans="1:28" ht="15.75" customHeight="1">
      <c r="A582" s="200"/>
      <c r="B582" s="74"/>
      <c r="C582" s="72"/>
      <c r="D582" s="73"/>
      <c r="E582" s="72"/>
      <c r="F582" s="73"/>
      <c r="G582" s="74"/>
      <c r="H582" s="202"/>
      <c r="I582" s="74"/>
      <c r="J582" s="74"/>
      <c r="K582" s="74"/>
      <c r="L582" s="75"/>
      <c r="M582" s="75"/>
      <c r="N582" s="74"/>
      <c r="O582" s="203"/>
      <c r="P582" s="20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</row>
    <row r="583" spans="1:28" ht="15.75" customHeight="1">
      <c r="A583" s="200"/>
      <c r="B583" s="74"/>
      <c r="C583" s="72"/>
      <c r="D583" s="73"/>
      <c r="E583" s="72"/>
      <c r="F583" s="73"/>
      <c r="G583" s="74"/>
      <c r="H583" s="202"/>
      <c r="I583" s="74"/>
      <c r="J583" s="74"/>
      <c r="K583" s="74"/>
      <c r="L583" s="75"/>
      <c r="M583" s="75"/>
      <c r="N583" s="74"/>
      <c r="O583" s="203"/>
      <c r="P583" s="20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</row>
    <row r="584" spans="1:28" ht="15.75" customHeight="1">
      <c r="A584" s="200"/>
      <c r="B584" s="74"/>
      <c r="C584" s="72"/>
      <c r="D584" s="73"/>
      <c r="E584" s="72"/>
      <c r="F584" s="73"/>
      <c r="G584" s="74"/>
      <c r="H584" s="202"/>
      <c r="I584" s="74"/>
      <c r="J584" s="74"/>
      <c r="K584" s="74"/>
      <c r="L584" s="75"/>
      <c r="M584" s="75"/>
      <c r="N584" s="74"/>
      <c r="O584" s="203"/>
      <c r="P584" s="20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</row>
    <row r="585" spans="1:28" ht="15.75" customHeight="1">
      <c r="A585" s="200"/>
      <c r="B585" s="74"/>
      <c r="C585" s="72"/>
      <c r="D585" s="73"/>
      <c r="E585" s="72"/>
      <c r="F585" s="73"/>
      <c r="G585" s="74"/>
      <c r="H585" s="202"/>
      <c r="I585" s="74"/>
      <c r="J585" s="74"/>
      <c r="K585" s="74"/>
      <c r="L585" s="75"/>
      <c r="M585" s="75"/>
      <c r="N585" s="74"/>
      <c r="O585" s="203"/>
      <c r="P585" s="20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</row>
    <row r="586" spans="1:28" ht="15.75" customHeight="1">
      <c r="A586" s="200"/>
      <c r="B586" s="74"/>
      <c r="C586" s="72"/>
      <c r="D586" s="73"/>
      <c r="E586" s="72"/>
      <c r="F586" s="73"/>
      <c r="G586" s="74"/>
      <c r="H586" s="202"/>
      <c r="I586" s="74"/>
      <c r="J586" s="74"/>
      <c r="K586" s="74"/>
      <c r="L586" s="75"/>
      <c r="M586" s="75"/>
      <c r="N586" s="74"/>
      <c r="O586" s="203"/>
      <c r="P586" s="20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</row>
    <row r="587" spans="1:28" ht="15.75" customHeight="1">
      <c r="A587" s="200"/>
      <c r="B587" s="74"/>
      <c r="C587" s="72"/>
      <c r="D587" s="73"/>
      <c r="E587" s="72"/>
      <c r="F587" s="73"/>
      <c r="G587" s="74"/>
      <c r="H587" s="202"/>
      <c r="I587" s="74"/>
      <c r="J587" s="74"/>
      <c r="K587" s="74"/>
      <c r="L587" s="75"/>
      <c r="M587" s="75"/>
      <c r="N587" s="74"/>
      <c r="O587" s="203"/>
      <c r="P587" s="20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</row>
    <row r="588" spans="1:28" ht="15.75" customHeight="1">
      <c r="A588" s="200"/>
      <c r="B588" s="74"/>
      <c r="C588" s="72"/>
      <c r="D588" s="73"/>
      <c r="E588" s="72"/>
      <c r="F588" s="73"/>
      <c r="G588" s="74"/>
      <c r="H588" s="202"/>
      <c r="I588" s="74"/>
      <c r="J588" s="74"/>
      <c r="K588" s="74"/>
      <c r="L588" s="75"/>
      <c r="M588" s="75"/>
      <c r="N588" s="74"/>
      <c r="O588" s="203"/>
      <c r="P588" s="20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</row>
    <row r="589" spans="1:28" ht="15.75" customHeight="1">
      <c r="A589" s="200"/>
      <c r="B589" s="74"/>
      <c r="C589" s="72"/>
      <c r="D589" s="73"/>
      <c r="E589" s="72"/>
      <c r="F589" s="73"/>
      <c r="G589" s="74"/>
      <c r="H589" s="202"/>
      <c r="I589" s="74"/>
      <c r="J589" s="74"/>
      <c r="K589" s="74"/>
      <c r="L589" s="75"/>
      <c r="M589" s="75"/>
      <c r="N589" s="74"/>
      <c r="O589" s="203"/>
      <c r="P589" s="20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</row>
    <row r="590" spans="1:28" ht="15.75" customHeight="1">
      <c r="A590" s="200"/>
      <c r="B590" s="74"/>
      <c r="C590" s="72"/>
      <c r="D590" s="73"/>
      <c r="E590" s="72"/>
      <c r="F590" s="73"/>
      <c r="G590" s="74"/>
      <c r="H590" s="202"/>
      <c r="I590" s="74"/>
      <c r="J590" s="74"/>
      <c r="K590" s="74"/>
      <c r="L590" s="75"/>
      <c r="M590" s="75"/>
      <c r="N590" s="74"/>
      <c r="O590" s="203"/>
      <c r="P590" s="20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</row>
    <row r="591" spans="1:28" ht="15.75" customHeight="1">
      <c r="A591" s="200"/>
      <c r="B591" s="74"/>
      <c r="C591" s="72"/>
      <c r="D591" s="73"/>
      <c r="E591" s="72"/>
      <c r="F591" s="73"/>
      <c r="G591" s="74"/>
      <c r="H591" s="202"/>
      <c r="I591" s="74"/>
      <c r="J591" s="74"/>
      <c r="K591" s="74"/>
      <c r="L591" s="75"/>
      <c r="M591" s="75"/>
      <c r="N591" s="74"/>
      <c r="O591" s="203"/>
      <c r="P591" s="20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</row>
    <row r="592" spans="1:28" ht="15.75" customHeight="1">
      <c r="A592" s="200"/>
      <c r="B592" s="74"/>
      <c r="C592" s="72"/>
      <c r="D592" s="73"/>
      <c r="E592" s="72"/>
      <c r="F592" s="73"/>
      <c r="G592" s="74"/>
      <c r="H592" s="202"/>
      <c r="I592" s="74"/>
      <c r="J592" s="74"/>
      <c r="K592" s="74"/>
      <c r="L592" s="75"/>
      <c r="M592" s="75"/>
      <c r="N592" s="74"/>
      <c r="O592" s="203"/>
      <c r="P592" s="20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</row>
    <row r="593" spans="1:28" ht="15.75" customHeight="1">
      <c r="A593" s="200"/>
      <c r="B593" s="74"/>
      <c r="C593" s="72"/>
      <c r="D593" s="73"/>
      <c r="E593" s="72"/>
      <c r="F593" s="73"/>
      <c r="G593" s="74"/>
      <c r="H593" s="202"/>
      <c r="I593" s="74"/>
      <c r="J593" s="74"/>
      <c r="K593" s="74"/>
      <c r="L593" s="75"/>
      <c r="M593" s="75"/>
      <c r="N593" s="74"/>
      <c r="O593" s="203"/>
      <c r="P593" s="20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</row>
    <row r="594" spans="1:28" ht="15.75" customHeight="1">
      <c r="A594" s="200"/>
      <c r="B594" s="74"/>
      <c r="C594" s="72"/>
      <c r="D594" s="73"/>
      <c r="E594" s="72"/>
      <c r="F594" s="73"/>
      <c r="G594" s="74"/>
      <c r="H594" s="202"/>
      <c r="I594" s="74"/>
      <c r="J594" s="74"/>
      <c r="K594" s="74"/>
      <c r="L594" s="75"/>
      <c r="M594" s="75"/>
      <c r="N594" s="74"/>
      <c r="O594" s="203"/>
      <c r="P594" s="20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</row>
    <row r="595" spans="1:28" ht="15.75" customHeight="1">
      <c r="A595" s="200"/>
      <c r="B595" s="74"/>
      <c r="C595" s="72"/>
      <c r="D595" s="73"/>
      <c r="E595" s="72"/>
      <c r="F595" s="73"/>
      <c r="G595" s="74"/>
      <c r="H595" s="202"/>
      <c r="I595" s="74"/>
      <c r="J595" s="74"/>
      <c r="K595" s="74"/>
      <c r="L595" s="75"/>
      <c r="M595" s="75"/>
      <c r="N595" s="74"/>
      <c r="O595" s="203"/>
      <c r="P595" s="20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</row>
    <row r="596" spans="1:28" ht="15.75" customHeight="1">
      <c r="A596" s="200"/>
      <c r="B596" s="74"/>
      <c r="C596" s="72"/>
      <c r="D596" s="73"/>
      <c r="E596" s="72"/>
      <c r="F596" s="73"/>
      <c r="G596" s="74"/>
      <c r="H596" s="202"/>
      <c r="I596" s="74"/>
      <c r="J596" s="74"/>
      <c r="K596" s="74"/>
      <c r="L596" s="75"/>
      <c r="M596" s="75"/>
      <c r="N596" s="74"/>
      <c r="O596" s="203"/>
      <c r="P596" s="20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</row>
    <row r="597" spans="1:28" ht="15.75" customHeight="1">
      <c r="A597" s="200"/>
      <c r="B597" s="74"/>
      <c r="C597" s="72"/>
      <c r="D597" s="73"/>
      <c r="E597" s="72"/>
      <c r="F597" s="73"/>
      <c r="G597" s="74"/>
      <c r="H597" s="202"/>
      <c r="I597" s="74"/>
      <c r="J597" s="74"/>
      <c r="K597" s="74"/>
      <c r="L597" s="75"/>
      <c r="M597" s="75"/>
      <c r="N597" s="74"/>
      <c r="O597" s="203"/>
      <c r="P597" s="20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</row>
    <row r="598" spans="1:28" ht="15.75" customHeight="1">
      <c r="A598" s="200"/>
      <c r="B598" s="74"/>
      <c r="C598" s="72"/>
      <c r="D598" s="73"/>
      <c r="E598" s="72"/>
      <c r="F598" s="73"/>
      <c r="G598" s="74"/>
      <c r="H598" s="202"/>
      <c r="I598" s="74"/>
      <c r="J598" s="74"/>
      <c r="K598" s="74"/>
      <c r="L598" s="75"/>
      <c r="M598" s="75"/>
      <c r="N598" s="74"/>
      <c r="O598" s="203"/>
      <c r="P598" s="20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</row>
    <row r="599" spans="1:28" ht="15.75" customHeight="1">
      <c r="A599" s="200"/>
      <c r="B599" s="74"/>
      <c r="C599" s="72"/>
      <c r="D599" s="73"/>
      <c r="E599" s="72"/>
      <c r="F599" s="73"/>
      <c r="G599" s="74"/>
      <c r="H599" s="202"/>
      <c r="I599" s="74"/>
      <c r="J599" s="74"/>
      <c r="K599" s="74"/>
      <c r="L599" s="75"/>
      <c r="M599" s="75"/>
      <c r="N599" s="74"/>
      <c r="O599" s="203"/>
      <c r="P599" s="20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</row>
    <row r="600" spans="1:28" ht="15.75" customHeight="1">
      <c r="A600" s="200"/>
      <c r="B600" s="74"/>
      <c r="C600" s="72"/>
      <c r="D600" s="73"/>
      <c r="E600" s="72"/>
      <c r="F600" s="73"/>
      <c r="G600" s="74"/>
      <c r="H600" s="202"/>
      <c r="I600" s="74"/>
      <c r="J600" s="74"/>
      <c r="K600" s="74"/>
      <c r="L600" s="75"/>
      <c r="M600" s="75"/>
      <c r="N600" s="74"/>
      <c r="O600" s="203"/>
      <c r="P600" s="20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</row>
    <row r="601" spans="1:28" ht="15.75" customHeight="1">
      <c r="A601" s="200"/>
      <c r="B601" s="74"/>
      <c r="C601" s="72"/>
      <c r="D601" s="73"/>
      <c r="E601" s="72"/>
      <c r="F601" s="73"/>
      <c r="G601" s="74"/>
      <c r="H601" s="202"/>
      <c r="I601" s="74"/>
      <c r="J601" s="74"/>
      <c r="K601" s="74"/>
      <c r="L601" s="75"/>
      <c r="M601" s="75"/>
      <c r="N601" s="74"/>
      <c r="O601" s="203"/>
      <c r="P601" s="20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</row>
    <row r="602" spans="1:28" ht="15.75" customHeight="1">
      <c r="A602" s="200"/>
      <c r="B602" s="74"/>
      <c r="C602" s="72"/>
      <c r="D602" s="73"/>
      <c r="E602" s="72"/>
      <c r="F602" s="73"/>
      <c r="G602" s="74"/>
      <c r="H602" s="202"/>
      <c r="I602" s="74"/>
      <c r="J602" s="74"/>
      <c r="K602" s="74"/>
      <c r="L602" s="75"/>
      <c r="M602" s="75"/>
      <c r="N602" s="74"/>
      <c r="O602" s="203"/>
      <c r="P602" s="20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</row>
    <row r="603" spans="1:28" ht="15.75" customHeight="1">
      <c r="A603" s="200"/>
      <c r="B603" s="74"/>
      <c r="C603" s="72"/>
      <c r="D603" s="73"/>
      <c r="E603" s="72"/>
      <c r="F603" s="73"/>
      <c r="G603" s="74"/>
      <c r="H603" s="202"/>
      <c r="I603" s="74"/>
      <c r="J603" s="74"/>
      <c r="K603" s="74"/>
      <c r="L603" s="75"/>
      <c r="M603" s="75"/>
      <c r="N603" s="74"/>
      <c r="O603" s="203"/>
      <c r="P603" s="20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</row>
    <row r="604" spans="1:28" ht="15.75" customHeight="1">
      <c r="A604" s="200"/>
      <c r="B604" s="74"/>
      <c r="C604" s="72"/>
      <c r="D604" s="73"/>
      <c r="E604" s="72"/>
      <c r="F604" s="73"/>
      <c r="G604" s="74"/>
      <c r="H604" s="202"/>
      <c r="I604" s="74"/>
      <c r="J604" s="74"/>
      <c r="K604" s="74"/>
      <c r="L604" s="75"/>
      <c r="M604" s="75"/>
      <c r="N604" s="74"/>
      <c r="O604" s="203"/>
      <c r="P604" s="20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</row>
    <row r="605" spans="1:28" ht="15.75" customHeight="1">
      <c r="A605" s="200"/>
      <c r="B605" s="74"/>
      <c r="C605" s="72"/>
      <c r="D605" s="73"/>
      <c r="E605" s="72"/>
      <c r="F605" s="73"/>
      <c r="G605" s="74"/>
      <c r="H605" s="202"/>
      <c r="I605" s="74"/>
      <c r="J605" s="74"/>
      <c r="K605" s="74"/>
      <c r="L605" s="75"/>
      <c r="M605" s="75"/>
      <c r="N605" s="74"/>
      <c r="O605" s="203"/>
      <c r="P605" s="20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</row>
    <row r="606" spans="1:28" ht="15.75" customHeight="1">
      <c r="A606" s="200"/>
      <c r="B606" s="74"/>
      <c r="C606" s="72"/>
      <c r="D606" s="73"/>
      <c r="E606" s="72"/>
      <c r="F606" s="73"/>
      <c r="G606" s="74"/>
      <c r="H606" s="202"/>
      <c r="I606" s="74"/>
      <c r="J606" s="74"/>
      <c r="K606" s="74"/>
      <c r="L606" s="75"/>
      <c r="M606" s="75"/>
      <c r="N606" s="74"/>
      <c r="O606" s="203"/>
      <c r="P606" s="20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</row>
    <row r="607" spans="1:28" ht="15.75" customHeight="1">
      <c r="A607" s="200"/>
      <c r="B607" s="74"/>
      <c r="C607" s="72"/>
      <c r="D607" s="73"/>
      <c r="E607" s="72"/>
      <c r="F607" s="73"/>
      <c r="G607" s="74"/>
      <c r="H607" s="202"/>
      <c r="I607" s="74"/>
      <c r="J607" s="74"/>
      <c r="K607" s="74"/>
      <c r="L607" s="75"/>
      <c r="M607" s="75"/>
      <c r="N607" s="74"/>
      <c r="O607" s="203"/>
      <c r="P607" s="20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</row>
    <row r="608" spans="1:28" ht="15.75" customHeight="1">
      <c r="A608" s="200"/>
      <c r="B608" s="74"/>
      <c r="C608" s="72"/>
      <c r="D608" s="73"/>
      <c r="E608" s="72"/>
      <c r="F608" s="73"/>
      <c r="G608" s="74"/>
      <c r="H608" s="202"/>
      <c r="I608" s="74"/>
      <c r="J608" s="74"/>
      <c r="K608" s="74"/>
      <c r="L608" s="75"/>
      <c r="M608" s="75"/>
      <c r="N608" s="74"/>
      <c r="O608" s="203"/>
      <c r="P608" s="20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</row>
    <row r="609" spans="1:28" ht="15.75" customHeight="1">
      <c r="A609" s="200"/>
      <c r="B609" s="74"/>
      <c r="C609" s="72"/>
      <c r="D609" s="73"/>
      <c r="E609" s="72"/>
      <c r="F609" s="73"/>
      <c r="G609" s="74"/>
      <c r="H609" s="202"/>
      <c r="I609" s="74"/>
      <c r="J609" s="74"/>
      <c r="K609" s="74"/>
      <c r="L609" s="75"/>
      <c r="M609" s="75"/>
      <c r="N609" s="74"/>
      <c r="O609" s="203"/>
      <c r="P609" s="20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</row>
    <row r="610" spans="1:28" ht="15.75" customHeight="1">
      <c r="A610" s="200"/>
      <c r="B610" s="74"/>
      <c r="C610" s="72"/>
      <c r="D610" s="73"/>
      <c r="E610" s="72"/>
      <c r="F610" s="73"/>
      <c r="G610" s="74"/>
      <c r="H610" s="202"/>
      <c r="I610" s="74"/>
      <c r="J610" s="74"/>
      <c r="K610" s="74"/>
      <c r="L610" s="75"/>
      <c r="M610" s="75"/>
      <c r="N610" s="74"/>
      <c r="O610" s="203"/>
      <c r="P610" s="20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</row>
    <row r="611" spans="1:28" ht="15.75" customHeight="1">
      <c r="A611" s="200"/>
      <c r="B611" s="74"/>
      <c r="C611" s="72"/>
      <c r="D611" s="73"/>
      <c r="E611" s="72"/>
      <c r="F611" s="73"/>
      <c r="G611" s="74"/>
      <c r="H611" s="202"/>
      <c r="I611" s="74"/>
      <c r="J611" s="74"/>
      <c r="K611" s="74"/>
      <c r="L611" s="75"/>
      <c r="M611" s="75"/>
      <c r="N611" s="74"/>
      <c r="O611" s="203"/>
      <c r="P611" s="20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</row>
    <row r="612" spans="1:28" ht="15.75" customHeight="1">
      <c r="A612" s="200"/>
      <c r="B612" s="74"/>
      <c r="C612" s="72"/>
      <c r="D612" s="73"/>
      <c r="E612" s="72"/>
      <c r="F612" s="73"/>
      <c r="G612" s="74"/>
      <c r="H612" s="202"/>
      <c r="I612" s="74"/>
      <c r="J612" s="74"/>
      <c r="K612" s="74"/>
      <c r="L612" s="75"/>
      <c r="M612" s="75"/>
      <c r="N612" s="74"/>
      <c r="O612" s="203"/>
      <c r="P612" s="20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</row>
    <row r="613" spans="1:28" ht="15.75" customHeight="1">
      <c r="A613" s="200"/>
      <c r="B613" s="74"/>
      <c r="C613" s="72"/>
      <c r="D613" s="73"/>
      <c r="E613" s="72"/>
      <c r="F613" s="73"/>
      <c r="G613" s="74"/>
      <c r="H613" s="202"/>
      <c r="I613" s="74"/>
      <c r="J613" s="74"/>
      <c r="K613" s="74"/>
      <c r="L613" s="75"/>
      <c r="M613" s="75"/>
      <c r="N613" s="74"/>
      <c r="O613" s="203"/>
      <c r="P613" s="20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</row>
    <row r="614" spans="1:28" ht="15.75" customHeight="1">
      <c r="A614" s="200"/>
      <c r="B614" s="74"/>
      <c r="C614" s="72"/>
      <c r="D614" s="73"/>
      <c r="E614" s="72"/>
      <c r="F614" s="73"/>
      <c r="G614" s="74"/>
      <c r="H614" s="202"/>
      <c r="I614" s="74"/>
      <c r="J614" s="74"/>
      <c r="K614" s="74"/>
      <c r="L614" s="75"/>
      <c r="M614" s="75"/>
      <c r="N614" s="74"/>
      <c r="O614" s="203"/>
      <c r="P614" s="20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</row>
    <row r="615" spans="1:28" ht="15.75" customHeight="1">
      <c r="A615" s="200"/>
      <c r="B615" s="74"/>
      <c r="C615" s="72"/>
      <c r="D615" s="73"/>
      <c r="E615" s="72"/>
      <c r="F615" s="73"/>
      <c r="G615" s="74"/>
      <c r="H615" s="202"/>
      <c r="I615" s="74"/>
      <c r="J615" s="74"/>
      <c r="K615" s="74"/>
      <c r="L615" s="75"/>
      <c r="M615" s="75"/>
      <c r="N615" s="74"/>
      <c r="O615" s="203"/>
      <c r="P615" s="20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</row>
    <row r="616" spans="1:28" ht="15.75" customHeight="1">
      <c r="A616" s="200"/>
      <c r="B616" s="74"/>
      <c r="C616" s="72"/>
      <c r="D616" s="73"/>
      <c r="E616" s="72"/>
      <c r="F616" s="73"/>
      <c r="G616" s="74"/>
      <c r="H616" s="202"/>
      <c r="I616" s="74"/>
      <c r="J616" s="74"/>
      <c r="K616" s="74"/>
      <c r="L616" s="75"/>
      <c r="M616" s="75"/>
      <c r="N616" s="74"/>
      <c r="O616" s="203"/>
      <c r="P616" s="20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</row>
    <row r="617" spans="1:28" ht="15.75" customHeight="1">
      <c r="A617" s="200"/>
      <c r="B617" s="74"/>
      <c r="C617" s="72"/>
      <c r="D617" s="73"/>
      <c r="E617" s="72"/>
      <c r="F617" s="73"/>
      <c r="G617" s="74"/>
      <c r="H617" s="202"/>
      <c r="I617" s="74"/>
      <c r="J617" s="74"/>
      <c r="K617" s="74"/>
      <c r="L617" s="75"/>
      <c r="M617" s="75"/>
      <c r="N617" s="74"/>
      <c r="O617" s="203"/>
      <c r="P617" s="20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</row>
    <row r="618" spans="1:28" ht="15.75" customHeight="1">
      <c r="A618" s="200"/>
      <c r="B618" s="74"/>
      <c r="C618" s="72"/>
      <c r="D618" s="73"/>
      <c r="E618" s="72"/>
      <c r="F618" s="73"/>
      <c r="G618" s="74"/>
      <c r="H618" s="202"/>
      <c r="I618" s="74"/>
      <c r="J618" s="74"/>
      <c r="K618" s="74"/>
      <c r="L618" s="75"/>
      <c r="M618" s="75"/>
      <c r="N618" s="74"/>
      <c r="O618" s="203"/>
      <c r="P618" s="20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</row>
    <row r="619" spans="1:28" ht="15.75" customHeight="1">
      <c r="A619" s="200"/>
      <c r="B619" s="74"/>
      <c r="C619" s="72"/>
      <c r="D619" s="73"/>
      <c r="E619" s="72"/>
      <c r="F619" s="73"/>
      <c r="G619" s="74"/>
      <c r="H619" s="202"/>
      <c r="I619" s="74"/>
      <c r="J619" s="74"/>
      <c r="K619" s="74"/>
      <c r="L619" s="75"/>
      <c r="M619" s="75"/>
      <c r="N619" s="74"/>
      <c r="O619" s="203"/>
      <c r="P619" s="20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</row>
    <row r="620" spans="1:28" ht="15.75" customHeight="1">
      <c r="A620" s="200"/>
      <c r="B620" s="74"/>
      <c r="C620" s="72"/>
      <c r="D620" s="73"/>
      <c r="E620" s="72"/>
      <c r="F620" s="73"/>
      <c r="G620" s="74"/>
      <c r="H620" s="202"/>
      <c r="I620" s="74"/>
      <c r="J620" s="74"/>
      <c r="K620" s="74"/>
      <c r="L620" s="75"/>
      <c r="M620" s="75"/>
      <c r="N620" s="74"/>
      <c r="O620" s="203"/>
      <c r="P620" s="20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</row>
    <row r="621" spans="1:28" ht="15.75" customHeight="1">
      <c r="A621" s="200"/>
      <c r="B621" s="74"/>
      <c r="C621" s="72"/>
      <c r="D621" s="73"/>
      <c r="E621" s="72"/>
      <c r="F621" s="73"/>
      <c r="G621" s="74"/>
      <c r="H621" s="202"/>
      <c r="I621" s="74"/>
      <c r="J621" s="74"/>
      <c r="K621" s="74"/>
      <c r="L621" s="75"/>
      <c r="M621" s="75"/>
      <c r="N621" s="74"/>
      <c r="O621" s="203"/>
      <c r="P621" s="20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</row>
    <row r="622" spans="1:28" ht="15.75" customHeight="1">
      <c r="A622" s="200"/>
      <c r="B622" s="74"/>
      <c r="C622" s="72"/>
      <c r="D622" s="73"/>
      <c r="E622" s="72"/>
      <c r="F622" s="73"/>
      <c r="G622" s="74"/>
      <c r="H622" s="202"/>
      <c r="I622" s="74"/>
      <c r="J622" s="74"/>
      <c r="K622" s="74"/>
      <c r="L622" s="75"/>
      <c r="M622" s="75"/>
      <c r="N622" s="74"/>
      <c r="O622" s="203"/>
      <c r="P622" s="20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</row>
    <row r="623" spans="1:28" ht="15.75" customHeight="1">
      <c r="A623" s="200"/>
      <c r="B623" s="74"/>
      <c r="C623" s="72"/>
      <c r="D623" s="73"/>
      <c r="E623" s="72"/>
      <c r="F623" s="73"/>
      <c r="G623" s="74"/>
      <c r="H623" s="202"/>
      <c r="I623" s="74"/>
      <c r="J623" s="74"/>
      <c r="K623" s="74"/>
      <c r="L623" s="75"/>
      <c r="M623" s="75"/>
      <c r="N623" s="74"/>
      <c r="O623" s="203"/>
      <c r="P623" s="20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</row>
    <row r="624" spans="1:28" ht="15.75" customHeight="1">
      <c r="A624" s="200"/>
      <c r="B624" s="74"/>
      <c r="C624" s="72"/>
      <c r="D624" s="73"/>
      <c r="E624" s="72"/>
      <c r="F624" s="73"/>
      <c r="G624" s="74"/>
      <c r="H624" s="202"/>
      <c r="I624" s="74"/>
      <c r="J624" s="74"/>
      <c r="K624" s="74"/>
      <c r="L624" s="75"/>
      <c r="M624" s="75"/>
      <c r="N624" s="74"/>
      <c r="O624" s="203"/>
      <c r="P624" s="20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</row>
    <row r="625" spans="1:28" ht="15.75" customHeight="1">
      <c r="A625" s="200"/>
      <c r="B625" s="74"/>
      <c r="C625" s="72"/>
      <c r="D625" s="73"/>
      <c r="E625" s="72"/>
      <c r="F625" s="73"/>
      <c r="G625" s="74"/>
      <c r="H625" s="202"/>
      <c r="I625" s="74"/>
      <c r="J625" s="74"/>
      <c r="K625" s="74"/>
      <c r="L625" s="75"/>
      <c r="M625" s="75"/>
      <c r="N625" s="74"/>
      <c r="O625" s="203"/>
      <c r="P625" s="20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</row>
    <row r="626" spans="1:28" ht="15.75" customHeight="1">
      <c r="A626" s="200"/>
      <c r="B626" s="74"/>
      <c r="C626" s="72"/>
      <c r="D626" s="73"/>
      <c r="E626" s="72"/>
      <c r="F626" s="73"/>
      <c r="G626" s="74"/>
      <c r="H626" s="202"/>
      <c r="I626" s="74"/>
      <c r="J626" s="74"/>
      <c r="K626" s="74"/>
      <c r="L626" s="75"/>
      <c r="M626" s="75"/>
      <c r="N626" s="74"/>
      <c r="O626" s="203"/>
      <c r="P626" s="20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</row>
    <row r="627" spans="1:28" ht="15.75" customHeight="1">
      <c r="A627" s="200"/>
      <c r="B627" s="74"/>
      <c r="C627" s="72"/>
      <c r="D627" s="73"/>
      <c r="E627" s="72"/>
      <c r="F627" s="73"/>
      <c r="G627" s="74"/>
      <c r="H627" s="202"/>
      <c r="I627" s="74"/>
      <c r="J627" s="74"/>
      <c r="K627" s="74"/>
      <c r="L627" s="75"/>
      <c r="M627" s="75"/>
      <c r="N627" s="74"/>
      <c r="O627" s="203"/>
      <c r="P627" s="20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</row>
    <row r="628" spans="1:28" ht="15.75" customHeight="1">
      <c r="A628" s="200"/>
      <c r="B628" s="74"/>
      <c r="C628" s="72"/>
      <c r="D628" s="73"/>
      <c r="E628" s="72"/>
      <c r="F628" s="73"/>
      <c r="G628" s="74"/>
      <c r="H628" s="202"/>
      <c r="I628" s="74"/>
      <c r="J628" s="74"/>
      <c r="K628" s="74"/>
      <c r="L628" s="75"/>
      <c r="M628" s="75"/>
      <c r="N628" s="74"/>
      <c r="O628" s="203"/>
      <c r="P628" s="20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</row>
    <row r="629" spans="1:28" ht="15.75" customHeight="1">
      <c r="A629" s="200"/>
      <c r="B629" s="74"/>
      <c r="C629" s="72"/>
      <c r="D629" s="73"/>
      <c r="E629" s="72"/>
      <c r="F629" s="73"/>
      <c r="G629" s="74"/>
      <c r="H629" s="202"/>
      <c r="I629" s="74"/>
      <c r="J629" s="74"/>
      <c r="K629" s="74"/>
      <c r="L629" s="75"/>
      <c r="M629" s="75"/>
      <c r="N629" s="74"/>
      <c r="O629" s="203"/>
      <c r="P629" s="20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</row>
    <row r="630" spans="1:28" ht="15.75" customHeight="1">
      <c r="A630" s="200"/>
      <c r="B630" s="74"/>
      <c r="C630" s="72"/>
      <c r="D630" s="73"/>
      <c r="E630" s="72"/>
      <c r="F630" s="73"/>
      <c r="G630" s="74"/>
      <c r="H630" s="202"/>
      <c r="I630" s="74"/>
      <c r="J630" s="74"/>
      <c r="K630" s="74"/>
      <c r="L630" s="75"/>
      <c r="M630" s="75"/>
      <c r="N630" s="74"/>
      <c r="O630" s="203"/>
      <c r="P630" s="20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</row>
    <row r="631" spans="1:28" ht="15.75" customHeight="1">
      <c r="A631" s="200"/>
      <c r="B631" s="74"/>
      <c r="C631" s="72"/>
      <c r="D631" s="73"/>
      <c r="E631" s="72"/>
      <c r="F631" s="73"/>
      <c r="G631" s="74"/>
      <c r="H631" s="202"/>
      <c r="I631" s="74"/>
      <c r="J631" s="74"/>
      <c r="K631" s="74"/>
      <c r="L631" s="75"/>
      <c r="M631" s="75"/>
      <c r="N631" s="74"/>
      <c r="O631" s="203"/>
      <c r="P631" s="20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</row>
    <row r="632" spans="1:28" ht="15.75" customHeight="1">
      <c r="A632" s="200"/>
      <c r="B632" s="74"/>
      <c r="C632" s="72"/>
      <c r="D632" s="73"/>
      <c r="E632" s="72"/>
      <c r="F632" s="73"/>
      <c r="G632" s="74"/>
      <c r="H632" s="202"/>
      <c r="I632" s="74"/>
      <c r="J632" s="74"/>
      <c r="K632" s="74"/>
      <c r="L632" s="75"/>
      <c r="M632" s="75"/>
      <c r="N632" s="74"/>
      <c r="O632" s="203"/>
      <c r="P632" s="20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</row>
    <row r="633" spans="1:28" ht="15.75" customHeight="1">
      <c r="A633" s="200"/>
      <c r="B633" s="74"/>
      <c r="C633" s="72"/>
      <c r="D633" s="73"/>
      <c r="E633" s="72"/>
      <c r="F633" s="73"/>
      <c r="G633" s="74"/>
      <c r="H633" s="202"/>
      <c r="I633" s="74"/>
      <c r="J633" s="74"/>
      <c r="K633" s="74"/>
      <c r="L633" s="75"/>
      <c r="M633" s="75"/>
      <c r="N633" s="74"/>
      <c r="O633" s="203"/>
      <c r="P633" s="20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</row>
    <row r="634" spans="1:28" ht="15.75" customHeight="1">
      <c r="A634" s="200"/>
      <c r="B634" s="74"/>
      <c r="C634" s="72"/>
      <c r="D634" s="73"/>
      <c r="E634" s="72"/>
      <c r="F634" s="73"/>
      <c r="G634" s="74"/>
      <c r="H634" s="202"/>
      <c r="I634" s="74"/>
      <c r="J634" s="74"/>
      <c r="K634" s="74"/>
      <c r="L634" s="75"/>
      <c r="M634" s="75"/>
      <c r="N634" s="74"/>
      <c r="O634" s="203"/>
      <c r="P634" s="20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</row>
    <row r="635" spans="1:28" ht="15.75" customHeight="1">
      <c r="A635" s="200"/>
      <c r="B635" s="74"/>
      <c r="C635" s="72"/>
      <c r="D635" s="73"/>
      <c r="E635" s="72"/>
      <c r="F635" s="73"/>
      <c r="G635" s="74"/>
      <c r="H635" s="202"/>
      <c r="I635" s="74"/>
      <c r="J635" s="74"/>
      <c r="K635" s="74"/>
      <c r="L635" s="75"/>
      <c r="M635" s="75"/>
      <c r="N635" s="74"/>
      <c r="O635" s="203"/>
      <c r="P635" s="20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</row>
    <row r="636" spans="1:28" ht="15.75" customHeight="1">
      <c r="A636" s="200"/>
      <c r="B636" s="74"/>
      <c r="C636" s="72"/>
      <c r="D636" s="73"/>
      <c r="E636" s="72"/>
      <c r="F636" s="73"/>
      <c r="G636" s="74"/>
      <c r="H636" s="202"/>
      <c r="I636" s="74"/>
      <c r="J636" s="74"/>
      <c r="K636" s="74"/>
      <c r="L636" s="75"/>
      <c r="M636" s="75"/>
      <c r="N636" s="74"/>
      <c r="O636" s="203"/>
      <c r="P636" s="20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</row>
    <row r="637" spans="1:28" ht="15.75" customHeight="1">
      <c r="A637" s="200"/>
      <c r="B637" s="74"/>
      <c r="C637" s="72"/>
      <c r="D637" s="73"/>
      <c r="E637" s="72"/>
      <c r="F637" s="73"/>
      <c r="G637" s="74"/>
      <c r="H637" s="202"/>
      <c r="I637" s="74"/>
      <c r="J637" s="74"/>
      <c r="K637" s="74"/>
      <c r="L637" s="75"/>
      <c r="M637" s="75"/>
      <c r="N637" s="74"/>
      <c r="O637" s="203"/>
      <c r="P637" s="20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</row>
    <row r="638" spans="1:28" ht="15.75" customHeight="1">
      <c r="A638" s="200"/>
      <c r="B638" s="74"/>
      <c r="C638" s="72"/>
      <c r="D638" s="73"/>
      <c r="E638" s="72"/>
      <c r="F638" s="73"/>
      <c r="G638" s="74"/>
      <c r="H638" s="202"/>
      <c r="I638" s="74"/>
      <c r="J638" s="74"/>
      <c r="K638" s="74"/>
      <c r="L638" s="75"/>
      <c r="M638" s="75"/>
      <c r="N638" s="74"/>
      <c r="O638" s="203"/>
      <c r="P638" s="20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</row>
    <row r="639" spans="1:28" ht="15.75" customHeight="1">
      <c r="A639" s="200"/>
      <c r="B639" s="74"/>
      <c r="C639" s="72"/>
      <c r="D639" s="73"/>
      <c r="E639" s="72"/>
      <c r="F639" s="73"/>
      <c r="G639" s="74"/>
      <c r="H639" s="202"/>
      <c r="I639" s="74"/>
      <c r="J639" s="74"/>
      <c r="K639" s="74"/>
      <c r="L639" s="75"/>
      <c r="M639" s="75"/>
      <c r="N639" s="74"/>
      <c r="O639" s="203"/>
      <c r="P639" s="20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</row>
    <row r="640" spans="1:28" ht="15.75" customHeight="1">
      <c r="A640" s="200"/>
      <c r="B640" s="74"/>
      <c r="C640" s="72"/>
      <c r="D640" s="73"/>
      <c r="E640" s="72"/>
      <c r="F640" s="73"/>
      <c r="G640" s="74"/>
      <c r="H640" s="202"/>
      <c r="I640" s="74"/>
      <c r="J640" s="74"/>
      <c r="K640" s="74"/>
      <c r="L640" s="75"/>
      <c r="M640" s="75"/>
      <c r="N640" s="74"/>
      <c r="O640" s="203"/>
      <c r="P640" s="20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</row>
    <row r="641" spans="1:28" ht="15.75" customHeight="1">
      <c r="A641" s="200"/>
      <c r="B641" s="74"/>
      <c r="C641" s="72"/>
      <c r="D641" s="73"/>
      <c r="E641" s="72"/>
      <c r="F641" s="73"/>
      <c r="G641" s="74"/>
      <c r="H641" s="202"/>
      <c r="I641" s="74"/>
      <c r="J641" s="74"/>
      <c r="K641" s="74"/>
      <c r="L641" s="75"/>
      <c r="M641" s="75"/>
      <c r="N641" s="74"/>
      <c r="O641" s="203"/>
      <c r="P641" s="20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</row>
    <row r="642" spans="1:28" ht="15.75" customHeight="1">
      <c r="A642" s="200"/>
      <c r="B642" s="74"/>
      <c r="C642" s="72"/>
      <c r="D642" s="73"/>
      <c r="E642" s="72"/>
      <c r="F642" s="73"/>
      <c r="G642" s="74"/>
      <c r="H642" s="202"/>
      <c r="I642" s="74"/>
      <c r="J642" s="74"/>
      <c r="K642" s="74"/>
      <c r="L642" s="75"/>
      <c r="M642" s="75"/>
      <c r="N642" s="74"/>
      <c r="O642" s="203"/>
      <c r="P642" s="20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</row>
    <row r="643" spans="1:28" ht="15.75" customHeight="1">
      <c r="A643" s="200"/>
      <c r="B643" s="74"/>
      <c r="C643" s="72"/>
      <c r="D643" s="73"/>
      <c r="E643" s="72"/>
      <c r="F643" s="73"/>
      <c r="G643" s="74"/>
      <c r="H643" s="202"/>
      <c r="I643" s="74"/>
      <c r="J643" s="74"/>
      <c r="K643" s="74"/>
      <c r="L643" s="75"/>
      <c r="M643" s="75"/>
      <c r="N643" s="74"/>
      <c r="O643" s="203"/>
      <c r="P643" s="20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</row>
    <row r="644" spans="1:28" ht="15.75" customHeight="1">
      <c r="A644" s="200"/>
      <c r="B644" s="74"/>
      <c r="C644" s="72"/>
      <c r="D644" s="73"/>
      <c r="E644" s="72"/>
      <c r="F644" s="73"/>
      <c r="G644" s="74"/>
      <c r="H644" s="202"/>
      <c r="I644" s="74"/>
      <c r="J644" s="74"/>
      <c r="K644" s="74"/>
      <c r="L644" s="75"/>
      <c r="M644" s="75"/>
      <c r="N644" s="74"/>
      <c r="O644" s="203"/>
      <c r="P644" s="20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</row>
    <row r="645" spans="1:28" ht="15.75" customHeight="1">
      <c r="A645" s="200"/>
      <c r="B645" s="74"/>
      <c r="C645" s="72"/>
      <c r="D645" s="73"/>
      <c r="E645" s="72"/>
      <c r="F645" s="73"/>
      <c r="G645" s="74"/>
      <c r="H645" s="202"/>
      <c r="I645" s="74"/>
      <c r="J645" s="74"/>
      <c r="K645" s="74"/>
      <c r="L645" s="75"/>
      <c r="M645" s="75"/>
      <c r="N645" s="74"/>
      <c r="O645" s="203"/>
      <c r="P645" s="20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</row>
    <row r="646" spans="1:28" ht="15.75" customHeight="1">
      <c r="A646" s="200"/>
      <c r="B646" s="74"/>
      <c r="C646" s="72"/>
      <c r="D646" s="73"/>
      <c r="E646" s="72"/>
      <c r="F646" s="73"/>
      <c r="G646" s="74"/>
      <c r="H646" s="202"/>
      <c r="I646" s="74"/>
      <c r="J646" s="74"/>
      <c r="K646" s="74"/>
      <c r="L646" s="75"/>
      <c r="M646" s="75"/>
      <c r="N646" s="74"/>
      <c r="O646" s="203"/>
      <c r="P646" s="20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</row>
    <row r="647" spans="1:28" ht="15.75" customHeight="1">
      <c r="A647" s="200"/>
      <c r="B647" s="74"/>
      <c r="C647" s="72"/>
      <c r="D647" s="73"/>
      <c r="E647" s="72"/>
      <c r="F647" s="73"/>
      <c r="G647" s="74"/>
      <c r="H647" s="202"/>
      <c r="I647" s="74"/>
      <c r="J647" s="74"/>
      <c r="K647" s="74"/>
      <c r="L647" s="75"/>
      <c r="M647" s="75"/>
      <c r="N647" s="74"/>
      <c r="O647" s="203"/>
      <c r="P647" s="20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</row>
    <row r="648" spans="1:28" ht="15.75" customHeight="1">
      <c r="A648" s="200"/>
      <c r="B648" s="74"/>
      <c r="C648" s="72"/>
      <c r="D648" s="73"/>
      <c r="E648" s="72"/>
      <c r="F648" s="73"/>
      <c r="G648" s="74"/>
      <c r="H648" s="202"/>
      <c r="I648" s="74"/>
      <c r="J648" s="74"/>
      <c r="K648" s="74"/>
      <c r="L648" s="75"/>
      <c r="M648" s="75"/>
      <c r="N648" s="74"/>
      <c r="O648" s="203"/>
      <c r="P648" s="20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</row>
    <row r="649" spans="1:28" ht="15.75" customHeight="1">
      <c r="A649" s="200"/>
      <c r="B649" s="74"/>
      <c r="C649" s="72"/>
      <c r="D649" s="73"/>
      <c r="E649" s="72"/>
      <c r="F649" s="73"/>
      <c r="G649" s="74"/>
      <c r="H649" s="202"/>
      <c r="I649" s="74"/>
      <c r="J649" s="74"/>
      <c r="K649" s="74"/>
      <c r="L649" s="75"/>
      <c r="M649" s="75"/>
      <c r="N649" s="74"/>
      <c r="O649" s="203"/>
      <c r="P649" s="20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</row>
    <row r="650" spans="1:28" ht="15.75" customHeight="1">
      <c r="A650" s="200"/>
      <c r="B650" s="74"/>
      <c r="C650" s="72"/>
      <c r="D650" s="73"/>
      <c r="E650" s="72"/>
      <c r="F650" s="73"/>
      <c r="G650" s="74"/>
      <c r="H650" s="202"/>
      <c r="I650" s="74"/>
      <c r="J650" s="74"/>
      <c r="K650" s="74"/>
      <c r="L650" s="75"/>
      <c r="M650" s="75"/>
      <c r="N650" s="74"/>
      <c r="O650" s="203"/>
      <c r="P650" s="20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</row>
    <row r="651" spans="1:28" ht="15.75" customHeight="1">
      <c r="A651" s="200"/>
      <c r="B651" s="74"/>
      <c r="C651" s="72"/>
      <c r="D651" s="73"/>
      <c r="E651" s="72"/>
      <c r="F651" s="73"/>
      <c r="G651" s="74"/>
      <c r="H651" s="202"/>
      <c r="I651" s="74"/>
      <c r="J651" s="74"/>
      <c r="K651" s="74"/>
      <c r="L651" s="75"/>
      <c r="M651" s="75"/>
      <c r="N651" s="74"/>
      <c r="O651" s="203"/>
      <c r="P651" s="20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</row>
    <row r="652" spans="1:28" ht="15.75" customHeight="1">
      <c r="A652" s="200"/>
      <c r="B652" s="74"/>
      <c r="C652" s="72"/>
      <c r="D652" s="73"/>
      <c r="E652" s="72"/>
      <c r="F652" s="73"/>
      <c r="G652" s="74"/>
      <c r="H652" s="202"/>
      <c r="I652" s="74"/>
      <c r="J652" s="74"/>
      <c r="K652" s="74"/>
      <c r="L652" s="75"/>
      <c r="M652" s="75"/>
      <c r="N652" s="74"/>
      <c r="O652" s="203"/>
      <c r="P652" s="20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</row>
    <row r="653" spans="1:28" ht="15.75" customHeight="1">
      <c r="A653" s="200"/>
      <c r="B653" s="74"/>
      <c r="C653" s="72"/>
      <c r="D653" s="73"/>
      <c r="E653" s="72"/>
      <c r="F653" s="73"/>
      <c r="G653" s="74"/>
      <c r="H653" s="202"/>
      <c r="I653" s="74"/>
      <c r="J653" s="74"/>
      <c r="K653" s="74"/>
      <c r="L653" s="75"/>
      <c r="M653" s="75"/>
      <c r="N653" s="74"/>
      <c r="O653" s="203"/>
      <c r="P653" s="20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</row>
    <row r="654" spans="1:28" ht="15.75" customHeight="1">
      <c r="A654" s="200"/>
      <c r="B654" s="74"/>
      <c r="C654" s="72"/>
      <c r="D654" s="73"/>
      <c r="E654" s="72"/>
      <c r="F654" s="73"/>
      <c r="G654" s="74"/>
      <c r="H654" s="202"/>
      <c r="I654" s="74"/>
      <c r="J654" s="74"/>
      <c r="K654" s="74"/>
      <c r="L654" s="75"/>
      <c r="M654" s="75"/>
      <c r="N654" s="74"/>
      <c r="O654" s="203"/>
      <c r="P654" s="20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</row>
    <row r="655" spans="1:28" ht="15.75" customHeight="1">
      <c r="A655" s="200"/>
      <c r="B655" s="74"/>
      <c r="C655" s="72"/>
      <c r="D655" s="73"/>
      <c r="E655" s="72"/>
      <c r="F655" s="73"/>
      <c r="G655" s="74"/>
      <c r="H655" s="202"/>
      <c r="I655" s="74"/>
      <c r="J655" s="74"/>
      <c r="K655" s="74"/>
      <c r="L655" s="75"/>
      <c r="M655" s="75"/>
      <c r="N655" s="74"/>
      <c r="O655" s="203"/>
      <c r="P655" s="20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</row>
    <row r="656" spans="1:28" ht="15.75" customHeight="1">
      <c r="A656" s="200"/>
      <c r="B656" s="74"/>
      <c r="C656" s="72"/>
      <c r="D656" s="73"/>
      <c r="E656" s="72"/>
      <c r="F656" s="73"/>
      <c r="G656" s="74"/>
      <c r="H656" s="202"/>
      <c r="I656" s="74"/>
      <c r="J656" s="74"/>
      <c r="K656" s="74"/>
      <c r="L656" s="75"/>
      <c r="M656" s="75"/>
      <c r="N656" s="74"/>
      <c r="O656" s="203"/>
      <c r="P656" s="20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</row>
    <row r="657" spans="1:28" ht="15.75" customHeight="1">
      <c r="A657" s="200"/>
      <c r="B657" s="74"/>
      <c r="C657" s="72"/>
      <c r="D657" s="73"/>
      <c r="E657" s="72"/>
      <c r="F657" s="73"/>
      <c r="G657" s="74"/>
      <c r="H657" s="202"/>
      <c r="I657" s="74"/>
      <c r="J657" s="74"/>
      <c r="K657" s="74"/>
      <c r="L657" s="75"/>
      <c r="M657" s="75"/>
      <c r="N657" s="74"/>
      <c r="O657" s="203"/>
      <c r="P657" s="20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</row>
    <row r="658" spans="1:28" ht="15.75" customHeight="1">
      <c r="A658" s="200"/>
      <c r="B658" s="74"/>
      <c r="C658" s="72"/>
      <c r="D658" s="73"/>
      <c r="E658" s="72"/>
      <c r="F658" s="73"/>
      <c r="G658" s="74"/>
      <c r="H658" s="202"/>
      <c r="I658" s="74"/>
      <c r="J658" s="74"/>
      <c r="K658" s="74"/>
      <c r="L658" s="75"/>
      <c r="M658" s="75"/>
      <c r="N658" s="74"/>
      <c r="O658" s="203"/>
      <c r="P658" s="20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</row>
    <row r="659" spans="1:28" ht="15.75" customHeight="1">
      <c r="A659" s="200"/>
      <c r="B659" s="74"/>
      <c r="C659" s="72"/>
      <c r="D659" s="73"/>
      <c r="E659" s="72"/>
      <c r="F659" s="73"/>
      <c r="G659" s="74"/>
      <c r="H659" s="202"/>
      <c r="I659" s="74"/>
      <c r="J659" s="74"/>
      <c r="K659" s="74"/>
      <c r="L659" s="75"/>
      <c r="M659" s="75"/>
      <c r="N659" s="74"/>
      <c r="O659" s="203"/>
      <c r="P659" s="20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</row>
    <row r="660" spans="1:28" ht="15.75" customHeight="1">
      <c r="A660" s="200"/>
      <c r="B660" s="74"/>
      <c r="C660" s="72"/>
      <c r="D660" s="73"/>
      <c r="E660" s="72"/>
      <c r="F660" s="73"/>
      <c r="G660" s="74"/>
      <c r="H660" s="202"/>
      <c r="I660" s="74"/>
      <c r="J660" s="74"/>
      <c r="K660" s="74"/>
      <c r="L660" s="75"/>
      <c r="M660" s="75"/>
      <c r="N660" s="74"/>
      <c r="O660" s="203"/>
      <c r="P660" s="20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</row>
    <row r="661" spans="1:28" ht="15.75" customHeight="1">
      <c r="A661" s="200"/>
      <c r="B661" s="74"/>
      <c r="C661" s="72"/>
      <c r="D661" s="73"/>
      <c r="E661" s="72"/>
      <c r="F661" s="73"/>
      <c r="G661" s="74"/>
      <c r="H661" s="202"/>
      <c r="I661" s="74"/>
      <c r="J661" s="74"/>
      <c r="K661" s="74"/>
      <c r="L661" s="75"/>
      <c r="M661" s="75"/>
      <c r="N661" s="74"/>
      <c r="O661" s="203"/>
      <c r="P661" s="20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</row>
    <row r="662" spans="1:28" ht="15.75" customHeight="1">
      <c r="A662" s="200"/>
      <c r="B662" s="74"/>
      <c r="C662" s="72"/>
      <c r="D662" s="73"/>
      <c r="E662" s="72"/>
      <c r="F662" s="73"/>
      <c r="G662" s="74"/>
      <c r="H662" s="202"/>
      <c r="I662" s="74"/>
      <c r="J662" s="74"/>
      <c r="K662" s="74"/>
      <c r="L662" s="75"/>
      <c r="M662" s="75"/>
      <c r="N662" s="74"/>
      <c r="O662" s="203"/>
      <c r="P662" s="20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</row>
    <row r="663" spans="1:28" ht="15.75" customHeight="1">
      <c r="A663" s="200"/>
      <c r="B663" s="74"/>
      <c r="C663" s="72"/>
      <c r="D663" s="73"/>
      <c r="E663" s="72"/>
      <c r="F663" s="73"/>
      <c r="G663" s="74"/>
      <c r="H663" s="202"/>
      <c r="I663" s="74"/>
      <c r="J663" s="74"/>
      <c r="K663" s="74"/>
      <c r="L663" s="75"/>
      <c r="M663" s="75"/>
      <c r="N663" s="74"/>
      <c r="O663" s="203"/>
      <c r="P663" s="20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</row>
    <row r="664" spans="1:28" ht="15.75" customHeight="1">
      <c r="A664" s="200"/>
      <c r="B664" s="74"/>
      <c r="C664" s="72"/>
      <c r="D664" s="73"/>
      <c r="E664" s="72"/>
      <c r="F664" s="73"/>
      <c r="G664" s="74"/>
      <c r="H664" s="202"/>
      <c r="I664" s="74"/>
      <c r="J664" s="74"/>
      <c r="K664" s="74"/>
      <c r="L664" s="75"/>
      <c r="M664" s="75"/>
      <c r="N664" s="74"/>
      <c r="O664" s="203"/>
      <c r="P664" s="20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</row>
    <row r="665" spans="1:28" ht="15.75" customHeight="1">
      <c r="A665" s="200"/>
      <c r="B665" s="74"/>
      <c r="C665" s="72"/>
      <c r="D665" s="73"/>
      <c r="E665" s="72"/>
      <c r="F665" s="73"/>
      <c r="G665" s="74"/>
      <c r="H665" s="202"/>
      <c r="I665" s="74"/>
      <c r="J665" s="74"/>
      <c r="K665" s="74"/>
      <c r="L665" s="75"/>
      <c r="M665" s="75"/>
      <c r="N665" s="74"/>
      <c r="O665" s="203"/>
      <c r="P665" s="20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</row>
    <row r="666" spans="1:28" ht="15.75" customHeight="1">
      <c r="A666" s="200"/>
      <c r="B666" s="74"/>
      <c r="C666" s="72"/>
      <c r="D666" s="73"/>
      <c r="E666" s="72"/>
      <c r="F666" s="73"/>
      <c r="G666" s="74"/>
      <c r="H666" s="202"/>
      <c r="I666" s="74"/>
      <c r="J666" s="74"/>
      <c r="K666" s="74"/>
      <c r="L666" s="75"/>
      <c r="M666" s="75"/>
      <c r="N666" s="74"/>
      <c r="O666" s="203"/>
      <c r="P666" s="20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</row>
    <row r="667" spans="1:28" ht="15.75" customHeight="1">
      <c r="A667" s="200"/>
      <c r="B667" s="74"/>
      <c r="C667" s="72"/>
      <c r="D667" s="73"/>
      <c r="E667" s="72"/>
      <c r="F667" s="73"/>
      <c r="G667" s="74"/>
      <c r="H667" s="202"/>
      <c r="I667" s="74"/>
      <c r="J667" s="74"/>
      <c r="K667" s="74"/>
      <c r="L667" s="75"/>
      <c r="M667" s="75"/>
      <c r="N667" s="74"/>
      <c r="O667" s="203"/>
      <c r="P667" s="20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</row>
    <row r="668" spans="1:28" ht="15.75" customHeight="1">
      <c r="A668" s="200"/>
      <c r="B668" s="74"/>
      <c r="C668" s="72"/>
      <c r="D668" s="73"/>
      <c r="E668" s="72"/>
      <c r="F668" s="73"/>
      <c r="G668" s="74"/>
      <c r="H668" s="202"/>
      <c r="I668" s="74"/>
      <c r="J668" s="74"/>
      <c r="K668" s="74"/>
      <c r="L668" s="75"/>
      <c r="M668" s="75"/>
      <c r="N668" s="74"/>
      <c r="O668" s="203"/>
      <c r="P668" s="20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</row>
    <row r="669" spans="1:28" ht="15.75" customHeight="1">
      <c r="A669" s="200"/>
      <c r="B669" s="74"/>
      <c r="C669" s="72"/>
      <c r="D669" s="73"/>
      <c r="E669" s="72"/>
      <c r="F669" s="73"/>
      <c r="G669" s="74"/>
      <c r="H669" s="202"/>
      <c r="I669" s="74"/>
      <c r="J669" s="74"/>
      <c r="K669" s="74"/>
      <c r="L669" s="75"/>
      <c r="M669" s="75"/>
      <c r="N669" s="74"/>
      <c r="O669" s="203"/>
      <c r="P669" s="20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</row>
    <row r="670" spans="1:28" ht="15.75" customHeight="1">
      <c r="A670" s="200"/>
      <c r="B670" s="74"/>
      <c r="C670" s="72"/>
      <c r="D670" s="73"/>
      <c r="E670" s="72"/>
      <c r="F670" s="73"/>
      <c r="G670" s="74"/>
      <c r="H670" s="202"/>
      <c r="I670" s="74"/>
      <c r="J670" s="74"/>
      <c r="K670" s="74"/>
      <c r="L670" s="75"/>
      <c r="M670" s="75"/>
      <c r="N670" s="74"/>
      <c r="O670" s="203"/>
      <c r="P670" s="20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</row>
    <row r="671" spans="1:28" ht="15.75" customHeight="1">
      <c r="A671" s="200"/>
      <c r="B671" s="74"/>
      <c r="C671" s="72"/>
      <c r="D671" s="73"/>
      <c r="E671" s="72"/>
      <c r="F671" s="73"/>
      <c r="G671" s="74"/>
      <c r="H671" s="202"/>
      <c r="I671" s="74"/>
      <c r="J671" s="74"/>
      <c r="K671" s="74"/>
      <c r="L671" s="75"/>
      <c r="M671" s="75"/>
      <c r="N671" s="74"/>
      <c r="O671" s="203"/>
      <c r="P671" s="20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</row>
    <row r="672" spans="1:28" ht="15.75" customHeight="1">
      <c r="A672" s="200"/>
      <c r="B672" s="74"/>
      <c r="C672" s="72"/>
      <c r="D672" s="73"/>
      <c r="E672" s="72"/>
      <c r="F672" s="73"/>
      <c r="G672" s="74"/>
      <c r="H672" s="202"/>
      <c r="I672" s="74"/>
      <c r="J672" s="74"/>
      <c r="K672" s="74"/>
      <c r="L672" s="75"/>
      <c r="M672" s="75"/>
      <c r="N672" s="74"/>
      <c r="O672" s="203"/>
      <c r="P672" s="20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</row>
    <row r="673" spans="1:28" ht="15.75" customHeight="1">
      <c r="A673" s="200"/>
      <c r="B673" s="74"/>
      <c r="C673" s="72"/>
      <c r="D673" s="73"/>
      <c r="E673" s="72"/>
      <c r="F673" s="73"/>
      <c r="G673" s="74"/>
      <c r="H673" s="202"/>
      <c r="I673" s="74"/>
      <c r="J673" s="74"/>
      <c r="K673" s="74"/>
      <c r="L673" s="75"/>
      <c r="M673" s="75"/>
      <c r="N673" s="74"/>
      <c r="O673" s="203"/>
      <c r="P673" s="20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</row>
    <row r="674" spans="1:28" ht="15.75" customHeight="1">
      <c r="A674" s="200"/>
      <c r="B674" s="74"/>
      <c r="C674" s="72"/>
      <c r="D674" s="73"/>
      <c r="E674" s="72"/>
      <c r="F674" s="73"/>
      <c r="G674" s="74"/>
      <c r="H674" s="202"/>
      <c r="I674" s="74"/>
      <c r="J674" s="74"/>
      <c r="K674" s="74"/>
      <c r="L674" s="75"/>
      <c r="M674" s="75"/>
      <c r="N674" s="74"/>
      <c r="O674" s="203"/>
      <c r="P674" s="20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</row>
    <row r="675" spans="1:28" ht="15.75" customHeight="1">
      <c r="A675" s="200"/>
      <c r="B675" s="74"/>
      <c r="C675" s="72"/>
      <c r="D675" s="73"/>
      <c r="E675" s="72"/>
      <c r="F675" s="73"/>
      <c r="G675" s="74"/>
      <c r="H675" s="202"/>
      <c r="I675" s="74"/>
      <c r="J675" s="74"/>
      <c r="K675" s="74"/>
      <c r="L675" s="75"/>
      <c r="M675" s="75"/>
      <c r="N675" s="74"/>
      <c r="O675" s="203"/>
      <c r="P675" s="20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</row>
    <row r="676" spans="1:28" ht="15.75" customHeight="1">
      <c r="A676" s="200"/>
      <c r="B676" s="74"/>
      <c r="C676" s="72"/>
      <c r="D676" s="73"/>
      <c r="E676" s="72"/>
      <c r="F676" s="73"/>
      <c r="G676" s="74"/>
      <c r="H676" s="202"/>
      <c r="I676" s="74"/>
      <c r="J676" s="74"/>
      <c r="K676" s="74"/>
      <c r="L676" s="75"/>
      <c r="M676" s="75"/>
      <c r="N676" s="74"/>
      <c r="O676" s="203"/>
      <c r="P676" s="20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</row>
    <row r="677" spans="1:28" ht="15.75" customHeight="1">
      <c r="A677" s="200"/>
      <c r="B677" s="74"/>
      <c r="C677" s="72"/>
      <c r="D677" s="73"/>
      <c r="E677" s="72"/>
      <c r="F677" s="73"/>
      <c r="G677" s="74"/>
      <c r="H677" s="202"/>
      <c r="I677" s="74"/>
      <c r="J677" s="74"/>
      <c r="K677" s="74"/>
      <c r="L677" s="75"/>
      <c r="M677" s="75"/>
      <c r="N677" s="74"/>
      <c r="O677" s="203"/>
      <c r="P677" s="20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</row>
    <row r="678" spans="1:28" ht="15.75" customHeight="1">
      <c r="A678" s="200"/>
      <c r="B678" s="74"/>
      <c r="C678" s="72"/>
      <c r="D678" s="73"/>
      <c r="E678" s="72"/>
      <c r="F678" s="73"/>
      <c r="G678" s="74"/>
      <c r="H678" s="202"/>
      <c r="I678" s="74"/>
      <c r="J678" s="74"/>
      <c r="K678" s="74"/>
      <c r="L678" s="75"/>
      <c r="M678" s="75"/>
      <c r="N678" s="74"/>
      <c r="O678" s="203"/>
      <c r="P678" s="20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</row>
    <row r="679" spans="1:28" ht="15.75" customHeight="1">
      <c r="A679" s="200"/>
      <c r="B679" s="74"/>
      <c r="C679" s="72"/>
      <c r="D679" s="73"/>
      <c r="E679" s="72"/>
      <c r="F679" s="73"/>
      <c r="G679" s="74"/>
      <c r="H679" s="202"/>
      <c r="I679" s="74"/>
      <c r="J679" s="74"/>
      <c r="K679" s="74"/>
      <c r="L679" s="75"/>
      <c r="M679" s="75"/>
      <c r="N679" s="74"/>
      <c r="O679" s="203"/>
      <c r="P679" s="20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</row>
    <row r="680" spans="1:28" ht="15.75" customHeight="1">
      <c r="A680" s="200"/>
      <c r="B680" s="74"/>
      <c r="C680" s="72"/>
      <c r="D680" s="73"/>
      <c r="E680" s="72"/>
      <c r="F680" s="73"/>
      <c r="G680" s="74"/>
      <c r="H680" s="202"/>
      <c r="I680" s="74"/>
      <c r="J680" s="74"/>
      <c r="K680" s="74"/>
      <c r="L680" s="75"/>
      <c r="M680" s="75"/>
      <c r="N680" s="74"/>
      <c r="O680" s="203"/>
      <c r="P680" s="20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</row>
    <row r="681" spans="1:28" ht="15.75" customHeight="1">
      <c r="A681" s="200"/>
      <c r="B681" s="74"/>
      <c r="C681" s="72"/>
      <c r="D681" s="73"/>
      <c r="E681" s="72"/>
      <c r="F681" s="73"/>
      <c r="G681" s="74"/>
      <c r="H681" s="202"/>
      <c r="I681" s="74"/>
      <c r="J681" s="74"/>
      <c r="K681" s="74"/>
      <c r="L681" s="75"/>
      <c r="M681" s="75"/>
      <c r="N681" s="74"/>
      <c r="O681" s="203"/>
      <c r="P681" s="20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</row>
    <row r="682" spans="1:28" ht="15.75" customHeight="1">
      <c r="A682" s="200"/>
      <c r="B682" s="74"/>
      <c r="C682" s="72"/>
      <c r="D682" s="73"/>
      <c r="E682" s="72"/>
      <c r="F682" s="73"/>
      <c r="G682" s="74"/>
      <c r="H682" s="202"/>
      <c r="I682" s="74"/>
      <c r="J682" s="74"/>
      <c r="K682" s="74"/>
      <c r="L682" s="75"/>
      <c r="M682" s="75"/>
      <c r="N682" s="74"/>
      <c r="O682" s="203"/>
      <c r="P682" s="20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</row>
    <row r="683" spans="1:28" ht="15.75" customHeight="1">
      <c r="A683" s="200"/>
      <c r="B683" s="74"/>
      <c r="C683" s="72"/>
      <c r="D683" s="73"/>
      <c r="E683" s="72"/>
      <c r="F683" s="73"/>
      <c r="G683" s="74"/>
      <c r="H683" s="202"/>
      <c r="I683" s="74"/>
      <c r="J683" s="74"/>
      <c r="K683" s="74"/>
      <c r="L683" s="75"/>
      <c r="M683" s="75"/>
      <c r="N683" s="74"/>
      <c r="O683" s="203"/>
      <c r="P683" s="20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</row>
    <row r="684" spans="1:28" ht="15.75" customHeight="1">
      <c r="A684" s="200"/>
      <c r="B684" s="74"/>
      <c r="C684" s="72"/>
      <c r="D684" s="73"/>
      <c r="E684" s="72"/>
      <c r="F684" s="73"/>
      <c r="G684" s="74"/>
      <c r="H684" s="202"/>
      <c r="I684" s="74"/>
      <c r="J684" s="74"/>
      <c r="K684" s="74"/>
      <c r="L684" s="75"/>
      <c r="M684" s="75"/>
      <c r="N684" s="74"/>
      <c r="O684" s="203"/>
      <c r="P684" s="20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</row>
    <row r="685" spans="1:28" ht="15.75" customHeight="1">
      <c r="A685" s="200"/>
      <c r="B685" s="74"/>
      <c r="C685" s="72"/>
      <c r="D685" s="73"/>
      <c r="E685" s="72"/>
      <c r="F685" s="73"/>
      <c r="G685" s="74"/>
      <c r="H685" s="202"/>
      <c r="I685" s="74"/>
      <c r="J685" s="74"/>
      <c r="K685" s="74"/>
      <c r="L685" s="75"/>
      <c r="M685" s="75"/>
      <c r="N685" s="74"/>
      <c r="O685" s="203"/>
      <c r="P685" s="20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</row>
    <row r="686" spans="1:28" ht="15.75" customHeight="1">
      <c r="A686" s="200"/>
      <c r="B686" s="74"/>
      <c r="C686" s="72"/>
      <c r="D686" s="73"/>
      <c r="E686" s="72"/>
      <c r="F686" s="73"/>
      <c r="G686" s="74"/>
      <c r="H686" s="202"/>
      <c r="I686" s="74"/>
      <c r="J686" s="74"/>
      <c r="K686" s="74"/>
      <c r="L686" s="75"/>
      <c r="M686" s="75"/>
      <c r="N686" s="74"/>
      <c r="O686" s="203"/>
      <c r="P686" s="20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</row>
    <row r="687" spans="1:28" ht="15.75" customHeight="1">
      <c r="A687" s="200"/>
      <c r="B687" s="74"/>
      <c r="C687" s="72"/>
      <c r="D687" s="73"/>
      <c r="E687" s="72"/>
      <c r="F687" s="73"/>
      <c r="G687" s="74"/>
      <c r="H687" s="202"/>
      <c r="I687" s="74"/>
      <c r="J687" s="74"/>
      <c r="K687" s="74"/>
      <c r="L687" s="75"/>
      <c r="M687" s="75"/>
      <c r="N687" s="74"/>
      <c r="O687" s="203"/>
      <c r="P687" s="20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</row>
    <row r="688" spans="1:28" ht="15.75" customHeight="1">
      <c r="A688" s="200"/>
      <c r="B688" s="74"/>
      <c r="C688" s="72"/>
      <c r="D688" s="73"/>
      <c r="E688" s="72"/>
      <c r="F688" s="73"/>
      <c r="G688" s="74"/>
      <c r="H688" s="202"/>
      <c r="I688" s="74"/>
      <c r="J688" s="74"/>
      <c r="K688" s="74"/>
      <c r="L688" s="75"/>
      <c r="M688" s="75"/>
      <c r="N688" s="74"/>
      <c r="O688" s="203"/>
      <c r="P688" s="20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</row>
    <row r="689" spans="1:28" ht="15.75" customHeight="1">
      <c r="A689" s="200"/>
      <c r="B689" s="74"/>
      <c r="C689" s="72"/>
      <c r="D689" s="73"/>
      <c r="E689" s="72"/>
      <c r="F689" s="73"/>
      <c r="G689" s="74"/>
      <c r="H689" s="202"/>
      <c r="I689" s="74"/>
      <c r="J689" s="74"/>
      <c r="K689" s="74"/>
      <c r="L689" s="75"/>
      <c r="M689" s="75"/>
      <c r="N689" s="74"/>
      <c r="O689" s="203"/>
      <c r="P689" s="20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</row>
    <row r="690" spans="1:28" ht="15.75" customHeight="1">
      <c r="A690" s="200"/>
      <c r="B690" s="74"/>
      <c r="C690" s="72"/>
      <c r="D690" s="73"/>
      <c r="E690" s="72"/>
      <c r="F690" s="73"/>
      <c r="G690" s="74"/>
      <c r="H690" s="202"/>
      <c r="I690" s="74"/>
      <c r="J690" s="74"/>
      <c r="K690" s="74"/>
      <c r="L690" s="75"/>
      <c r="M690" s="75"/>
      <c r="N690" s="74"/>
      <c r="O690" s="203"/>
      <c r="P690" s="20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</row>
    <row r="691" spans="1:28" ht="15.75" customHeight="1">
      <c r="A691" s="200"/>
      <c r="B691" s="74"/>
      <c r="C691" s="72"/>
      <c r="D691" s="73"/>
      <c r="E691" s="72"/>
      <c r="F691" s="73"/>
      <c r="G691" s="74"/>
      <c r="H691" s="202"/>
      <c r="I691" s="74"/>
      <c r="J691" s="74"/>
      <c r="K691" s="74"/>
      <c r="L691" s="75"/>
      <c r="M691" s="75"/>
      <c r="N691" s="74"/>
      <c r="O691" s="203"/>
      <c r="P691" s="20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</row>
    <row r="692" spans="1:28" ht="15.75" customHeight="1">
      <c r="A692" s="200"/>
      <c r="B692" s="74"/>
      <c r="C692" s="72"/>
      <c r="D692" s="73"/>
      <c r="E692" s="72"/>
      <c r="F692" s="73"/>
      <c r="G692" s="74"/>
      <c r="H692" s="202"/>
      <c r="I692" s="74"/>
      <c r="J692" s="74"/>
      <c r="K692" s="74"/>
      <c r="L692" s="75"/>
      <c r="M692" s="75"/>
      <c r="N692" s="74"/>
      <c r="O692" s="203"/>
      <c r="P692" s="20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</row>
    <row r="693" spans="1:28" ht="15.75" customHeight="1">
      <c r="A693" s="200"/>
      <c r="B693" s="74"/>
      <c r="C693" s="72"/>
      <c r="D693" s="73"/>
      <c r="E693" s="72"/>
      <c r="F693" s="73"/>
      <c r="G693" s="74"/>
      <c r="H693" s="202"/>
      <c r="I693" s="74"/>
      <c r="J693" s="74"/>
      <c r="K693" s="74"/>
      <c r="L693" s="75"/>
      <c r="M693" s="75"/>
      <c r="N693" s="74"/>
      <c r="O693" s="203"/>
      <c r="P693" s="20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</row>
    <row r="694" spans="1:28" ht="15.75" customHeight="1">
      <c r="A694" s="200"/>
      <c r="B694" s="74"/>
      <c r="C694" s="72"/>
      <c r="D694" s="73"/>
      <c r="E694" s="72"/>
      <c r="F694" s="73"/>
      <c r="G694" s="74"/>
      <c r="H694" s="202"/>
      <c r="I694" s="74"/>
      <c r="J694" s="74"/>
      <c r="K694" s="74"/>
      <c r="L694" s="75"/>
      <c r="M694" s="75"/>
      <c r="N694" s="74"/>
      <c r="O694" s="203"/>
      <c r="P694" s="20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</row>
    <row r="695" spans="1:28" ht="15.75" customHeight="1">
      <c r="A695" s="200"/>
      <c r="B695" s="74"/>
      <c r="C695" s="72"/>
      <c r="D695" s="73"/>
      <c r="E695" s="72"/>
      <c r="F695" s="73"/>
      <c r="G695" s="74"/>
      <c r="H695" s="202"/>
      <c r="I695" s="74"/>
      <c r="J695" s="74"/>
      <c r="K695" s="74"/>
      <c r="L695" s="75"/>
      <c r="M695" s="75"/>
      <c r="N695" s="74"/>
      <c r="O695" s="203"/>
      <c r="P695" s="20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</row>
    <row r="696" spans="1:28" ht="15.75" customHeight="1">
      <c r="A696" s="200"/>
      <c r="B696" s="74"/>
      <c r="C696" s="72"/>
      <c r="D696" s="73"/>
      <c r="E696" s="72"/>
      <c r="F696" s="73"/>
      <c r="G696" s="74"/>
      <c r="H696" s="202"/>
      <c r="I696" s="74"/>
      <c r="J696" s="74"/>
      <c r="K696" s="74"/>
      <c r="L696" s="75"/>
      <c r="M696" s="75"/>
      <c r="N696" s="74"/>
      <c r="O696" s="203"/>
      <c r="P696" s="20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</row>
    <row r="697" spans="1:28" ht="15.75" customHeight="1">
      <c r="A697" s="200"/>
      <c r="B697" s="74"/>
      <c r="C697" s="72"/>
      <c r="D697" s="73"/>
      <c r="E697" s="72"/>
      <c r="F697" s="73"/>
      <c r="G697" s="74"/>
      <c r="H697" s="202"/>
      <c r="I697" s="74"/>
      <c r="J697" s="74"/>
      <c r="K697" s="74"/>
      <c r="L697" s="75"/>
      <c r="M697" s="75"/>
      <c r="N697" s="74"/>
      <c r="O697" s="203"/>
      <c r="P697" s="20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</row>
    <row r="698" spans="1:28" ht="15.75" customHeight="1">
      <c r="A698" s="200"/>
      <c r="B698" s="74"/>
      <c r="C698" s="72"/>
      <c r="D698" s="73"/>
      <c r="E698" s="72"/>
      <c r="F698" s="73"/>
      <c r="G698" s="74"/>
      <c r="H698" s="202"/>
      <c r="I698" s="74"/>
      <c r="J698" s="74"/>
      <c r="K698" s="74"/>
      <c r="L698" s="75"/>
      <c r="M698" s="75"/>
      <c r="N698" s="74"/>
      <c r="O698" s="203"/>
      <c r="P698" s="20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</row>
    <row r="699" spans="1:28" ht="15.75" customHeight="1">
      <c r="A699" s="200"/>
      <c r="B699" s="74"/>
      <c r="C699" s="72"/>
      <c r="D699" s="73"/>
      <c r="E699" s="72"/>
      <c r="F699" s="73"/>
      <c r="G699" s="74"/>
      <c r="H699" s="202"/>
      <c r="I699" s="74"/>
      <c r="J699" s="74"/>
      <c r="K699" s="74"/>
      <c r="L699" s="75"/>
      <c r="M699" s="75"/>
      <c r="N699" s="74"/>
      <c r="O699" s="203"/>
      <c r="P699" s="20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</row>
    <row r="700" spans="1:28" ht="15.75" customHeight="1">
      <c r="A700" s="200"/>
      <c r="B700" s="74"/>
      <c r="C700" s="72"/>
      <c r="D700" s="73"/>
      <c r="E700" s="72"/>
      <c r="F700" s="73"/>
      <c r="G700" s="74"/>
      <c r="H700" s="202"/>
      <c r="I700" s="74"/>
      <c r="J700" s="74"/>
      <c r="K700" s="74"/>
      <c r="L700" s="75"/>
      <c r="M700" s="75"/>
      <c r="N700" s="74"/>
      <c r="O700" s="203"/>
      <c r="P700" s="20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</row>
    <row r="701" spans="1:28" ht="15.75" customHeight="1">
      <c r="A701" s="200"/>
      <c r="B701" s="74"/>
      <c r="C701" s="72"/>
      <c r="D701" s="73"/>
      <c r="E701" s="72"/>
      <c r="F701" s="73"/>
      <c r="G701" s="74"/>
      <c r="H701" s="202"/>
      <c r="I701" s="74"/>
      <c r="J701" s="74"/>
      <c r="K701" s="74"/>
      <c r="L701" s="75"/>
      <c r="M701" s="75"/>
      <c r="N701" s="74"/>
      <c r="O701" s="203"/>
      <c r="P701" s="20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</row>
    <row r="702" spans="1:28" ht="15.75" customHeight="1">
      <c r="A702" s="200"/>
      <c r="B702" s="74"/>
      <c r="C702" s="72"/>
      <c r="D702" s="73"/>
      <c r="E702" s="72"/>
      <c r="F702" s="73"/>
      <c r="G702" s="74"/>
      <c r="H702" s="202"/>
      <c r="I702" s="74"/>
      <c r="J702" s="74"/>
      <c r="K702" s="74"/>
      <c r="L702" s="75"/>
      <c r="M702" s="75"/>
      <c r="N702" s="74"/>
      <c r="O702" s="203"/>
      <c r="P702" s="20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</row>
    <row r="703" spans="1:28" ht="15.75" customHeight="1">
      <c r="A703" s="200"/>
      <c r="B703" s="74"/>
      <c r="C703" s="72"/>
      <c r="D703" s="73"/>
      <c r="E703" s="72"/>
      <c r="F703" s="73"/>
      <c r="G703" s="74"/>
      <c r="H703" s="202"/>
      <c r="I703" s="74"/>
      <c r="J703" s="74"/>
      <c r="K703" s="74"/>
      <c r="L703" s="75"/>
      <c r="M703" s="75"/>
      <c r="N703" s="74"/>
      <c r="O703" s="203"/>
      <c r="P703" s="20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</row>
    <row r="704" spans="1:28" ht="15.75" customHeight="1">
      <c r="A704" s="200"/>
      <c r="B704" s="74"/>
      <c r="C704" s="72"/>
      <c r="D704" s="73"/>
      <c r="E704" s="72"/>
      <c r="F704" s="73"/>
      <c r="G704" s="74"/>
      <c r="H704" s="202"/>
      <c r="I704" s="74"/>
      <c r="J704" s="74"/>
      <c r="K704" s="74"/>
      <c r="L704" s="75"/>
      <c r="M704" s="75"/>
      <c r="N704" s="74"/>
      <c r="O704" s="203"/>
      <c r="P704" s="20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</row>
    <row r="705" spans="1:28" ht="15.75" customHeight="1">
      <c r="A705" s="200"/>
      <c r="B705" s="74"/>
      <c r="C705" s="72"/>
      <c r="D705" s="73"/>
      <c r="E705" s="72"/>
      <c r="F705" s="73"/>
      <c r="G705" s="74"/>
      <c r="H705" s="202"/>
      <c r="I705" s="74"/>
      <c r="J705" s="74"/>
      <c r="K705" s="74"/>
      <c r="L705" s="75"/>
      <c r="M705" s="75"/>
      <c r="N705" s="74"/>
      <c r="O705" s="203"/>
      <c r="P705" s="20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</row>
    <row r="706" spans="1:28" ht="15.75" customHeight="1">
      <c r="A706" s="200"/>
      <c r="B706" s="74"/>
      <c r="C706" s="72"/>
      <c r="D706" s="73"/>
      <c r="E706" s="72"/>
      <c r="F706" s="73"/>
      <c r="G706" s="74"/>
      <c r="H706" s="202"/>
      <c r="I706" s="74"/>
      <c r="J706" s="74"/>
      <c r="K706" s="74"/>
      <c r="L706" s="75"/>
      <c r="M706" s="75"/>
      <c r="N706" s="74"/>
      <c r="O706" s="203"/>
      <c r="P706" s="20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</row>
    <row r="707" spans="1:28" ht="15.75" customHeight="1">
      <c r="A707" s="200"/>
      <c r="B707" s="74"/>
      <c r="C707" s="72"/>
      <c r="D707" s="73"/>
      <c r="E707" s="72"/>
      <c r="F707" s="73"/>
      <c r="G707" s="74"/>
      <c r="H707" s="202"/>
      <c r="I707" s="74"/>
      <c r="J707" s="74"/>
      <c r="K707" s="74"/>
      <c r="L707" s="75"/>
      <c r="M707" s="75"/>
      <c r="N707" s="74"/>
      <c r="O707" s="203"/>
      <c r="P707" s="20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</row>
    <row r="708" spans="1:28" ht="15.75" customHeight="1">
      <c r="A708" s="200"/>
      <c r="B708" s="74"/>
      <c r="C708" s="72"/>
      <c r="D708" s="73"/>
      <c r="E708" s="72"/>
      <c r="F708" s="73"/>
      <c r="G708" s="74"/>
      <c r="H708" s="202"/>
      <c r="I708" s="74"/>
      <c r="J708" s="74"/>
      <c r="K708" s="74"/>
      <c r="L708" s="75"/>
      <c r="M708" s="75"/>
      <c r="N708" s="74"/>
      <c r="O708" s="203"/>
      <c r="P708" s="20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</row>
    <row r="709" spans="1:28" ht="15.75" customHeight="1">
      <c r="A709" s="200"/>
      <c r="B709" s="74"/>
      <c r="C709" s="72"/>
      <c r="D709" s="73"/>
      <c r="E709" s="72"/>
      <c r="F709" s="73"/>
      <c r="G709" s="74"/>
      <c r="H709" s="202"/>
      <c r="I709" s="74"/>
      <c r="J709" s="74"/>
      <c r="K709" s="74"/>
      <c r="L709" s="75"/>
      <c r="M709" s="75"/>
      <c r="N709" s="74"/>
      <c r="O709" s="203"/>
      <c r="P709" s="20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</row>
    <row r="710" spans="1:28" ht="15.75" customHeight="1">
      <c r="A710" s="200"/>
      <c r="B710" s="74"/>
      <c r="C710" s="72"/>
      <c r="D710" s="73"/>
      <c r="E710" s="72"/>
      <c r="F710" s="73"/>
      <c r="G710" s="74"/>
      <c r="H710" s="202"/>
      <c r="I710" s="74"/>
      <c r="J710" s="74"/>
      <c r="K710" s="74"/>
      <c r="L710" s="75"/>
      <c r="M710" s="75"/>
      <c r="N710" s="74"/>
      <c r="O710" s="203"/>
      <c r="P710" s="20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</row>
    <row r="711" spans="1:28" ht="15.75" customHeight="1">
      <c r="A711" s="200"/>
      <c r="B711" s="74"/>
      <c r="C711" s="72"/>
      <c r="D711" s="73"/>
      <c r="E711" s="72"/>
      <c r="F711" s="73"/>
      <c r="G711" s="74"/>
      <c r="H711" s="202"/>
      <c r="I711" s="74"/>
      <c r="J711" s="74"/>
      <c r="K711" s="74"/>
      <c r="L711" s="75"/>
      <c r="M711" s="75"/>
      <c r="N711" s="74"/>
      <c r="O711" s="203"/>
      <c r="P711" s="20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</row>
    <row r="712" spans="1:28" ht="15.75" customHeight="1">
      <c r="A712" s="200"/>
      <c r="B712" s="74"/>
      <c r="C712" s="72"/>
      <c r="D712" s="73"/>
      <c r="E712" s="72"/>
      <c r="F712" s="73"/>
      <c r="G712" s="74"/>
      <c r="H712" s="202"/>
      <c r="I712" s="74"/>
      <c r="J712" s="74"/>
      <c r="K712" s="74"/>
      <c r="L712" s="75"/>
      <c r="M712" s="75"/>
      <c r="N712" s="74"/>
      <c r="O712" s="203"/>
      <c r="P712" s="20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</row>
    <row r="713" spans="1:28" ht="15.75" customHeight="1">
      <c r="A713" s="200"/>
      <c r="B713" s="74"/>
      <c r="C713" s="72"/>
      <c r="D713" s="73"/>
      <c r="E713" s="72"/>
      <c r="F713" s="73"/>
      <c r="G713" s="74"/>
      <c r="H713" s="202"/>
      <c r="I713" s="74"/>
      <c r="J713" s="74"/>
      <c r="K713" s="74"/>
      <c r="L713" s="75"/>
      <c r="M713" s="75"/>
      <c r="N713" s="74"/>
      <c r="O713" s="203"/>
      <c r="P713" s="20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</row>
    <row r="714" spans="1:28" ht="15.75" customHeight="1">
      <c r="A714" s="200"/>
      <c r="B714" s="74"/>
      <c r="C714" s="72"/>
      <c r="D714" s="73"/>
      <c r="E714" s="72"/>
      <c r="F714" s="73"/>
      <c r="G714" s="74"/>
      <c r="H714" s="202"/>
      <c r="I714" s="74"/>
      <c r="J714" s="74"/>
      <c r="K714" s="74"/>
      <c r="L714" s="75"/>
      <c r="M714" s="75"/>
      <c r="N714" s="74"/>
      <c r="O714" s="203"/>
      <c r="P714" s="20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</row>
    <row r="715" spans="1:28" ht="15.75" customHeight="1">
      <c r="A715" s="200"/>
      <c r="B715" s="74"/>
      <c r="C715" s="72"/>
      <c r="D715" s="73"/>
      <c r="E715" s="72"/>
      <c r="F715" s="73"/>
      <c r="G715" s="74"/>
      <c r="H715" s="202"/>
      <c r="I715" s="74"/>
      <c r="J715" s="74"/>
      <c r="K715" s="74"/>
      <c r="L715" s="75"/>
      <c r="M715" s="75"/>
      <c r="N715" s="74"/>
      <c r="O715" s="203"/>
      <c r="P715" s="20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</row>
    <row r="716" spans="1:28" ht="15.75" customHeight="1">
      <c r="A716" s="200"/>
      <c r="B716" s="74"/>
      <c r="C716" s="72"/>
      <c r="D716" s="73"/>
      <c r="E716" s="72"/>
      <c r="F716" s="73"/>
      <c r="G716" s="74"/>
      <c r="H716" s="202"/>
      <c r="I716" s="74"/>
      <c r="J716" s="74"/>
      <c r="K716" s="74"/>
      <c r="L716" s="75"/>
      <c r="M716" s="75"/>
      <c r="N716" s="74"/>
      <c r="O716" s="203"/>
      <c r="P716" s="20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</row>
    <row r="717" spans="1:28" ht="15.75" customHeight="1">
      <c r="A717" s="200"/>
      <c r="B717" s="74"/>
      <c r="C717" s="72"/>
      <c r="D717" s="73"/>
      <c r="E717" s="72"/>
      <c r="F717" s="73"/>
      <c r="G717" s="74"/>
      <c r="H717" s="202"/>
      <c r="I717" s="74"/>
      <c r="J717" s="74"/>
      <c r="K717" s="74"/>
      <c r="L717" s="75"/>
      <c r="M717" s="75"/>
      <c r="N717" s="74"/>
      <c r="O717" s="203"/>
      <c r="P717" s="20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</row>
    <row r="718" spans="1:28" ht="15.75" customHeight="1">
      <c r="A718" s="200"/>
      <c r="B718" s="74"/>
      <c r="C718" s="72"/>
      <c r="D718" s="73"/>
      <c r="E718" s="72"/>
      <c r="F718" s="73"/>
      <c r="G718" s="74"/>
      <c r="H718" s="202"/>
      <c r="I718" s="74"/>
      <c r="J718" s="74"/>
      <c r="K718" s="74"/>
      <c r="L718" s="75"/>
      <c r="M718" s="75"/>
      <c r="N718" s="74"/>
      <c r="O718" s="203"/>
      <c r="P718" s="20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</row>
    <row r="719" spans="1:28" ht="15.75" customHeight="1">
      <c r="A719" s="200"/>
      <c r="B719" s="74"/>
      <c r="C719" s="72"/>
      <c r="D719" s="73"/>
      <c r="E719" s="72"/>
      <c r="F719" s="73"/>
      <c r="G719" s="74"/>
      <c r="H719" s="202"/>
      <c r="I719" s="74"/>
      <c r="J719" s="74"/>
      <c r="K719" s="74"/>
      <c r="L719" s="75"/>
      <c r="M719" s="75"/>
      <c r="N719" s="74"/>
      <c r="O719" s="203"/>
      <c r="P719" s="20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</row>
    <row r="720" spans="1:28" ht="15.75" customHeight="1">
      <c r="A720" s="200"/>
      <c r="B720" s="74"/>
      <c r="C720" s="72"/>
      <c r="D720" s="73"/>
      <c r="E720" s="72"/>
      <c r="F720" s="73"/>
      <c r="G720" s="74"/>
      <c r="H720" s="202"/>
      <c r="I720" s="74"/>
      <c r="J720" s="74"/>
      <c r="K720" s="74"/>
      <c r="L720" s="75"/>
      <c r="M720" s="75"/>
      <c r="N720" s="74"/>
      <c r="O720" s="203"/>
      <c r="P720" s="20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</row>
    <row r="721" spans="1:28" ht="15.75" customHeight="1">
      <c r="A721" s="200"/>
      <c r="B721" s="74"/>
      <c r="C721" s="72"/>
      <c r="D721" s="73"/>
      <c r="E721" s="72"/>
      <c r="F721" s="73"/>
      <c r="G721" s="74"/>
      <c r="H721" s="202"/>
      <c r="I721" s="74"/>
      <c r="J721" s="74"/>
      <c r="K721" s="74"/>
      <c r="L721" s="75"/>
      <c r="M721" s="75"/>
      <c r="N721" s="74"/>
      <c r="O721" s="203"/>
      <c r="P721" s="20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</row>
    <row r="722" spans="1:28" ht="15.75" customHeight="1">
      <c r="A722" s="200"/>
      <c r="B722" s="74"/>
      <c r="C722" s="72"/>
      <c r="D722" s="73"/>
      <c r="E722" s="72"/>
      <c r="F722" s="73"/>
      <c r="G722" s="74"/>
      <c r="H722" s="202"/>
      <c r="I722" s="74"/>
      <c r="J722" s="74"/>
      <c r="K722" s="74"/>
      <c r="L722" s="75"/>
      <c r="M722" s="75"/>
      <c r="N722" s="74"/>
      <c r="O722" s="203"/>
      <c r="P722" s="20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</row>
    <row r="723" spans="1:28" ht="15.75" customHeight="1">
      <c r="A723" s="200"/>
      <c r="B723" s="74"/>
      <c r="C723" s="72"/>
      <c r="D723" s="73"/>
      <c r="E723" s="72"/>
      <c r="F723" s="73"/>
      <c r="G723" s="74"/>
      <c r="H723" s="202"/>
      <c r="I723" s="74"/>
      <c r="J723" s="74"/>
      <c r="K723" s="74"/>
      <c r="L723" s="75"/>
      <c r="M723" s="75"/>
      <c r="N723" s="74"/>
      <c r="O723" s="203"/>
      <c r="P723" s="20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</row>
    <row r="724" spans="1:28" ht="15.75" customHeight="1">
      <c r="A724" s="200"/>
      <c r="B724" s="74"/>
      <c r="C724" s="72"/>
      <c r="D724" s="73"/>
      <c r="E724" s="72"/>
      <c r="F724" s="73"/>
      <c r="G724" s="74"/>
      <c r="H724" s="202"/>
      <c r="I724" s="74"/>
      <c r="J724" s="74"/>
      <c r="K724" s="74"/>
      <c r="L724" s="75"/>
      <c r="M724" s="75"/>
      <c r="N724" s="74"/>
      <c r="O724" s="203"/>
      <c r="P724" s="20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</row>
    <row r="725" spans="1:28" ht="15.75" customHeight="1">
      <c r="A725" s="200"/>
      <c r="B725" s="74"/>
      <c r="C725" s="72"/>
      <c r="D725" s="73"/>
      <c r="E725" s="72"/>
      <c r="F725" s="73"/>
      <c r="G725" s="74"/>
      <c r="H725" s="202"/>
      <c r="I725" s="74"/>
      <c r="J725" s="74"/>
      <c r="K725" s="74"/>
      <c r="L725" s="75"/>
      <c r="M725" s="75"/>
      <c r="N725" s="74"/>
      <c r="O725" s="203"/>
      <c r="P725" s="20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</row>
    <row r="726" spans="1:28" ht="15.75" customHeight="1">
      <c r="A726" s="200"/>
      <c r="B726" s="74"/>
      <c r="C726" s="72"/>
      <c r="D726" s="73"/>
      <c r="E726" s="72"/>
      <c r="F726" s="73"/>
      <c r="G726" s="74"/>
      <c r="H726" s="202"/>
      <c r="I726" s="74"/>
      <c r="J726" s="74"/>
      <c r="K726" s="74"/>
      <c r="L726" s="75"/>
      <c r="M726" s="75"/>
      <c r="N726" s="74"/>
      <c r="O726" s="203"/>
      <c r="P726" s="20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</row>
    <row r="727" spans="1:28" ht="15.75" customHeight="1">
      <c r="A727" s="200"/>
      <c r="B727" s="74"/>
      <c r="C727" s="72"/>
      <c r="D727" s="73"/>
      <c r="E727" s="72"/>
      <c r="F727" s="73"/>
      <c r="G727" s="74"/>
      <c r="H727" s="202"/>
      <c r="I727" s="74"/>
      <c r="J727" s="74"/>
      <c r="K727" s="74"/>
      <c r="L727" s="75"/>
      <c r="M727" s="75"/>
      <c r="N727" s="74"/>
      <c r="O727" s="203"/>
      <c r="P727" s="20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</row>
    <row r="728" spans="1:28" ht="15.75" customHeight="1">
      <c r="A728" s="200"/>
      <c r="B728" s="74"/>
      <c r="C728" s="72"/>
      <c r="D728" s="73"/>
      <c r="E728" s="72"/>
      <c r="F728" s="73"/>
      <c r="G728" s="74"/>
      <c r="H728" s="202"/>
      <c r="I728" s="74"/>
      <c r="J728" s="74"/>
      <c r="K728" s="74"/>
      <c r="L728" s="75"/>
      <c r="M728" s="75"/>
      <c r="N728" s="74"/>
      <c r="O728" s="203"/>
      <c r="P728" s="20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</row>
    <row r="729" spans="1:28" ht="15.75" customHeight="1">
      <c r="A729" s="200"/>
      <c r="B729" s="74"/>
      <c r="C729" s="72"/>
      <c r="D729" s="73"/>
      <c r="E729" s="72"/>
      <c r="F729" s="73"/>
      <c r="G729" s="74"/>
      <c r="H729" s="202"/>
      <c r="I729" s="74"/>
      <c r="J729" s="74"/>
      <c r="K729" s="74"/>
      <c r="L729" s="75"/>
      <c r="M729" s="75"/>
      <c r="N729" s="74"/>
      <c r="O729" s="203"/>
      <c r="P729" s="20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</row>
    <row r="730" spans="1:28" ht="15.75" customHeight="1">
      <c r="A730" s="200"/>
      <c r="B730" s="74"/>
      <c r="C730" s="72"/>
      <c r="D730" s="73"/>
      <c r="E730" s="72"/>
      <c r="F730" s="73"/>
      <c r="G730" s="74"/>
      <c r="H730" s="202"/>
      <c r="I730" s="74"/>
      <c r="J730" s="74"/>
      <c r="K730" s="74"/>
      <c r="L730" s="75"/>
      <c r="M730" s="75"/>
      <c r="N730" s="74"/>
      <c r="O730" s="203"/>
      <c r="P730" s="20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</row>
    <row r="731" spans="1:28" ht="15.75" customHeight="1">
      <c r="A731" s="200"/>
      <c r="B731" s="74"/>
      <c r="C731" s="72"/>
      <c r="D731" s="73"/>
      <c r="E731" s="72"/>
      <c r="F731" s="73"/>
      <c r="G731" s="74"/>
      <c r="H731" s="202"/>
      <c r="I731" s="74"/>
      <c r="J731" s="74"/>
      <c r="K731" s="74"/>
      <c r="L731" s="75"/>
      <c r="M731" s="75"/>
      <c r="N731" s="74"/>
      <c r="O731" s="203"/>
      <c r="P731" s="20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</row>
    <row r="732" spans="1:28" ht="15.75" customHeight="1">
      <c r="A732" s="200"/>
      <c r="B732" s="74"/>
      <c r="C732" s="72"/>
      <c r="D732" s="73"/>
      <c r="E732" s="72"/>
      <c r="F732" s="73"/>
      <c r="G732" s="74"/>
      <c r="H732" s="202"/>
      <c r="I732" s="74"/>
      <c r="J732" s="74"/>
      <c r="K732" s="74"/>
      <c r="L732" s="75"/>
      <c r="M732" s="75"/>
      <c r="N732" s="74"/>
      <c r="O732" s="203"/>
      <c r="P732" s="20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</row>
    <row r="733" spans="1:28" ht="15.75" customHeight="1">
      <c r="A733" s="200"/>
      <c r="B733" s="74"/>
      <c r="C733" s="72"/>
      <c r="D733" s="73"/>
      <c r="E733" s="72"/>
      <c r="F733" s="73"/>
      <c r="G733" s="74"/>
      <c r="H733" s="202"/>
      <c r="I733" s="74"/>
      <c r="J733" s="74"/>
      <c r="K733" s="74"/>
      <c r="L733" s="75"/>
      <c r="M733" s="75"/>
      <c r="N733" s="74"/>
      <c r="O733" s="203"/>
      <c r="P733" s="20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</row>
    <row r="734" spans="1:28" ht="15.75" customHeight="1">
      <c r="A734" s="200"/>
      <c r="B734" s="74"/>
      <c r="C734" s="72"/>
      <c r="D734" s="73"/>
      <c r="E734" s="72"/>
      <c r="F734" s="73"/>
      <c r="G734" s="74"/>
      <c r="H734" s="202"/>
      <c r="I734" s="74"/>
      <c r="J734" s="74"/>
      <c r="K734" s="74"/>
      <c r="L734" s="75"/>
      <c r="M734" s="75"/>
      <c r="N734" s="74"/>
      <c r="O734" s="203"/>
      <c r="P734" s="20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</row>
    <row r="735" spans="1:28" ht="15.75" customHeight="1">
      <c r="A735" s="200"/>
      <c r="B735" s="74"/>
      <c r="C735" s="72"/>
      <c r="D735" s="73"/>
      <c r="E735" s="72"/>
      <c r="F735" s="73"/>
      <c r="G735" s="74"/>
      <c r="H735" s="202"/>
      <c r="I735" s="74"/>
      <c r="J735" s="74"/>
      <c r="K735" s="74"/>
      <c r="L735" s="75"/>
      <c r="M735" s="75"/>
      <c r="N735" s="74"/>
      <c r="O735" s="203"/>
      <c r="P735" s="20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</row>
    <row r="736" spans="1:28" ht="15.75" customHeight="1">
      <c r="A736" s="200"/>
      <c r="B736" s="74"/>
      <c r="C736" s="72"/>
      <c r="D736" s="73"/>
      <c r="E736" s="72"/>
      <c r="F736" s="73"/>
      <c r="G736" s="74"/>
      <c r="H736" s="202"/>
      <c r="I736" s="74"/>
      <c r="J736" s="74"/>
      <c r="K736" s="74"/>
      <c r="L736" s="75"/>
      <c r="M736" s="75"/>
      <c r="N736" s="74"/>
      <c r="O736" s="203"/>
      <c r="P736" s="20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</row>
    <row r="737" spans="1:28" ht="15.75" customHeight="1">
      <c r="A737" s="200"/>
      <c r="B737" s="74"/>
      <c r="C737" s="72"/>
      <c r="D737" s="73"/>
      <c r="E737" s="72"/>
      <c r="F737" s="73"/>
      <c r="G737" s="74"/>
      <c r="H737" s="202"/>
      <c r="I737" s="74"/>
      <c r="J737" s="74"/>
      <c r="K737" s="74"/>
      <c r="L737" s="75"/>
      <c r="M737" s="75"/>
      <c r="N737" s="74"/>
      <c r="O737" s="203"/>
      <c r="P737" s="20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</row>
    <row r="738" spans="1:28" ht="15.75" customHeight="1">
      <c r="A738" s="200"/>
      <c r="B738" s="74"/>
      <c r="C738" s="72"/>
      <c r="D738" s="73"/>
      <c r="E738" s="72"/>
      <c r="F738" s="73"/>
      <c r="G738" s="74"/>
      <c r="H738" s="202"/>
      <c r="I738" s="74"/>
      <c r="J738" s="74"/>
      <c r="K738" s="74"/>
      <c r="L738" s="75"/>
      <c r="M738" s="75"/>
      <c r="N738" s="74"/>
      <c r="O738" s="203"/>
      <c r="P738" s="20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</row>
    <row r="739" spans="1:28" ht="15.75" customHeight="1">
      <c r="A739" s="200"/>
      <c r="B739" s="74"/>
      <c r="C739" s="72"/>
      <c r="D739" s="73"/>
      <c r="E739" s="72"/>
      <c r="F739" s="73"/>
      <c r="G739" s="74"/>
      <c r="H739" s="202"/>
      <c r="I739" s="74"/>
      <c r="J739" s="74"/>
      <c r="K739" s="74"/>
      <c r="L739" s="75"/>
      <c r="M739" s="75"/>
      <c r="N739" s="74"/>
      <c r="O739" s="203"/>
      <c r="P739" s="20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</row>
    <row r="740" spans="1:28" ht="15.75" customHeight="1">
      <c r="A740" s="200"/>
      <c r="B740" s="74"/>
      <c r="C740" s="72"/>
      <c r="D740" s="73"/>
      <c r="E740" s="72"/>
      <c r="F740" s="73"/>
      <c r="G740" s="74"/>
      <c r="H740" s="202"/>
      <c r="I740" s="74"/>
      <c r="J740" s="74"/>
      <c r="K740" s="74"/>
      <c r="L740" s="75"/>
      <c r="M740" s="75"/>
      <c r="N740" s="74"/>
      <c r="O740" s="203"/>
      <c r="P740" s="20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</row>
    <row r="741" spans="1:28" ht="15.75" customHeight="1">
      <c r="A741" s="200"/>
      <c r="B741" s="74"/>
      <c r="C741" s="72"/>
      <c r="D741" s="73"/>
      <c r="E741" s="72"/>
      <c r="F741" s="73"/>
      <c r="G741" s="74"/>
      <c r="H741" s="202"/>
      <c r="I741" s="74"/>
      <c r="J741" s="74"/>
      <c r="K741" s="74"/>
      <c r="L741" s="75"/>
      <c r="M741" s="75"/>
      <c r="N741" s="74"/>
      <c r="O741" s="203"/>
      <c r="P741" s="20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</row>
    <row r="742" spans="1:28" ht="15.75" customHeight="1">
      <c r="A742" s="200"/>
      <c r="B742" s="74"/>
      <c r="C742" s="72"/>
      <c r="D742" s="73"/>
      <c r="E742" s="72"/>
      <c r="F742" s="73"/>
      <c r="G742" s="74"/>
      <c r="H742" s="202"/>
      <c r="I742" s="74"/>
      <c r="J742" s="74"/>
      <c r="K742" s="74"/>
      <c r="L742" s="75"/>
      <c r="M742" s="75"/>
      <c r="N742" s="74"/>
      <c r="O742" s="203"/>
      <c r="P742" s="20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</row>
    <row r="743" spans="1:28" ht="15.75" customHeight="1">
      <c r="A743" s="200"/>
      <c r="B743" s="74"/>
      <c r="C743" s="72"/>
      <c r="D743" s="73"/>
      <c r="E743" s="72"/>
      <c r="F743" s="73"/>
      <c r="G743" s="74"/>
      <c r="H743" s="202"/>
      <c r="I743" s="74"/>
      <c r="J743" s="74"/>
      <c r="K743" s="74"/>
      <c r="L743" s="75"/>
      <c r="M743" s="75"/>
      <c r="N743" s="74"/>
      <c r="O743" s="203"/>
      <c r="P743" s="20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</row>
    <row r="744" spans="1:28" ht="15.75" customHeight="1">
      <c r="A744" s="200"/>
      <c r="B744" s="74"/>
      <c r="C744" s="72"/>
      <c r="D744" s="73"/>
      <c r="E744" s="72"/>
      <c r="F744" s="73"/>
      <c r="G744" s="74"/>
      <c r="H744" s="202"/>
      <c r="I744" s="74"/>
      <c r="J744" s="74"/>
      <c r="K744" s="74"/>
      <c r="L744" s="75"/>
      <c r="M744" s="75"/>
      <c r="N744" s="74"/>
      <c r="O744" s="203"/>
      <c r="P744" s="20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</row>
    <row r="745" spans="1:28" ht="15.75" customHeight="1">
      <c r="A745" s="200"/>
      <c r="B745" s="74"/>
      <c r="C745" s="72"/>
      <c r="D745" s="73"/>
      <c r="E745" s="72"/>
      <c r="F745" s="73"/>
      <c r="G745" s="74"/>
      <c r="H745" s="202"/>
      <c r="I745" s="74"/>
      <c r="J745" s="74"/>
      <c r="K745" s="74"/>
      <c r="L745" s="75"/>
      <c r="M745" s="75"/>
      <c r="N745" s="74"/>
      <c r="O745" s="203"/>
      <c r="P745" s="20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</row>
    <row r="746" spans="1:28" ht="15.75" customHeight="1">
      <c r="A746" s="200"/>
      <c r="B746" s="74"/>
      <c r="C746" s="72"/>
      <c r="D746" s="73"/>
      <c r="E746" s="72"/>
      <c r="F746" s="73"/>
      <c r="G746" s="74"/>
      <c r="H746" s="202"/>
      <c r="I746" s="74"/>
      <c r="J746" s="74"/>
      <c r="K746" s="74"/>
      <c r="L746" s="75"/>
      <c r="M746" s="75"/>
      <c r="N746" s="74"/>
      <c r="O746" s="203"/>
      <c r="P746" s="20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</row>
    <row r="747" spans="1:28" ht="15.75" customHeight="1">
      <c r="A747" s="200"/>
      <c r="B747" s="74"/>
      <c r="C747" s="72"/>
      <c r="D747" s="73"/>
      <c r="E747" s="72"/>
      <c r="F747" s="73"/>
      <c r="G747" s="74"/>
      <c r="H747" s="202"/>
      <c r="I747" s="74"/>
      <c r="J747" s="74"/>
      <c r="K747" s="74"/>
      <c r="L747" s="75"/>
      <c r="M747" s="75"/>
      <c r="N747" s="74"/>
      <c r="O747" s="203"/>
      <c r="P747" s="20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</row>
    <row r="748" spans="1:28" ht="15.75" customHeight="1">
      <c r="A748" s="200"/>
      <c r="B748" s="74"/>
      <c r="C748" s="72"/>
      <c r="D748" s="73"/>
      <c r="E748" s="72"/>
      <c r="F748" s="73"/>
      <c r="G748" s="74"/>
      <c r="H748" s="202"/>
      <c r="I748" s="74"/>
      <c r="J748" s="74"/>
      <c r="K748" s="74"/>
      <c r="L748" s="75"/>
      <c r="M748" s="75"/>
      <c r="N748" s="74"/>
      <c r="O748" s="203"/>
      <c r="P748" s="20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</row>
    <row r="749" spans="1:28" ht="15.75" customHeight="1">
      <c r="A749" s="200"/>
      <c r="B749" s="74"/>
      <c r="C749" s="72"/>
      <c r="D749" s="73"/>
      <c r="E749" s="72"/>
      <c r="F749" s="73"/>
      <c r="G749" s="74"/>
      <c r="H749" s="202"/>
      <c r="I749" s="74"/>
      <c r="J749" s="74"/>
      <c r="K749" s="74"/>
      <c r="L749" s="75"/>
      <c r="M749" s="75"/>
      <c r="N749" s="74"/>
      <c r="O749" s="203"/>
      <c r="P749" s="20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</row>
    <row r="750" spans="1:28" ht="15.75" customHeight="1">
      <c r="A750" s="200"/>
      <c r="B750" s="74"/>
      <c r="C750" s="72"/>
      <c r="D750" s="73"/>
      <c r="E750" s="72"/>
      <c r="F750" s="73"/>
      <c r="G750" s="74"/>
      <c r="H750" s="202"/>
      <c r="I750" s="74"/>
      <c r="J750" s="74"/>
      <c r="K750" s="74"/>
      <c r="L750" s="75"/>
      <c r="M750" s="75"/>
      <c r="N750" s="74"/>
      <c r="O750" s="203"/>
      <c r="P750" s="20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</row>
    <row r="751" spans="1:28" ht="15.75" customHeight="1">
      <c r="A751" s="200"/>
      <c r="B751" s="74"/>
      <c r="C751" s="72"/>
      <c r="D751" s="73"/>
      <c r="E751" s="72"/>
      <c r="F751" s="73"/>
      <c r="G751" s="74"/>
      <c r="H751" s="202"/>
      <c r="I751" s="74"/>
      <c r="J751" s="74"/>
      <c r="K751" s="74"/>
      <c r="L751" s="75"/>
      <c r="M751" s="75"/>
      <c r="N751" s="74"/>
      <c r="O751" s="203"/>
      <c r="P751" s="20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</row>
    <row r="752" spans="1:28" ht="15.75" customHeight="1">
      <c r="A752" s="200"/>
      <c r="B752" s="74"/>
      <c r="C752" s="72"/>
      <c r="D752" s="73"/>
      <c r="E752" s="72"/>
      <c r="F752" s="73"/>
      <c r="G752" s="74"/>
      <c r="H752" s="202"/>
      <c r="I752" s="74"/>
      <c r="J752" s="74"/>
      <c r="K752" s="74"/>
      <c r="L752" s="75"/>
      <c r="M752" s="75"/>
      <c r="N752" s="74"/>
      <c r="O752" s="203"/>
      <c r="P752" s="20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</row>
    <row r="753" spans="1:28" ht="15.75" customHeight="1">
      <c r="A753" s="200"/>
      <c r="B753" s="74"/>
      <c r="C753" s="72"/>
      <c r="D753" s="73"/>
      <c r="E753" s="72"/>
      <c r="F753" s="73"/>
      <c r="G753" s="74"/>
      <c r="H753" s="202"/>
      <c r="I753" s="74"/>
      <c r="J753" s="74"/>
      <c r="K753" s="74"/>
      <c r="L753" s="75"/>
      <c r="M753" s="75"/>
      <c r="N753" s="74"/>
      <c r="O753" s="203"/>
      <c r="P753" s="20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</row>
    <row r="754" spans="1:28" ht="15.75" customHeight="1">
      <c r="A754" s="200"/>
      <c r="B754" s="74"/>
      <c r="C754" s="72"/>
      <c r="D754" s="73"/>
      <c r="E754" s="72"/>
      <c r="F754" s="73"/>
      <c r="G754" s="74"/>
      <c r="H754" s="202"/>
      <c r="I754" s="74"/>
      <c r="J754" s="74"/>
      <c r="K754" s="74"/>
      <c r="L754" s="75"/>
      <c r="M754" s="75"/>
      <c r="N754" s="74"/>
      <c r="O754" s="203"/>
      <c r="P754" s="20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</row>
    <row r="755" spans="1:28" ht="15.75" customHeight="1">
      <c r="A755" s="200"/>
      <c r="B755" s="74"/>
      <c r="C755" s="72"/>
      <c r="D755" s="73"/>
      <c r="E755" s="72"/>
      <c r="F755" s="73"/>
      <c r="G755" s="74"/>
      <c r="H755" s="202"/>
      <c r="I755" s="74"/>
      <c r="J755" s="74"/>
      <c r="K755" s="74"/>
      <c r="L755" s="75"/>
      <c r="M755" s="75"/>
      <c r="N755" s="74"/>
      <c r="O755" s="203"/>
      <c r="P755" s="20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</row>
    <row r="756" spans="1:28" ht="15.75" customHeight="1">
      <c r="A756" s="200"/>
      <c r="B756" s="74"/>
      <c r="C756" s="72"/>
      <c r="D756" s="73"/>
      <c r="E756" s="72"/>
      <c r="F756" s="73"/>
      <c r="G756" s="74"/>
      <c r="H756" s="202"/>
      <c r="I756" s="74"/>
      <c r="J756" s="74"/>
      <c r="K756" s="74"/>
      <c r="L756" s="75"/>
      <c r="M756" s="75"/>
      <c r="N756" s="74"/>
      <c r="O756" s="203"/>
      <c r="P756" s="20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</row>
    <row r="757" spans="1:28" ht="15.75" customHeight="1">
      <c r="A757" s="200"/>
      <c r="B757" s="74"/>
      <c r="C757" s="72"/>
      <c r="D757" s="73"/>
      <c r="E757" s="72"/>
      <c r="F757" s="73"/>
      <c r="G757" s="74"/>
      <c r="H757" s="202"/>
      <c r="I757" s="74"/>
      <c r="J757" s="74"/>
      <c r="K757" s="74"/>
      <c r="L757" s="75"/>
      <c r="M757" s="75"/>
      <c r="N757" s="74"/>
      <c r="O757" s="203"/>
      <c r="P757" s="20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</row>
    <row r="758" spans="1:28" ht="15.75" customHeight="1">
      <c r="A758" s="200"/>
      <c r="B758" s="74"/>
      <c r="C758" s="72"/>
      <c r="D758" s="73"/>
      <c r="E758" s="72"/>
      <c r="F758" s="73"/>
      <c r="G758" s="74"/>
      <c r="H758" s="202"/>
      <c r="I758" s="74"/>
      <c r="J758" s="74"/>
      <c r="K758" s="74"/>
      <c r="L758" s="75"/>
      <c r="M758" s="75"/>
      <c r="N758" s="74"/>
      <c r="O758" s="203"/>
      <c r="P758" s="20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</row>
    <row r="759" spans="1:28" ht="15.75" customHeight="1">
      <c r="A759" s="200"/>
      <c r="B759" s="74"/>
      <c r="C759" s="72"/>
      <c r="D759" s="73"/>
      <c r="E759" s="72"/>
      <c r="F759" s="73"/>
      <c r="G759" s="74"/>
      <c r="H759" s="202"/>
      <c r="I759" s="74"/>
      <c r="J759" s="74"/>
      <c r="K759" s="74"/>
      <c r="L759" s="75"/>
      <c r="M759" s="75"/>
      <c r="N759" s="74"/>
      <c r="O759" s="203"/>
      <c r="P759" s="20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</row>
    <row r="760" spans="1:28" ht="15.75" customHeight="1">
      <c r="A760" s="200"/>
      <c r="B760" s="74"/>
      <c r="C760" s="72"/>
      <c r="D760" s="73"/>
      <c r="E760" s="72"/>
      <c r="F760" s="73"/>
      <c r="G760" s="74"/>
      <c r="H760" s="202"/>
      <c r="I760" s="74"/>
      <c r="J760" s="74"/>
      <c r="K760" s="74"/>
      <c r="L760" s="75"/>
      <c r="M760" s="75"/>
      <c r="N760" s="74"/>
      <c r="O760" s="203"/>
      <c r="P760" s="20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</row>
    <row r="761" spans="1:28" ht="15.75" customHeight="1">
      <c r="A761" s="200"/>
      <c r="B761" s="74"/>
      <c r="C761" s="72"/>
      <c r="D761" s="73"/>
      <c r="E761" s="72"/>
      <c r="F761" s="73"/>
      <c r="G761" s="74"/>
      <c r="H761" s="202"/>
      <c r="I761" s="74"/>
      <c r="J761" s="74"/>
      <c r="K761" s="74"/>
      <c r="L761" s="75"/>
      <c r="M761" s="75"/>
      <c r="N761" s="74"/>
      <c r="O761" s="203"/>
      <c r="P761" s="20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</row>
    <row r="762" spans="1:28" ht="15.75" customHeight="1">
      <c r="A762" s="200"/>
      <c r="B762" s="74"/>
      <c r="C762" s="72"/>
      <c r="D762" s="73"/>
      <c r="E762" s="72"/>
      <c r="F762" s="73"/>
      <c r="G762" s="74"/>
      <c r="H762" s="202"/>
      <c r="I762" s="74"/>
      <c r="J762" s="74"/>
      <c r="K762" s="74"/>
      <c r="L762" s="75"/>
      <c r="M762" s="75"/>
      <c r="N762" s="74"/>
      <c r="O762" s="203"/>
      <c r="P762" s="20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</row>
    <row r="763" spans="1:28" ht="15.75" customHeight="1">
      <c r="A763" s="200"/>
      <c r="B763" s="74"/>
      <c r="C763" s="72"/>
      <c r="D763" s="73"/>
      <c r="E763" s="72"/>
      <c r="F763" s="73"/>
      <c r="G763" s="74"/>
      <c r="H763" s="202"/>
      <c r="I763" s="74"/>
      <c r="J763" s="74"/>
      <c r="K763" s="74"/>
      <c r="L763" s="75"/>
      <c r="M763" s="75"/>
      <c r="N763" s="74"/>
      <c r="O763" s="203"/>
      <c r="P763" s="20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</row>
    <row r="764" spans="1:28" ht="15.75" customHeight="1">
      <c r="A764" s="200"/>
      <c r="B764" s="74"/>
      <c r="C764" s="72"/>
      <c r="D764" s="73"/>
      <c r="E764" s="72"/>
      <c r="F764" s="73"/>
      <c r="G764" s="74"/>
      <c r="H764" s="202"/>
      <c r="I764" s="74"/>
      <c r="J764" s="74"/>
      <c r="K764" s="74"/>
      <c r="L764" s="75"/>
      <c r="M764" s="75"/>
      <c r="N764" s="74"/>
      <c r="O764" s="203"/>
      <c r="P764" s="20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</row>
    <row r="765" spans="1:28" ht="15.75" customHeight="1">
      <c r="A765" s="200"/>
      <c r="B765" s="74"/>
      <c r="C765" s="72"/>
      <c r="D765" s="73"/>
      <c r="E765" s="72"/>
      <c r="F765" s="73"/>
      <c r="G765" s="74"/>
      <c r="H765" s="202"/>
      <c r="I765" s="74"/>
      <c r="J765" s="74"/>
      <c r="K765" s="74"/>
      <c r="L765" s="75"/>
      <c r="M765" s="75"/>
      <c r="N765" s="74"/>
      <c r="O765" s="203"/>
      <c r="P765" s="20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</row>
    <row r="766" spans="1:28" ht="15.75" customHeight="1">
      <c r="A766" s="200"/>
      <c r="B766" s="74"/>
      <c r="C766" s="72"/>
      <c r="D766" s="73"/>
      <c r="E766" s="72"/>
      <c r="F766" s="73"/>
      <c r="G766" s="74"/>
      <c r="H766" s="202"/>
      <c r="I766" s="74"/>
      <c r="J766" s="74"/>
      <c r="K766" s="74"/>
      <c r="L766" s="75"/>
      <c r="M766" s="75"/>
      <c r="N766" s="74"/>
      <c r="O766" s="203"/>
      <c r="P766" s="20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</row>
    <row r="767" spans="1:28" ht="15.75" customHeight="1">
      <c r="A767" s="200"/>
      <c r="B767" s="74"/>
      <c r="C767" s="72"/>
      <c r="D767" s="73"/>
      <c r="E767" s="72"/>
      <c r="F767" s="73"/>
      <c r="G767" s="74"/>
      <c r="H767" s="202"/>
      <c r="I767" s="74"/>
      <c r="J767" s="74"/>
      <c r="K767" s="74"/>
      <c r="L767" s="75"/>
      <c r="M767" s="75"/>
      <c r="N767" s="74"/>
      <c r="O767" s="203"/>
      <c r="P767" s="20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</row>
    <row r="768" spans="1:28" ht="15.75" customHeight="1">
      <c r="A768" s="200"/>
      <c r="B768" s="74"/>
      <c r="C768" s="72"/>
      <c r="D768" s="73"/>
      <c r="E768" s="72"/>
      <c r="F768" s="73"/>
      <c r="G768" s="74"/>
      <c r="H768" s="202"/>
      <c r="I768" s="74"/>
      <c r="J768" s="74"/>
      <c r="K768" s="74"/>
      <c r="L768" s="75"/>
      <c r="M768" s="75"/>
      <c r="N768" s="74"/>
      <c r="O768" s="203"/>
      <c r="P768" s="20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</row>
    <row r="769" spans="1:28" ht="15.75" customHeight="1">
      <c r="A769" s="200"/>
      <c r="B769" s="74"/>
      <c r="C769" s="72"/>
      <c r="D769" s="73"/>
      <c r="E769" s="72"/>
      <c r="F769" s="73"/>
      <c r="G769" s="74"/>
      <c r="H769" s="202"/>
      <c r="I769" s="74"/>
      <c r="J769" s="74"/>
      <c r="K769" s="74"/>
      <c r="L769" s="75"/>
      <c r="M769" s="75"/>
      <c r="N769" s="74"/>
      <c r="O769" s="203"/>
      <c r="P769" s="20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</row>
    <row r="770" spans="1:28" ht="15.75" customHeight="1">
      <c r="A770" s="200"/>
      <c r="B770" s="74"/>
      <c r="C770" s="72"/>
      <c r="D770" s="73"/>
      <c r="E770" s="72"/>
      <c r="F770" s="73"/>
      <c r="G770" s="74"/>
      <c r="H770" s="202"/>
      <c r="I770" s="74"/>
      <c r="J770" s="74"/>
      <c r="K770" s="74"/>
      <c r="L770" s="75"/>
      <c r="M770" s="75"/>
      <c r="N770" s="74"/>
      <c r="O770" s="203"/>
      <c r="P770" s="20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</row>
    <row r="771" spans="1:28" ht="15.75" customHeight="1">
      <c r="A771" s="200"/>
      <c r="B771" s="74"/>
      <c r="C771" s="72"/>
      <c r="D771" s="73"/>
      <c r="E771" s="72"/>
      <c r="F771" s="73"/>
      <c r="G771" s="74"/>
      <c r="H771" s="202"/>
      <c r="I771" s="74"/>
      <c r="J771" s="74"/>
      <c r="K771" s="74"/>
      <c r="L771" s="75"/>
      <c r="M771" s="75"/>
      <c r="N771" s="74"/>
      <c r="O771" s="203"/>
      <c r="P771" s="20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</row>
    <row r="772" spans="1:28" ht="15.75" customHeight="1">
      <c r="A772" s="200"/>
      <c r="B772" s="74"/>
      <c r="C772" s="72"/>
      <c r="D772" s="73"/>
      <c r="E772" s="72"/>
      <c r="F772" s="73"/>
      <c r="G772" s="74"/>
      <c r="H772" s="202"/>
      <c r="I772" s="74"/>
      <c r="J772" s="74"/>
      <c r="K772" s="74"/>
      <c r="L772" s="75"/>
      <c r="M772" s="75"/>
      <c r="N772" s="74"/>
      <c r="O772" s="203"/>
      <c r="P772" s="20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</row>
    <row r="773" spans="1:28" ht="15.75" customHeight="1">
      <c r="A773" s="200"/>
      <c r="B773" s="74"/>
      <c r="C773" s="72"/>
      <c r="D773" s="73"/>
      <c r="E773" s="72"/>
      <c r="F773" s="73"/>
      <c r="G773" s="74"/>
      <c r="H773" s="202"/>
      <c r="I773" s="74"/>
      <c r="J773" s="74"/>
      <c r="K773" s="74"/>
      <c r="L773" s="75"/>
      <c r="M773" s="75"/>
      <c r="N773" s="74"/>
      <c r="O773" s="203"/>
      <c r="P773" s="20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</row>
    <row r="774" spans="1:28" ht="15.75" customHeight="1">
      <c r="A774" s="200"/>
      <c r="B774" s="74"/>
      <c r="C774" s="72"/>
      <c r="D774" s="73"/>
      <c r="E774" s="72"/>
      <c r="F774" s="73"/>
      <c r="G774" s="74"/>
      <c r="H774" s="202"/>
      <c r="I774" s="74"/>
      <c r="J774" s="74"/>
      <c r="K774" s="74"/>
      <c r="L774" s="75"/>
      <c r="M774" s="75"/>
      <c r="N774" s="74"/>
      <c r="O774" s="203"/>
      <c r="P774" s="20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</row>
    <row r="775" spans="1:28" ht="15.75" customHeight="1">
      <c r="A775" s="200"/>
      <c r="B775" s="74"/>
      <c r="C775" s="72"/>
      <c r="D775" s="73"/>
      <c r="E775" s="72"/>
      <c r="F775" s="73"/>
      <c r="G775" s="74"/>
      <c r="H775" s="202"/>
      <c r="I775" s="74"/>
      <c r="J775" s="74"/>
      <c r="K775" s="74"/>
      <c r="L775" s="75"/>
      <c r="M775" s="75"/>
      <c r="N775" s="74"/>
      <c r="O775" s="203"/>
      <c r="P775" s="20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</row>
    <row r="776" spans="1:28" ht="15.75" customHeight="1">
      <c r="A776" s="200"/>
      <c r="B776" s="74"/>
      <c r="C776" s="72"/>
      <c r="D776" s="73"/>
      <c r="E776" s="72"/>
      <c r="F776" s="73"/>
      <c r="G776" s="74"/>
      <c r="H776" s="202"/>
      <c r="I776" s="74"/>
      <c r="J776" s="74"/>
      <c r="K776" s="74"/>
      <c r="L776" s="75"/>
      <c r="M776" s="75"/>
      <c r="N776" s="74"/>
      <c r="O776" s="203"/>
      <c r="P776" s="20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</row>
    <row r="777" spans="1:28" ht="15.75" customHeight="1">
      <c r="A777" s="200"/>
      <c r="B777" s="74"/>
      <c r="C777" s="72"/>
      <c r="D777" s="73"/>
      <c r="E777" s="72"/>
      <c r="F777" s="73"/>
      <c r="G777" s="74"/>
      <c r="H777" s="202"/>
      <c r="I777" s="74"/>
      <c r="J777" s="74"/>
      <c r="K777" s="74"/>
      <c r="L777" s="75"/>
      <c r="M777" s="75"/>
      <c r="N777" s="74"/>
      <c r="O777" s="203"/>
      <c r="P777" s="20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</row>
    <row r="778" spans="1:28" ht="15.75" customHeight="1">
      <c r="A778" s="200"/>
      <c r="B778" s="74"/>
      <c r="C778" s="72"/>
      <c r="D778" s="73"/>
      <c r="E778" s="72"/>
      <c r="F778" s="73"/>
      <c r="G778" s="74"/>
      <c r="H778" s="202"/>
      <c r="I778" s="74"/>
      <c r="J778" s="74"/>
      <c r="K778" s="74"/>
      <c r="L778" s="75"/>
      <c r="M778" s="75"/>
      <c r="N778" s="74"/>
      <c r="O778" s="203"/>
      <c r="P778" s="20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</row>
    <row r="779" spans="1:28" ht="15.75" customHeight="1">
      <c r="A779" s="200"/>
      <c r="B779" s="74"/>
      <c r="C779" s="72"/>
      <c r="D779" s="73"/>
      <c r="E779" s="72"/>
      <c r="F779" s="73"/>
      <c r="G779" s="74"/>
      <c r="H779" s="202"/>
      <c r="I779" s="74"/>
      <c r="J779" s="74"/>
      <c r="K779" s="74"/>
      <c r="L779" s="75"/>
      <c r="M779" s="75"/>
      <c r="N779" s="74"/>
      <c r="O779" s="203"/>
      <c r="P779" s="20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</row>
    <row r="780" spans="1:28" ht="15.75" customHeight="1">
      <c r="A780" s="200"/>
      <c r="B780" s="74"/>
      <c r="C780" s="72"/>
      <c r="D780" s="73"/>
      <c r="E780" s="72"/>
      <c r="F780" s="73"/>
      <c r="G780" s="74"/>
      <c r="H780" s="202"/>
      <c r="I780" s="74"/>
      <c r="J780" s="74"/>
      <c r="K780" s="74"/>
      <c r="L780" s="75"/>
      <c r="M780" s="75"/>
      <c r="N780" s="74"/>
      <c r="O780" s="203"/>
      <c r="P780" s="20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</row>
    <row r="781" spans="1:28" ht="15.75" customHeight="1">
      <c r="A781" s="200"/>
      <c r="B781" s="74"/>
      <c r="C781" s="72"/>
      <c r="D781" s="73"/>
      <c r="E781" s="72"/>
      <c r="F781" s="73"/>
      <c r="G781" s="74"/>
      <c r="H781" s="202"/>
      <c r="I781" s="74"/>
      <c r="J781" s="74"/>
      <c r="K781" s="74"/>
      <c r="L781" s="75"/>
      <c r="M781" s="75"/>
      <c r="N781" s="74"/>
      <c r="O781" s="203"/>
      <c r="P781" s="20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</row>
    <row r="782" spans="1:28" ht="15.75" customHeight="1">
      <c r="A782" s="200"/>
      <c r="B782" s="74"/>
      <c r="C782" s="72"/>
      <c r="D782" s="73"/>
      <c r="E782" s="72"/>
      <c r="F782" s="73"/>
      <c r="G782" s="74"/>
      <c r="H782" s="202"/>
      <c r="I782" s="74"/>
      <c r="J782" s="74"/>
      <c r="K782" s="74"/>
      <c r="L782" s="75"/>
      <c r="M782" s="75"/>
      <c r="N782" s="74"/>
      <c r="O782" s="203"/>
      <c r="P782" s="20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</row>
    <row r="783" spans="1:28" ht="15.75" customHeight="1">
      <c r="A783" s="200"/>
      <c r="B783" s="74"/>
      <c r="C783" s="72"/>
      <c r="D783" s="73"/>
      <c r="E783" s="72"/>
      <c r="F783" s="73"/>
      <c r="G783" s="74"/>
      <c r="H783" s="202"/>
      <c r="I783" s="74"/>
      <c r="J783" s="74"/>
      <c r="K783" s="74"/>
      <c r="L783" s="75"/>
      <c r="M783" s="75"/>
      <c r="N783" s="74"/>
      <c r="O783" s="203"/>
      <c r="P783" s="20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</row>
    <row r="784" spans="1:28" ht="15.75" customHeight="1">
      <c r="A784" s="200"/>
      <c r="B784" s="74"/>
      <c r="C784" s="72"/>
      <c r="D784" s="73"/>
      <c r="E784" s="72"/>
      <c r="F784" s="73"/>
      <c r="G784" s="74"/>
      <c r="H784" s="202"/>
      <c r="I784" s="74"/>
      <c r="J784" s="74"/>
      <c r="K784" s="74"/>
      <c r="L784" s="75"/>
      <c r="M784" s="75"/>
      <c r="N784" s="74"/>
      <c r="O784" s="203"/>
      <c r="P784" s="20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</row>
    <row r="785" spans="1:28" ht="15.75" customHeight="1">
      <c r="A785" s="200"/>
      <c r="B785" s="74"/>
      <c r="C785" s="72"/>
      <c r="D785" s="73"/>
      <c r="E785" s="72"/>
      <c r="F785" s="73"/>
      <c r="G785" s="74"/>
      <c r="H785" s="202"/>
      <c r="I785" s="74"/>
      <c r="J785" s="74"/>
      <c r="K785" s="74"/>
      <c r="L785" s="75"/>
      <c r="M785" s="75"/>
      <c r="N785" s="74"/>
      <c r="O785" s="203"/>
      <c r="P785" s="20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</row>
    <row r="786" spans="1:28" ht="15.75" customHeight="1">
      <c r="A786" s="200"/>
      <c r="B786" s="74"/>
      <c r="C786" s="72"/>
      <c r="D786" s="73"/>
      <c r="E786" s="72"/>
      <c r="F786" s="73"/>
      <c r="G786" s="74"/>
      <c r="H786" s="202"/>
      <c r="I786" s="74"/>
      <c r="J786" s="74"/>
      <c r="K786" s="74"/>
      <c r="L786" s="75"/>
      <c r="M786" s="75"/>
      <c r="N786" s="74"/>
      <c r="O786" s="203"/>
      <c r="P786" s="20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</row>
    <row r="787" spans="1:28" ht="15.75" customHeight="1">
      <c r="A787" s="200"/>
      <c r="B787" s="74"/>
      <c r="C787" s="72"/>
      <c r="D787" s="73"/>
      <c r="E787" s="72"/>
      <c r="F787" s="73"/>
      <c r="G787" s="74"/>
      <c r="H787" s="202"/>
      <c r="I787" s="74"/>
      <c r="J787" s="74"/>
      <c r="K787" s="74"/>
      <c r="L787" s="75"/>
      <c r="M787" s="75"/>
      <c r="N787" s="74"/>
      <c r="O787" s="203"/>
      <c r="P787" s="20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</row>
    <row r="788" spans="1:28" ht="15.75" customHeight="1">
      <c r="A788" s="200"/>
      <c r="B788" s="74"/>
      <c r="C788" s="72"/>
      <c r="D788" s="73"/>
      <c r="E788" s="72"/>
      <c r="F788" s="73"/>
      <c r="G788" s="74"/>
      <c r="H788" s="202"/>
      <c r="I788" s="74"/>
      <c r="J788" s="74"/>
      <c r="K788" s="74"/>
      <c r="L788" s="75"/>
      <c r="M788" s="75"/>
      <c r="N788" s="74"/>
      <c r="O788" s="203"/>
      <c r="P788" s="20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</row>
    <row r="789" spans="1:28" ht="15.75" customHeight="1">
      <c r="A789" s="200"/>
      <c r="B789" s="74"/>
      <c r="C789" s="72"/>
      <c r="D789" s="73"/>
      <c r="E789" s="72"/>
      <c r="F789" s="73"/>
      <c r="G789" s="74"/>
      <c r="H789" s="202"/>
      <c r="I789" s="74"/>
      <c r="J789" s="74"/>
      <c r="K789" s="74"/>
      <c r="L789" s="75"/>
      <c r="M789" s="75"/>
      <c r="N789" s="74"/>
      <c r="O789" s="203"/>
      <c r="P789" s="20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</row>
    <row r="790" spans="1:28" ht="15.75" customHeight="1">
      <c r="A790" s="200"/>
      <c r="B790" s="74"/>
      <c r="C790" s="72"/>
      <c r="D790" s="73"/>
      <c r="E790" s="72"/>
      <c r="F790" s="73"/>
      <c r="G790" s="74"/>
      <c r="H790" s="202"/>
      <c r="I790" s="74"/>
      <c r="J790" s="74"/>
      <c r="K790" s="74"/>
      <c r="L790" s="75"/>
      <c r="M790" s="75"/>
      <c r="N790" s="74"/>
      <c r="O790" s="203"/>
      <c r="P790" s="20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</row>
    <row r="791" spans="1:28" ht="15.75" customHeight="1">
      <c r="A791" s="200"/>
      <c r="B791" s="74"/>
      <c r="C791" s="72"/>
      <c r="D791" s="73"/>
      <c r="E791" s="72"/>
      <c r="F791" s="73"/>
      <c r="G791" s="74"/>
      <c r="H791" s="202"/>
      <c r="I791" s="74"/>
      <c r="J791" s="74"/>
      <c r="K791" s="74"/>
      <c r="L791" s="75"/>
      <c r="M791" s="75"/>
      <c r="N791" s="74"/>
      <c r="O791" s="203"/>
      <c r="P791" s="20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</row>
    <row r="792" spans="1:28" ht="15.75" customHeight="1">
      <c r="A792" s="200"/>
      <c r="B792" s="74"/>
      <c r="C792" s="72"/>
      <c r="D792" s="73"/>
      <c r="E792" s="72"/>
      <c r="F792" s="73"/>
      <c r="G792" s="74"/>
      <c r="H792" s="202"/>
      <c r="I792" s="74"/>
      <c r="J792" s="74"/>
      <c r="K792" s="74"/>
      <c r="L792" s="75"/>
      <c r="M792" s="75"/>
      <c r="N792" s="74"/>
      <c r="O792" s="203"/>
      <c r="P792" s="20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</row>
    <row r="793" spans="1:28" ht="15.75" customHeight="1">
      <c r="A793" s="200"/>
      <c r="B793" s="74"/>
      <c r="C793" s="72"/>
      <c r="D793" s="73"/>
      <c r="E793" s="72"/>
      <c r="F793" s="73"/>
      <c r="G793" s="74"/>
      <c r="H793" s="202"/>
      <c r="I793" s="74"/>
      <c r="J793" s="74"/>
      <c r="K793" s="74"/>
      <c r="L793" s="75"/>
      <c r="M793" s="75"/>
      <c r="N793" s="74"/>
      <c r="O793" s="203"/>
      <c r="P793" s="20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</row>
    <row r="794" spans="1:28" ht="15.75" customHeight="1">
      <c r="A794" s="200"/>
      <c r="B794" s="74"/>
      <c r="C794" s="72"/>
      <c r="D794" s="73"/>
      <c r="E794" s="72"/>
      <c r="F794" s="73"/>
      <c r="G794" s="74"/>
      <c r="H794" s="202"/>
      <c r="I794" s="74"/>
      <c r="J794" s="74"/>
      <c r="K794" s="74"/>
      <c r="L794" s="75"/>
      <c r="M794" s="75"/>
      <c r="N794" s="74"/>
      <c r="O794" s="203"/>
      <c r="P794" s="20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</row>
    <row r="795" spans="1:28" ht="15.75" customHeight="1">
      <c r="A795" s="200"/>
      <c r="B795" s="74"/>
      <c r="C795" s="72"/>
      <c r="D795" s="73"/>
      <c r="E795" s="72"/>
      <c r="F795" s="73"/>
      <c r="G795" s="74"/>
      <c r="H795" s="202"/>
      <c r="I795" s="74"/>
      <c r="J795" s="74"/>
      <c r="K795" s="74"/>
      <c r="L795" s="75"/>
      <c r="M795" s="75"/>
      <c r="N795" s="74"/>
      <c r="O795" s="203"/>
      <c r="P795" s="20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</row>
    <row r="796" spans="1:28" ht="15.75" customHeight="1">
      <c r="A796" s="200"/>
      <c r="B796" s="74"/>
      <c r="C796" s="72"/>
      <c r="D796" s="73"/>
      <c r="E796" s="72"/>
      <c r="F796" s="73"/>
      <c r="G796" s="74"/>
      <c r="H796" s="202"/>
      <c r="I796" s="74"/>
      <c r="J796" s="74"/>
      <c r="K796" s="74"/>
      <c r="L796" s="75"/>
      <c r="M796" s="75"/>
      <c r="N796" s="74"/>
      <c r="O796" s="203"/>
      <c r="P796" s="20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</row>
    <row r="797" spans="1:28" ht="15.75" customHeight="1">
      <c r="A797" s="200"/>
      <c r="B797" s="74"/>
      <c r="C797" s="72"/>
      <c r="D797" s="73"/>
      <c r="E797" s="72"/>
      <c r="F797" s="73"/>
      <c r="G797" s="74"/>
      <c r="H797" s="202"/>
      <c r="I797" s="74"/>
      <c r="J797" s="74"/>
      <c r="K797" s="74"/>
      <c r="L797" s="75"/>
      <c r="M797" s="75"/>
      <c r="N797" s="74"/>
      <c r="O797" s="203"/>
      <c r="P797" s="20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</row>
    <row r="798" spans="1:28" ht="15.75" customHeight="1">
      <c r="A798" s="200"/>
      <c r="B798" s="74"/>
      <c r="C798" s="72"/>
      <c r="D798" s="73"/>
      <c r="E798" s="72"/>
      <c r="F798" s="73"/>
      <c r="G798" s="74"/>
      <c r="H798" s="202"/>
      <c r="I798" s="74"/>
      <c r="J798" s="74"/>
      <c r="K798" s="74"/>
      <c r="L798" s="75"/>
      <c r="M798" s="75"/>
      <c r="N798" s="74"/>
      <c r="O798" s="203"/>
      <c r="P798" s="20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</row>
    <row r="799" spans="1:28" ht="15.75" customHeight="1">
      <c r="A799" s="200"/>
      <c r="B799" s="74"/>
      <c r="C799" s="72"/>
      <c r="D799" s="73"/>
      <c r="E799" s="72"/>
      <c r="F799" s="73"/>
      <c r="G799" s="74"/>
      <c r="H799" s="202"/>
      <c r="I799" s="74"/>
      <c r="J799" s="74"/>
      <c r="K799" s="74"/>
      <c r="L799" s="75"/>
      <c r="M799" s="75"/>
      <c r="N799" s="74"/>
      <c r="O799" s="203"/>
      <c r="P799" s="20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</row>
    <row r="800" spans="1:28" ht="15.75" customHeight="1">
      <c r="A800" s="200"/>
      <c r="B800" s="74"/>
      <c r="C800" s="72"/>
      <c r="D800" s="73"/>
      <c r="E800" s="72"/>
      <c r="F800" s="73"/>
      <c r="G800" s="74"/>
      <c r="H800" s="202"/>
      <c r="I800" s="74"/>
      <c r="J800" s="74"/>
      <c r="K800" s="74"/>
      <c r="L800" s="75"/>
      <c r="M800" s="75"/>
      <c r="N800" s="74"/>
      <c r="O800" s="203"/>
      <c r="P800" s="20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</row>
    <row r="801" spans="1:28" ht="15.75" customHeight="1">
      <c r="A801" s="200"/>
      <c r="B801" s="74"/>
      <c r="C801" s="72"/>
      <c r="D801" s="73"/>
      <c r="E801" s="72"/>
      <c r="F801" s="73"/>
      <c r="G801" s="74"/>
      <c r="H801" s="202"/>
      <c r="I801" s="74"/>
      <c r="J801" s="74"/>
      <c r="K801" s="74"/>
      <c r="L801" s="75"/>
      <c r="M801" s="75"/>
      <c r="N801" s="74"/>
      <c r="O801" s="203"/>
      <c r="P801" s="20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</row>
    <row r="802" spans="1:28" ht="15.75" customHeight="1">
      <c r="A802" s="200"/>
      <c r="B802" s="74"/>
      <c r="C802" s="72"/>
      <c r="D802" s="73"/>
      <c r="E802" s="72"/>
      <c r="F802" s="73"/>
      <c r="G802" s="74"/>
      <c r="H802" s="202"/>
      <c r="I802" s="74"/>
      <c r="J802" s="74"/>
      <c r="K802" s="74"/>
      <c r="L802" s="75"/>
      <c r="M802" s="75"/>
      <c r="N802" s="74"/>
      <c r="O802" s="203"/>
      <c r="P802" s="20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</row>
    <row r="803" spans="1:28" ht="15.75" customHeight="1">
      <c r="A803" s="200"/>
      <c r="B803" s="74"/>
      <c r="C803" s="72"/>
      <c r="D803" s="73"/>
      <c r="E803" s="72"/>
      <c r="F803" s="73"/>
      <c r="G803" s="74"/>
      <c r="H803" s="202"/>
      <c r="I803" s="74"/>
      <c r="J803" s="74"/>
      <c r="K803" s="74"/>
      <c r="L803" s="75"/>
      <c r="M803" s="75"/>
      <c r="N803" s="74"/>
      <c r="O803" s="203"/>
      <c r="P803" s="20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</row>
    <row r="804" spans="1:28" ht="15.75" customHeight="1">
      <c r="A804" s="200"/>
      <c r="B804" s="74"/>
      <c r="C804" s="72"/>
      <c r="D804" s="73"/>
      <c r="E804" s="72"/>
      <c r="F804" s="73"/>
      <c r="G804" s="74"/>
      <c r="H804" s="202"/>
      <c r="I804" s="74"/>
      <c r="J804" s="74"/>
      <c r="K804" s="74"/>
      <c r="L804" s="75"/>
      <c r="M804" s="75"/>
      <c r="N804" s="74"/>
      <c r="O804" s="203"/>
      <c r="P804" s="20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</row>
    <row r="805" spans="1:28" ht="15.75" customHeight="1">
      <c r="A805" s="200"/>
      <c r="B805" s="74"/>
      <c r="C805" s="72"/>
      <c r="D805" s="73"/>
      <c r="E805" s="72"/>
      <c r="F805" s="73"/>
      <c r="G805" s="74"/>
      <c r="H805" s="202"/>
      <c r="I805" s="74"/>
      <c r="J805" s="74"/>
      <c r="K805" s="74"/>
      <c r="L805" s="75"/>
      <c r="M805" s="75"/>
      <c r="N805" s="74"/>
      <c r="O805" s="203"/>
      <c r="P805" s="20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</row>
    <row r="806" spans="1:28" ht="15.75" customHeight="1">
      <c r="A806" s="200"/>
      <c r="B806" s="74"/>
      <c r="C806" s="72"/>
      <c r="D806" s="73"/>
      <c r="E806" s="72"/>
      <c r="F806" s="73"/>
      <c r="G806" s="74"/>
      <c r="H806" s="202"/>
      <c r="I806" s="74"/>
      <c r="J806" s="74"/>
      <c r="K806" s="74"/>
      <c r="L806" s="75"/>
      <c r="M806" s="75"/>
      <c r="N806" s="74"/>
      <c r="O806" s="203"/>
      <c r="P806" s="20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</row>
    <row r="807" spans="1:28" ht="15.75" customHeight="1">
      <c r="A807" s="200"/>
      <c r="B807" s="74"/>
      <c r="C807" s="72"/>
      <c r="D807" s="73"/>
      <c r="E807" s="72"/>
      <c r="F807" s="73"/>
      <c r="G807" s="74"/>
      <c r="H807" s="202"/>
      <c r="I807" s="74"/>
      <c r="J807" s="74"/>
      <c r="K807" s="74"/>
      <c r="L807" s="75"/>
      <c r="M807" s="75"/>
      <c r="N807" s="74"/>
      <c r="O807" s="203"/>
      <c r="P807" s="20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</row>
    <row r="808" spans="1:28" ht="15.75" customHeight="1">
      <c r="A808" s="200"/>
      <c r="B808" s="74"/>
      <c r="C808" s="72"/>
      <c r="D808" s="73"/>
      <c r="E808" s="72"/>
      <c r="F808" s="73"/>
      <c r="G808" s="74"/>
      <c r="H808" s="202"/>
      <c r="I808" s="74"/>
      <c r="J808" s="74"/>
      <c r="K808" s="74"/>
      <c r="L808" s="75"/>
      <c r="M808" s="75"/>
      <c r="N808" s="74"/>
      <c r="O808" s="203"/>
      <c r="P808" s="20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</row>
    <row r="809" spans="1:28" ht="15.75" customHeight="1">
      <c r="A809" s="200"/>
      <c r="B809" s="74"/>
      <c r="C809" s="72"/>
      <c r="D809" s="73"/>
      <c r="E809" s="72"/>
      <c r="F809" s="73"/>
      <c r="G809" s="74"/>
      <c r="H809" s="202"/>
      <c r="I809" s="74"/>
      <c r="J809" s="74"/>
      <c r="K809" s="74"/>
      <c r="L809" s="75"/>
      <c r="M809" s="75"/>
      <c r="N809" s="74"/>
      <c r="O809" s="203"/>
      <c r="P809" s="20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</row>
    <row r="810" spans="1:28" ht="15.75" customHeight="1">
      <c r="A810" s="200"/>
      <c r="B810" s="74"/>
      <c r="C810" s="72"/>
      <c r="D810" s="73"/>
      <c r="E810" s="72"/>
      <c r="F810" s="73"/>
      <c r="G810" s="74"/>
      <c r="H810" s="202"/>
      <c r="I810" s="74"/>
      <c r="J810" s="74"/>
      <c r="K810" s="74"/>
      <c r="L810" s="75"/>
      <c r="M810" s="75"/>
      <c r="N810" s="74"/>
      <c r="O810" s="203"/>
      <c r="P810" s="20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</row>
    <row r="811" spans="1:28" ht="15.75" customHeight="1">
      <c r="A811" s="200"/>
      <c r="B811" s="74"/>
      <c r="C811" s="72"/>
      <c r="D811" s="73"/>
      <c r="E811" s="72"/>
      <c r="F811" s="73"/>
      <c r="G811" s="74"/>
      <c r="H811" s="202"/>
      <c r="I811" s="74"/>
      <c r="J811" s="74"/>
      <c r="K811" s="74"/>
      <c r="L811" s="75"/>
      <c r="M811" s="75"/>
      <c r="N811" s="74"/>
      <c r="O811" s="203"/>
      <c r="P811" s="20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</row>
    <row r="812" spans="1:28" ht="15.75" customHeight="1">
      <c r="A812" s="200"/>
      <c r="B812" s="74"/>
      <c r="C812" s="72"/>
      <c r="D812" s="73"/>
      <c r="E812" s="72"/>
      <c r="F812" s="73"/>
      <c r="G812" s="74"/>
      <c r="H812" s="202"/>
      <c r="I812" s="74"/>
      <c r="J812" s="74"/>
      <c r="K812" s="74"/>
      <c r="L812" s="75"/>
      <c r="M812" s="75"/>
      <c r="N812" s="74"/>
      <c r="O812" s="203"/>
      <c r="P812" s="20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</row>
    <row r="813" spans="1:28" ht="15.75" customHeight="1">
      <c r="A813" s="200"/>
      <c r="B813" s="74"/>
      <c r="C813" s="72"/>
      <c r="D813" s="73"/>
      <c r="E813" s="72"/>
      <c r="F813" s="73"/>
      <c r="G813" s="74"/>
      <c r="H813" s="202"/>
      <c r="I813" s="74"/>
      <c r="J813" s="74"/>
      <c r="K813" s="74"/>
      <c r="L813" s="75"/>
      <c r="M813" s="75"/>
      <c r="N813" s="74"/>
      <c r="O813" s="203"/>
      <c r="P813" s="20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</row>
    <row r="814" spans="1:28" ht="15.75" customHeight="1">
      <c r="A814" s="200"/>
      <c r="B814" s="74"/>
      <c r="C814" s="72"/>
      <c r="D814" s="73"/>
      <c r="E814" s="72"/>
      <c r="F814" s="73"/>
      <c r="G814" s="74"/>
      <c r="H814" s="202"/>
      <c r="I814" s="74"/>
      <c r="J814" s="74"/>
      <c r="K814" s="74"/>
      <c r="L814" s="75"/>
      <c r="M814" s="75"/>
      <c r="N814" s="74"/>
      <c r="O814" s="203"/>
      <c r="P814" s="20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</row>
    <row r="815" spans="1:28" ht="15.75" customHeight="1">
      <c r="A815" s="200"/>
      <c r="B815" s="74"/>
      <c r="C815" s="72"/>
      <c r="D815" s="73"/>
      <c r="E815" s="72"/>
      <c r="F815" s="73"/>
      <c r="G815" s="74"/>
      <c r="H815" s="202"/>
      <c r="I815" s="74"/>
      <c r="J815" s="74"/>
      <c r="K815" s="74"/>
      <c r="L815" s="75"/>
      <c r="M815" s="75"/>
      <c r="N815" s="74"/>
      <c r="O815" s="203"/>
      <c r="P815" s="20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</row>
    <row r="816" spans="1:28" ht="15.75" customHeight="1">
      <c r="A816" s="200"/>
      <c r="B816" s="74"/>
      <c r="C816" s="72"/>
      <c r="D816" s="73"/>
      <c r="E816" s="72"/>
      <c r="F816" s="73"/>
      <c r="G816" s="74"/>
      <c r="H816" s="202"/>
      <c r="I816" s="74"/>
      <c r="J816" s="74"/>
      <c r="K816" s="74"/>
      <c r="L816" s="75"/>
      <c r="M816" s="75"/>
      <c r="N816" s="74"/>
      <c r="O816" s="203"/>
      <c r="P816" s="20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</row>
    <row r="817" spans="1:28" ht="15.75" customHeight="1">
      <c r="A817" s="200"/>
      <c r="B817" s="74"/>
      <c r="C817" s="72"/>
      <c r="D817" s="73"/>
      <c r="E817" s="72"/>
      <c r="F817" s="73"/>
      <c r="G817" s="74"/>
      <c r="H817" s="202"/>
      <c r="I817" s="74"/>
      <c r="J817" s="74"/>
      <c r="K817" s="74"/>
      <c r="L817" s="75"/>
      <c r="M817" s="75"/>
      <c r="N817" s="74"/>
      <c r="O817" s="203"/>
      <c r="P817" s="20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</row>
    <row r="818" spans="1:28" ht="15.75" customHeight="1">
      <c r="A818" s="200"/>
      <c r="B818" s="74"/>
      <c r="C818" s="72"/>
      <c r="D818" s="73"/>
      <c r="E818" s="72"/>
      <c r="F818" s="73"/>
      <c r="G818" s="74"/>
      <c r="H818" s="202"/>
      <c r="I818" s="74"/>
      <c r="J818" s="74"/>
      <c r="K818" s="74"/>
      <c r="L818" s="75"/>
      <c r="M818" s="75"/>
      <c r="N818" s="74"/>
      <c r="O818" s="203"/>
      <c r="P818" s="20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</row>
    <row r="819" spans="1:28" ht="15.75" customHeight="1">
      <c r="A819" s="200"/>
      <c r="B819" s="74"/>
      <c r="C819" s="72"/>
      <c r="D819" s="73"/>
      <c r="E819" s="72"/>
      <c r="F819" s="73"/>
      <c r="G819" s="74"/>
      <c r="H819" s="202"/>
      <c r="I819" s="74"/>
      <c r="J819" s="74"/>
      <c r="K819" s="74"/>
      <c r="L819" s="75"/>
      <c r="M819" s="75"/>
      <c r="N819" s="74"/>
      <c r="O819" s="203"/>
      <c r="P819" s="20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</row>
    <row r="820" spans="1:28" ht="15.75" customHeight="1">
      <c r="A820" s="200"/>
      <c r="B820" s="74"/>
      <c r="C820" s="72"/>
      <c r="D820" s="73"/>
      <c r="E820" s="72"/>
      <c r="F820" s="73"/>
      <c r="G820" s="74"/>
      <c r="H820" s="202"/>
      <c r="I820" s="74"/>
      <c r="J820" s="74"/>
      <c r="K820" s="74"/>
      <c r="L820" s="75"/>
      <c r="M820" s="75"/>
      <c r="N820" s="74"/>
      <c r="O820" s="203"/>
      <c r="P820" s="20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</row>
    <row r="821" spans="1:28" ht="15.75" customHeight="1">
      <c r="A821" s="200"/>
      <c r="B821" s="74"/>
      <c r="C821" s="72"/>
      <c r="D821" s="73"/>
      <c r="E821" s="72"/>
      <c r="F821" s="73"/>
      <c r="G821" s="74"/>
      <c r="H821" s="202"/>
      <c r="I821" s="74"/>
      <c r="J821" s="74"/>
      <c r="K821" s="74"/>
      <c r="L821" s="75"/>
      <c r="M821" s="75"/>
      <c r="N821" s="74"/>
      <c r="O821" s="203"/>
      <c r="P821" s="20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</row>
    <row r="822" spans="1:28" ht="15.75" customHeight="1">
      <c r="A822" s="200"/>
      <c r="B822" s="74"/>
      <c r="C822" s="72"/>
      <c r="D822" s="73"/>
      <c r="E822" s="72"/>
      <c r="F822" s="73"/>
      <c r="G822" s="74"/>
      <c r="H822" s="202"/>
      <c r="I822" s="74"/>
      <c r="J822" s="74"/>
      <c r="K822" s="74"/>
      <c r="L822" s="75"/>
      <c r="M822" s="75"/>
      <c r="N822" s="74"/>
      <c r="O822" s="203"/>
      <c r="P822" s="20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</row>
    <row r="823" spans="1:28" ht="15.75" customHeight="1">
      <c r="A823" s="200"/>
      <c r="B823" s="74"/>
      <c r="C823" s="72"/>
      <c r="D823" s="73"/>
      <c r="E823" s="72"/>
      <c r="F823" s="73"/>
      <c r="G823" s="74"/>
      <c r="H823" s="202"/>
      <c r="I823" s="74"/>
      <c r="J823" s="74"/>
      <c r="K823" s="74"/>
      <c r="L823" s="75"/>
      <c r="M823" s="75"/>
      <c r="N823" s="74"/>
      <c r="O823" s="203"/>
      <c r="P823" s="20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</row>
    <row r="824" spans="1:28" ht="15.75" customHeight="1">
      <c r="A824" s="200"/>
      <c r="B824" s="74"/>
      <c r="C824" s="72"/>
      <c r="D824" s="73"/>
      <c r="E824" s="72"/>
      <c r="F824" s="73"/>
      <c r="G824" s="74"/>
      <c r="H824" s="202"/>
      <c r="I824" s="74"/>
      <c r="J824" s="74"/>
      <c r="K824" s="74"/>
      <c r="L824" s="75"/>
      <c r="M824" s="75"/>
      <c r="N824" s="74"/>
      <c r="O824" s="203"/>
      <c r="P824" s="20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</row>
    <row r="825" spans="1:28" ht="15.75" customHeight="1">
      <c r="A825" s="200"/>
      <c r="B825" s="74"/>
      <c r="C825" s="72"/>
      <c r="D825" s="73"/>
      <c r="E825" s="72"/>
      <c r="F825" s="73"/>
      <c r="G825" s="74"/>
      <c r="H825" s="202"/>
      <c r="I825" s="74"/>
      <c r="J825" s="74"/>
      <c r="K825" s="74"/>
      <c r="L825" s="75"/>
      <c r="M825" s="75"/>
      <c r="N825" s="74"/>
      <c r="O825" s="203"/>
      <c r="P825" s="20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</row>
    <row r="826" spans="1:28" ht="15.75" customHeight="1">
      <c r="A826" s="200"/>
      <c r="B826" s="74"/>
      <c r="C826" s="72"/>
      <c r="D826" s="73"/>
      <c r="E826" s="72"/>
      <c r="F826" s="73"/>
      <c r="G826" s="74"/>
      <c r="H826" s="202"/>
      <c r="I826" s="74"/>
      <c r="J826" s="74"/>
      <c r="K826" s="74"/>
      <c r="L826" s="75"/>
      <c r="M826" s="75"/>
      <c r="N826" s="74"/>
      <c r="O826" s="203"/>
      <c r="P826" s="20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</row>
    <row r="827" spans="1:28" ht="15.75" customHeight="1">
      <c r="A827" s="200"/>
      <c r="B827" s="74"/>
      <c r="C827" s="72"/>
      <c r="D827" s="73"/>
      <c r="E827" s="72"/>
      <c r="F827" s="73"/>
      <c r="G827" s="74"/>
      <c r="H827" s="202"/>
      <c r="I827" s="74"/>
      <c r="J827" s="74"/>
      <c r="K827" s="74"/>
      <c r="L827" s="75"/>
      <c r="M827" s="75"/>
      <c r="N827" s="74"/>
      <c r="O827" s="203"/>
      <c r="P827" s="20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</row>
    <row r="828" spans="1:28" ht="15.75" customHeight="1">
      <c r="A828" s="200"/>
      <c r="B828" s="74"/>
      <c r="C828" s="72"/>
      <c r="D828" s="73"/>
      <c r="E828" s="72"/>
      <c r="F828" s="73"/>
      <c r="G828" s="74"/>
      <c r="H828" s="202"/>
      <c r="I828" s="74"/>
      <c r="J828" s="74"/>
      <c r="K828" s="74"/>
      <c r="L828" s="75"/>
      <c r="M828" s="75"/>
      <c r="N828" s="74"/>
      <c r="O828" s="203"/>
      <c r="P828" s="20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</row>
    <row r="829" spans="1:28" ht="15.75" customHeight="1">
      <c r="A829" s="200"/>
      <c r="B829" s="74"/>
      <c r="C829" s="72"/>
      <c r="D829" s="73"/>
      <c r="E829" s="72"/>
      <c r="F829" s="73"/>
      <c r="G829" s="74"/>
      <c r="H829" s="202"/>
      <c r="I829" s="74"/>
      <c r="J829" s="74"/>
      <c r="K829" s="74"/>
      <c r="L829" s="75"/>
      <c r="M829" s="75"/>
      <c r="N829" s="74"/>
      <c r="O829" s="203"/>
      <c r="P829" s="20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</row>
    <row r="830" spans="1:28" ht="15.75" customHeight="1">
      <c r="A830" s="200"/>
      <c r="B830" s="74"/>
      <c r="C830" s="72"/>
      <c r="D830" s="73"/>
      <c r="E830" s="72"/>
      <c r="F830" s="73"/>
      <c r="G830" s="74"/>
      <c r="H830" s="202"/>
      <c r="I830" s="74"/>
      <c r="J830" s="74"/>
      <c r="K830" s="74"/>
      <c r="L830" s="75"/>
      <c r="M830" s="75"/>
      <c r="N830" s="74"/>
      <c r="O830" s="203"/>
      <c r="P830" s="20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</row>
    <row r="831" spans="1:28" ht="15.75" customHeight="1">
      <c r="A831" s="200"/>
      <c r="B831" s="74"/>
      <c r="C831" s="72"/>
      <c r="D831" s="73"/>
      <c r="E831" s="72"/>
      <c r="F831" s="73"/>
      <c r="G831" s="74"/>
      <c r="H831" s="202"/>
      <c r="I831" s="74"/>
      <c r="J831" s="74"/>
      <c r="K831" s="74"/>
      <c r="L831" s="75"/>
      <c r="M831" s="75"/>
      <c r="N831" s="74"/>
      <c r="O831" s="203"/>
      <c r="P831" s="20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</row>
    <row r="832" spans="1:28" ht="15.75" customHeight="1">
      <c r="A832" s="200"/>
      <c r="B832" s="74"/>
      <c r="C832" s="72"/>
      <c r="D832" s="73"/>
      <c r="E832" s="72"/>
      <c r="F832" s="73"/>
      <c r="G832" s="74"/>
      <c r="H832" s="202"/>
      <c r="I832" s="74"/>
      <c r="J832" s="74"/>
      <c r="K832" s="74"/>
      <c r="L832" s="75"/>
      <c r="M832" s="75"/>
      <c r="N832" s="74"/>
      <c r="O832" s="203"/>
      <c r="P832" s="20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</row>
    <row r="833" spans="1:28" ht="15.75" customHeight="1">
      <c r="A833" s="200"/>
      <c r="B833" s="74"/>
      <c r="C833" s="72"/>
      <c r="D833" s="73"/>
      <c r="E833" s="72"/>
      <c r="F833" s="73"/>
      <c r="G833" s="74"/>
      <c r="H833" s="202"/>
      <c r="I833" s="74"/>
      <c r="J833" s="74"/>
      <c r="K833" s="74"/>
      <c r="L833" s="75"/>
      <c r="M833" s="75"/>
      <c r="N833" s="74"/>
      <c r="O833" s="203"/>
      <c r="P833" s="20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</row>
    <row r="834" spans="1:28" ht="15.75" customHeight="1">
      <c r="A834" s="200"/>
      <c r="B834" s="74"/>
      <c r="C834" s="72"/>
      <c r="D834" s="73"/>
      <c r="E834" s="72"/>
      <c r="F834" s="73"/>
      <c r="G834" s="74"/>
      <c r="H834" s="202"/>
      <c r="I834" s="74"/>
      <c r="J834" s="74"/>
      <c r="K834" s="74"/>
      <c r="L834" s="75"/>
      <c r="M834" s="75"/>
      <c r="N834" s="74"/>
      <c r="O834" s="203"/>
      <c r="P834" s="20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</row>
    <row r="835" spans="1:28" ht="15.75" customHeight="1">
      <c r="A835" s="200"/>
      <c r="B835" s="74"/>
      <c r="C835" s="72"/>
      <c r="D835" s="73"/>
      <c r="E835" s="72"/>
      <c r="F835" s="73"/>
      <c r="G835" s="74"/>
      <c r="H835" s="202"/>
      <c r="I835" s="74"/>
      <c r="J835" s="74"/>
      <c r="K835" s="74"/>
      <c r="L835" s="75"/>
      <c r="M835" s="75"/>
      <c r="N835" s="74"/>
      <c r="O835" s="203"/>
      <c r="P835" s="20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</row>
    <row r="836" spans="1:28" ht="15.75" customHeight="1">
      <c r="A836" s="200"/>
      <c r="B836" s="74"/>
      <c r="C836" s="72"/>
      <c r="D836" s="73"/>
      <c r="E836" s="72"/>
      <c r="F836" s="73"/>
      <c r="G836" s="74"/>
      <c r="H836" s="202"/>
      <c r="I836" s="74"/>
      <c r="J836" s="74"/>
      <c r="K836" s="74"/>
      <c r="L836" s="75"/>
      <c r="M836" s="75"/>
      <c r="N836" s="74"/>
      <c r="O836" s="203"/>
      <c r="P836" s="20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</row>
    <row r="837" spans="1:28" ht="15.75" customHeight="1">
      <c r="A837" s="200"/>
      <c r="B837" s="74"/>
      <c r="C837" s="72"/>
      <c r="D837" s="73"/>
      <c r="E837" s="72"/>
      <c r="F837" s="73"/>
      <c r="G837" s="74"/>
      <c r="H837" s="202"/>
      <c r="I837" s="74"/>
      <c r="J837" s="74"/>
      <c r="K837" s="74"/>
      <c r="L837" s="75"/>
      <c r="M837" s="75"/>
      <c r="N837" s="74"/>
      <c r="O837" s="203"/>
      <c r="P837" s="20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</row>
    <row r="838" spans="1:28" ht="15.75" customHeight="1">
      <c r="A838" s="200"/>
      <c r="B838" s="74"/>
      <c r="C838" s="72"/>
      <c r="D838" s="73"/>
      <c r="E838" s="72"/>
      <c r="F838" s="73"/>
      <c r="G838" s="74"/>
      <c r="H838" s="202"/>
      <c r="I838" s="74"/>
      <c r="J838" s="74"/>
      <c r="K838" s="74"/>
      <c r="L838" s="75"/>
      <c r="M838" s="75"/>
      <c r="N838" s="74"/>
      <c r="O838" s="203"/>
      <c r="P838" s="20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</row>
    <row r="839" spans="1:28" ht="15.75" customHeight="1">
      <c r="A839" s="200"/>
      <c r="B839" s="74"/>
      <c r="C839" s="72"/>
      <c r="D839" s="73"/>
      <c r="E839" s="72"/>
      <c r="F839" s="73"/>
      <c r="G839" s="74"/>
      <c r="H839" s="202"/>
      <c r="I839" s="74"/>
      <c r="J839" s="74"/>
      <c r="K839" s="74"/>
      <c r="L839" s="75"/>
      <c r="M839" s="75"/>
      <c r="N839" s="74"/>
      <c r="O839" s="203"/>
      <c r="P839" s="20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</row>
    <row r="840" spans="1:28" ht="15.75" customHeight="1">
      <c r="A840" s="200"/>
      <c r="B840" s="74"/>
      <c r="C840" s="72"/>
      <c r="D840" s="73"/>
      <c r="E840" s="72"/>
      <c r="F840" s="73"/>
      <c r="G840" s="74"/>
      <c r="H840" s="202"/>
      <c r="I840" s="74"/>
      <c r="J840" s="74"/>
      <c r="K840" s="74"/>
      <c r="L840" s="75"/>
      <c r="M840" s="75"/>
      <c r="N840" s="74"/>
      <c r="O840" s="203"/>
      <c r="P840" s="20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</row>
    <row r="841" spans="1:28" ht="15.75" customHeight="1">
      <c r="A841" s="200"/>
      <c r="B841" s="74"/>
      <c r="C841" s="72"/>
      <c r="D841" s="73"/>
      <c r="E841" s="72"/>
      <c r="F841" s="73"/>
      <c r="G841" s="74"/>
      <c r="H841" s="202"/>
      <c r="I841" s="74"/>
      <c r="J841" s="74"/>
      <c r="K841" s="74"/>
      <c r="L841" s="75"/>
      <c r="M841" s="75"/>
      <c r="N841" s="74"/>
      <c r="O841" s="203"/>
      <c r="P841" s="20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</row>
    <row r="842" spans="1:28" ht="15.75" customHeight="1">
      <c r="A842" s="200"/>
      <c r="B842" s="74"/>
      <c r="C842" s="72"/>
      <c r="D842" s="73"/>
      <c r="E842" s="72"/>
      <c r="F842" s="73"/>
      <c r="G842" s="74"/>
      <c r="H842" s="202"/>
      <c r="I842" s="74"/>
      <c r="J842" s="74"/>
      <c r="K842" s="74"/>
      <c r="L842" s="75"/>
      <c r="M842" s="75"/>
      <c r="N842" s="74"/>
      <c r="O842" s="203"/>
      <c r="P842" s="20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</row>
    <row r="843" spans="1:28" ht="15.75" customHeight="1">
      <c r="A843" s="200"/>
      <c r="B843" s="74"/>
      <c r="C843" s="72"/>
      <c r="D843" s="73"/>
      <c r="E843" s="72"/>
      <c r="F843" s="73"/>
      <c r="G843" s="74"/>
      <c r="H843" s="202"/>
      <c r="I843" s="74"/>
      <c r="J843" s="74"/>
      <c r="K843" s="74"/>
      <c r="L843" s="75"/>
      <c r="M843" s="75"/>
      <c r="N843" s="74"/>
      <c r="O843" s="203"/>
      <c r="P843" s="20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</row>
    <row r="844" spans="1:28" ht="15.75" customHeight="1">
      <c r="A844" s="200"/>
      <c r="B844" s="74"/>
      <c r="C844" s="72"/>
      <c r="D844" s="73"/>
      <c r="E844" s="72"/>
      <c r="F844" s="73"/>
      <c r="G844" s="74"/>
      <c r="H844" s="202"/>
      <c r="I844" s="74"/>
      <c r="J844" s="74"/>
      <c r="K844" s="74"/>
      <c r="L844" s="75"/>
      <c r="M844" s="75"/>
      <c r="N844" s="74"/>
      <c r="O844" s="203"/>
      <c r="P844" s="20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</row>
    <row r="845" spans="1:28" ht="15.75" customHeight="1">
      <c r="A845" s="200"/>
      <c r="B845" s="74"/>
      <c r="C845" s="72"/>
      <c r="D845" s="73"/>
      <c r="E845" s="72"/>
      <c r="F845" s="73"/>
      <c r="G845" s="74"/>
      <c r="H845" s="202"/>
      <c r="I845" s="74"/>
      <c r="J845" s="74"/>
      <c r="K845" s="74"/>
      <c r="L845" s="75"/>
      <c r="M845" s="75"/>
      <c r="N845" s="74"/>
      <c r="O845" s="203"/>
      <c r="P845" s="20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</row>
    <row r="846" spans="1:28" ht="15.75" customHeight="1">
      <c r="A846" s="200"/>
      <c r="B846" s="74"/>
      <c r="C846" s="72"/>
      <c r="D846" s="73"/>
      <c r="E846" s="72"/>
      <c r="F846" s="73"/>
      <c r="G846" s="74"/>
      <c r="H846" s="202"/>
      <c r="I846" s="74"/>
      <c r="J846" s="74"/>
      <c r="K846" s="74"/>
      <c r="L846" s="75"/>
      <c r="M846" s="75"/>
      <c r="N846" s="74"/>
      <c r="O846" s="203"/>
      <c r="P846" s="20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</row>
    <row r="847" spans="1:28" ht="15.75" customHeight="1">
      <c r="A847" s="200"/>
      <c r="B847" s="74"/>
      <c r="C847" s="72"/>
      <c r="D847" s="73"/>
      <c r="E847" s="72"/>
      <c r="F847" s="73"/>
      <c r="G847" s="74"/>
      <c r="H847" s="202"/>
      <c r="I847" s="74"/>
      <c r="J847" s="74"/>
      <c r="K847" s="74"/>
      <c r="L847" s="75"/>
      <c r="M847" s="75"/>
      <c r="N847" s="74"/>
      <c r="O847" s="203"/>
      <c r="P847" s="20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</row>
    <row r="848" spans="1:28" ht="15.75" customHeight="1">
      <c r="A848" s="200"/>
      <c r="B848" s="74"/>
      <c r="C848" s="72"/>
      <c r="D848" s="73"/>
      <c r="E848" s="72"/>
      <c r="F848" s="73"/>
      <c r="G848" s="74"/>
      <c r="H848" s="202"/>
      <c r="I848" s="74"/>
      <c r="J848" s="74"/>
      <c r="K848" s="74"/>
      <c r="L848" s="75"/>
      <c r="M848" s="75"/>
      <c r="N848" s="74"/>
      <c r="O848" s="203"/>
      <c r="P848" s="20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</row>
    <row r="849" spans="1:28" ht="15.75" customHeight="1">
      <c r="A849" s="200"/>
      <c r="B849" s="74"/>
      <c r="C849" s="72"/>
      <c r="D849" s="73"/>
      <c r="E849" s="72"/>
      <c r="F849" s="73"/>
      <c r="G849" s="74"/>
      <c r="H849" s="202"/>
      <c r="I849" s="74"/>
      <c r="J849" s="74"/>
      <c r="K849" s="74"/>
      <c r="L849" s="75"/>
      <c r="M849" s="75"/>
      <c r="N849" s="74"/>
      <c r="O849" s="203"/>
      <c r="P849" s="20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</row>
    <row r="850" spans="1:28" ht="15.75" customHeight="1">
      <c r="A850" s="200"/>
      <c r="B850" s="74"/>
      <c r="C850" s="72"/>
      <c r="D850" s="73"/>
      <c r="E850" s="72"/>
      <c r="F850" s="73"/>
      <c r="G850" s="74"/>
      <c r="H850" s="202"/>
      <c r="I850" s="74"/>
      <c r="J850" s="74"/>
      <c r="K850" s="74"/>
      <c r="L850" s="75"/>
      <c r="M850" s="75"/>
      <c r="N850" s="74"/>
      <c r="O850" s="203"/>
      <c r="P850" s="20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</row>
    <row r="851" spans="1:28" ht="15.75" customHeight="1">
      <c r="A851" s="200"/>
      <c r="B851" s="74"/>
      <c r="C851" s="72"/>
      <c r="D851" s="73"/>
      <c r="E851" s="72"/>
      <c r="F851" s="73"/>
      <c r="G851" s="74"/>
      <c r="H851" s="202"/>
      <c r="I851" s="74"/>
      <c r="J851" s="74"/>
      <c r="K851" s="74"/>
      <c r="L851" s="75"/>
      <c r="M851" s="75"/>
      <c r="N851" s="74"/>
      <c r="O851" s="203"/>
      <c r="P851" s="20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</row>
    <row r="852" spans="1:28" ht="15.75" customHeight="1">
      <c r="A852" s="200"/>
      <c r="B852" s="74"/>
      <c r="C852" s="72"/>
      <c r="D852" s="73"/>
      <c r="E852" s="72"/>
      <c r="F852" s="73"/>
      <c r="G852" s="74"/>
      <c r="H852" s="202"/>
      <c r="I852" s="74"/>
      <c r="J852" s="74"/>
      <c r="K852" s="74"/>
      <c r="L852" s="75"/>
      <c r="M852" s="75"/>
      <c r="N852" s="74"/>
      <c r="O852" s="203"/>
      <c r="P852" s="20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</row>
    <row r="853" spans="1:28" ht="15.75" customHeight="1">
      <c r="A853" s="200"/>
      <c r="B853" s="74"/>
      <c r="C853" s="72"/>
      <c r="D853" s="73"/>
      <c r="E853" s="72"/>
      <c r="F853" s="73"/>
      <c r="G853" s="74"/>
      <c r="H853" s="202"/>
      <c r="I853" s="74"/>
      <c r="J853" s="74"/>
      <c r="K853" s="74"/>
      <c r="L853" s="75"/>
      <c r="M853" s="75"/>
      <c r="N853" s="74"/>
      <c r="O853" s="203"/>
      <c r="P853" s="20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</row>
    <row r="854" spans="1:28" ht="15.75" customHeight="1">
      <c r="A854" s="200"/>
      <c r="B854" s="74"/>
      <c r="C854" s="72"/>
      <c r="D854" s="73"/>
      <c r="E854" s="72"/>
      <c r="F854" s="73"/>
      <c r="G854" s="74"/>
      <c r="H854" s="202"/>
      <c r="I854" s="74"/>
      <c r="J854" s="74"/>
      <c r="K854" s="74"/>
      <c r="L854" s="75"/>
      <c r="M854" s="75"/>
      <c r="N854" s="74"/>
      <c r="O854" s="203"/>
      <c r="P854" s="20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</row>
    <row r="855" spans="1:28" ht="15.75" customHeight="1">
      <c r="A855" s="200"/>
      <c r="B855" s="74"/>
      <c r="C855" s="72"/>
      <c r="D855" s="73"/>
      <c r="E855" s="72"/>
      <c r="F855" s="73"/>
      <c r="G855" s="74"/>
      <c r="H855" s="202"/>
      <c r="I855" s="74"/>
      <c r="J855" s="74"/>
      <c r="K855" s="74"/>
      <c r="L855" s="75"/>
      <c r="M855" s="75"/>
      <c r="N855" s="74"/>
      <c r="O855" s="203"/>
      <c r="P855" s="20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</row>
    <row r="856" spans="1:28" ht="15.75" customHeight="1">
      <c r="A856" s="200"/>
      <c r="B856" s="74"/>
      <c r="C856" s="72"/>
      <c r="D856" s="73"/>
      <c r="E856" s="72"/>
      <c r="F856" s="73"/>
      <c r="G856" s="74"/>
      <c r="H856" s="202"/>
      <c r="I856" s="74"/>
      <c r="J856" s="74"/>
      <c r="K856" s="74"/>
      <c r="L856" s="75"/>
      <c r="M856" s="75"/>
      <c r="N856" s="74"/>
      <c r="O856" s="203"/>
      <c r="P856" s="20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</row>
    <row r="857" spans="1:28" ht="15.75" customHeight="1">
      <c r="A857" s="200"/>
      <c r="B857" s="74"/>
      <c r="C857" s="72"/>
      <c r="D857" s="73"/>
      <c r="E857" s="72"/>
      <c r="F857" s="73"/>
      <c r="G857" s="74"/>
      <c r="H857" s="202"/>
      <c r="I857" s="74"/>
      <c r="J857" s="74"/>
      <c r="K857" s="74"/>
      <c r="L857" s="75"/>
      <c r="M857" s="75"/>
      <c r="N857" s="74"/>
      <c r="O857" s="203"/>
      <c r="P857" s="20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</row>
    <row r="858" spans="1:28" ht="15.75" customHeight="1">
      <c r="A858" s="200"/>
      <c r="B858" s="74"/>
      <c r="C858" s="72"/>
      <c r="D858" s="73"/>
      <c r="E858" s="72"/>
      <c r="F858" s="73"/>
      <c r="G858" s="74"/>
      <c r="H858" s="202"/>
      <c r="I858" s="74"/>
      <c r="J858" s="74"/>
      <c r="K858" s="74"/>
      <c r="L858" s="75"/>
      <c r="M858" s="75"/>
      <c r="N858" s="74"/>
      <c r="O858" s="203"/>
      <c r="P858" s="20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</row>
    <row r="859" spans="1:28" ht="15.75" customHeight="1">
      <c r="A859" s="200"/>
      <c r="B859" s="74"/>
      <c r="C859" s="72"/>
      <c r="D859" s="73"/>
      <c r="E859" s="72"/>
      <c r="F859" s="73"/>
      <c r="G859" s="74"/>
      <c r="H859" s="202"/>
      <c r="I859" s="74"/>
      <c r="J859" s="74"/>
      <c r="K859" s="74"/>
      <c r="L859" s="75"/>
      <c r="M859" s="75"/>
      <c r="N859" s="74"/>
      <c r="O859" s="203"/>
      <c r="P859" s="20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</row>
    <row r="860" spans="1:28" ht="15.75" customHeight="1">
      <c r="A860" s="200"/>
      <c r="B860" s="74"/>
      <c r="C860" s="72"/>
      <c r="D860" s="73"/>
      <c r="E860" s="72"/>
      <c r="F860" s="73"/>
      <c r="G860" s="74"/>
      <c r="H860" s="202"/>
      <c r="I860" s="74"/>
      <c r="J860" s="74"/>
      <c r="K860" s="74"/>
      <c r="L860" s="75"/>
      <c r="M860" s="75"/>
      <c r="N860" s="74"/>
      <c r="O860" s="203"/>
      <c r="P860" s="20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</row>
    <row r="861" spans="1:28" ht="15.75" customHeight="1">
      <c r="A861" s="200"/>
      <c r="B861" s="74"/>
      <c r="C861" s="72"/>
      <c r="D861" s="73"/>
      <c r="E861" s="72"/>
      <c r="F861" s="73"/>
      <c r="G861" s="74"/>
      <c r="H861" s="202"/>
      <c r="I861" s="74"/>
      <c r="J861" s="74"/>
      <c r="K861" s="74"/>
      <c r="L861" s="75"/>
      <c r="M861" s="75"/>
      <c r="N861" s="74"/>
      <c r="O861" s="203"/>
      <c r="P861" s="20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</row>
    <row r="862" spans="1:28" ht="15.75" customHeight="1">
      <c r="A862" s="200"/>
      <c r="B862" s="74"/>
      <c r="C862" s="72"/>
      <c r="D862" s="73"/>
      <c r="E862" s="72"/>
      <c r="F862" s="73"/>
      <c r="G862" s="74"/>
      <c r="H862" s="202"/>
      <c r="I862" s="74"/>
      <c r="J862" s="74"/>
      <c r="K862" s="74"/>
      <c r="L862" s="75"/>
      <c r="M862" s="75"/>
      <c r="N862" s="74"/>
      <c r="O862" s="203"/>
      <c r="P862" s="20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</row>
    <row r="863" spans="1:28" ht="15.75" customHeight="1">
      <c r="A863" s="200"/>
      <c r="B863" s="74"/>
      <c r="C863" s="72"/>
      <c r="D863" s="73"/>
      <c r="E863" s="72"/>
      <c r="F863" s="73"/>
      <c r="G863" s="74"/>
      <c r="H863" s="202"/>
      <c r="I863" s="74"/>
      <c r="J863" s="74"/>
      <c r="K863" s="74"/>
      <c r="L863" s="75"/>
      <c r="M863" s="75"/>
      <c r="N863" s="74"/>
      <c r="O863" s="203"/>
      <c r="P863" s="20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</row>
    <row r="864" spans="1:28" ht="15.75" customHeight="1">
      <c r="A864" s="200"/>
      <c r="B864" s="74"/>
      <c r="C864" s="72"/>
      <c r="D864" s="73"/>
      <c r="E864" s="72"/>
      <c r="F864" s="73"/>
      <c r="G864" s="74"/>
      <c r="H864" s="202"/>
      <c r="I864" s="74"/>
      <c r="J864" s="74"/>
      <c r="K864" s="74"/>
      <c r="L864" s="75"/>
      <c r="M864" s="75"/>
      <c r="N864" s="74"/>
      <c r="O864" s="203"/>
      <c r="P864" s="20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</row>
    <row r="865" spans="1:28" ht="15.75" customHeight="1">
      <c r="A865" s="200"/>
      <c r="B865" s="74"/>
      <c r="C865" s="72"/>
      <c r="D865" s="73"/>
      <c r="E865" s="72"/>
      <c r="F865" s="73"/>
      <c r="G865" s="74"/>
      <c r="H865" s="202"/>
      <c r="I865" s="74"/>
      <c r="J865" s="74"/>
      <c r="K865" s="74"/>
      <c r="L865" s="75"/>
      <c r="M865" s="75"/>
      <c r="N865" s="74"/>
      <c r="O865" s="203"/>
      <c r="P865" s="20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</row>
    <row r="866" spans="1:28" ht="15.75" customHeight="1">
      <c r="A866" s="200"/>
      <c r="B866" s="74"/>
      <c r="C866" s="72"/>
      <c r="D866" s="73"/>
      <c r="E866" s="72"/>
      <c r="F866" s="73"/>
      <c r="G866" s="74"/>
      <c r="H866" s="202"/>
      <c r="I866" s="74"/>
      <c r="J866" s="74"/>
      <c r="K866" s="74"/>
      <c r="L866" s="75"/>
      <c r="M866" s="75"/>
      <c r="N866" s="74"/>
      <c r="O866" s="203"/>
      <c r="P866" s="20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</row>
    <row r="867" spans="1:28" ht="15.75" customHeight="1">
      <c r="A867" s="200"/>
      <c r="B867" s="74"/>
      <c r="C867" s="72"/>
      <c r="D867" s="73"/>
      <c r="E867" s="72"/>
      <c r="F867" s="73"/>
      <c r="G867" s="74"/>
      <c r="H867" s="202"/>
      <c r="I867" s="74"/>
      <c r="J867" s="74"/>
      <c r="K867" s="74"/>
      <c r="L867" s="75"/>
      <c r="M867" s="75"/>
      <c r="N867" s="74"/>
      <c r="O867" s="203"/>
      <c r="P867" s="20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</row>
    <row r="868" spans="1:28" ht="15.75" customHeight="1">
      <c r="A868" s="200"/>
      <c r="B868" s="74"/>
      <c r="C868" s="72"/>
      <c r="D868" s="73"/>
      <c r="E868" s="72"/>
      <c r="F868" s="73"/>
      <c r="G868" s="74"/>
      <c r="H868" s="202"/>
      <c r="I868" s="74"/>
      <c r="J868" s="74"/>
      <c r="K868" s="74"/>
      <c r="L868" s="75"/>
      <c r="M868" s="75"/>
      <c r="N868" s="74"/>
      <c r="O868" s="203"/>
      <c r="P868" s="20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</row>
    <row r="869" spans="1:28" ht="15.75" customHeight="1">
      <c r="A869" s="200"/>
      <c r="B869" s="74"/>
      <c r="C869" s="72"/>
      <c r="D869" s="73"/>
      <c r="E869" s="72"/>
      <c r="F869" s="73"/>
      <c r="G869" s="74"/>
      <c r="H869" s="202"/>
      <c r="I869" s="74"/>
      <c r="J869" s="74"/>
      <c r="K869" s="74"/>
      <c r="L869" s="75"/>
      <c r="M869" s="75"/>
      <c r="N869" s="74"/>
      <c r="O869" s="203"/>
      <c r="P869" s="20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</row>
    <row r="870" spans="1:28" ht="15.75" customHeight="1">
      <c r="A870" s="200"/>
      <c r="B870" s="74"/>
      <c r="C870" s="72"/>
      <c r="D870" s="73"/>
      <c r="E870" s="72"/>
      <c r="F870" s="73"/>
      <c r="G870" s="74"/>
      <c r="H870" s="202"/>
      <c r="I870" s="74"/>
      <c r="J870" s="74"/>
      <c r="K870" s="74"/>
      <c r="L870" s="75"/>
      <c r="M870" s="75"/>
      <c r="N870" s="74"/>
      <c r="O870" s="203"/>
      <c r="P870" s="20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</row>
    <row r="871" spans="1:28" ht="15.75" customHeight="1">
      <c r="A871" s="200"/>
      <c r="B871" s="74"/>
      <c r="C871" s="72"/>
      <c r="D871" s="73"/>
      <c r="E871" s="72"/>
      <c r="F871" s="73"/>
      <c r="G871" s="74"/>
      <c r="H871" s="202"/>
      <c r="I871" s="74"/>
      <c r="J871" s="74"/>
      <c r="K871" s="74"/>
      <c r="L871" s="75"/>
      <c r="M871" s="75"/>
      <c r="N871" s="74"/>
      <c r="O871" s="203"/>
      <c r="P871" s="20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</row>
    <row r="872" spans="1:28" ht="15.75" customHeight="1">
      <c r="A872" s="200"/>
      <c r="B872" s="74"/>
      <c r="C872" s="72"/>
      <c r="D872" s="73"/>
      <c r="E872" s="72"/>
      <c r="F872" s="73"/>
      <c r="G872" s="74"/>
      <c r="H872" s="202"/>
      <c r="I872" s="74"/>
      <c r="J872" s="74"/>
      <c r="K872" s="74"/>
      <c r="L872" s="75"/>
      <c r="M872" s="75"/>
      <c r="N872" s="74"/>
      <c r="O872" s="203"/>
      <c r="P872" s="20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</row>
    <row r="873" spans="1:28" ht="15.75" customHeight="1">
      <c r="A873" s="200"/>
      <c r="B873" s="74"/>
      <c r="C873" s="72"/>
      <c r="D873" s="73"/>
      <c r="E873" s="72"/>
      <c r="F873" s="73"/>
      <c r="G873" s="74"/>
      <c r="H873" s="202"/>
      <c r="I873" s="74"/>
      <c r="J873" s="74"/>
      <c r="K873" s="74"/>
      <c r="L873" s="75"/>
      <c r="M873" s="75"/>
      <c r="N873" s="74"/>
      <c r="O873" s="203"/>
      <c r="P873" s="20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</row>
    <row r="874" spans="1:28" ht="15.75" customHeight="1">
      <c r="A874" s="200"/>
      <c r="B874" s="74"/>
      <c r="C874" s="72"/>
      <c r="D874" s="73"/>
      <c r="E874" s="72"/>
      <c r="F874" s="73"/>
      <c r="G874" s="74"/>
      <c r="H874" s="202"/>
      <c r="I874" s="74"/>
      <c r="J874" s="74"/>
      <c r="K874" s="74"/>
      <c r="L874" s="75"/>
      <c r="M874" s="75"/>
      <c r="N874" s="74"/>
      <c r="O874" s="203"/>
      <c r="P874" s="20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</row>
    <row r="875" spans="1:28" ht="15.75" customHeight="1">
      <c r="A875" s="200"/>
      <c r="B875" s="74"/>
      <c r="C875" s="72"/>
      <c r="D875" s="73"/>
      <c r="E875" s="72"/>
      <c r="F875" s="73"/>
      <c r="G875" s="74"/>
      <c r="H875" s="202"/>
      <c r="I875" s="74"/>
      <c r="J875" s="74"/>
      <c r="K875" s="74"/>
      <c r="L875" s="75"/>
      <c r="M875" s="75"/>
      <c r="N875" s="74"/>
      <c r="O875" s="203"/>
      <c r="P875" s="20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</row>
    <row r="876" spans="1:28" ht="15.75" customHeight="1">
      <c r="A876" s="200"/>
      <c r="B876" s="74"/>
      <c r="C876" s="72"/>
      <c r="D876" s="73"/>
      <c r="E876" s="72"/>
      <c r="F876" s="73"/>
      <c r="G876" s="74"/>
      <c r="H876" s="202"/>
      <c r="I876" s="74"/>
      <c r="J876" s="74"/>
      <c r="K876" s="74"/>
      <c r="L876" s="75"/>
      <c r="M876" s="75"/>
      <c r="N876" s="74"/>
      <c r="O876" s="203"/>
      <c r="P876" s="20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</row>
    <row r="877" spans="1:28" ht="15.75" customHeight="1">
      <c r="A877" s="200"/>
      <c r="B877" s="74"/>
      <c r="C877" s="72"/>
      <c r="D877" s="73"/>
      <c r="E877" s="72"/>
      <c r="F877" s="73"/>
      <c r="G877" s="74"/>
      <c r="H877" s="202"/>
      <c r="I877" s="74"/>
      <c r="J877" s="74"/>
      <c r="K877" s="74"/>
      <c r="L877" s="75"/>
      <c r="M877" s="75"/>
      <c r="N877" s="74"/>
      <c r="O877" s="203"/>
      <c r="P877" s="20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</row>
    <row r="878" spans="1:28" ht="15.75" customHeight="1">
      <c r="A878" s="200"/>
      <c r="B878" s="74"/>
      <c r="C878" s="72"/>
      <c r="D878" s="73"/>
      <c r="E878" s="72"/>
      <c r="F878" s="73"/>
      <c r="G878" s="74"/>
      <c r="H878" s="202"/>
      <c r="I878" s="74"/>
      <c r="J878" s="74"/>
      <c r="K878" s="74"/>
      <c r="L878" s="75"/>
      <c r="M878" s="75"/>
      <c r="N878" s="74"/>
      <c r="O878" s="203"/>
      <c r="P878" s="20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</row>
    <row r="879" spans="1:28" ht="15.75" customHeight="1">
      <c r="A879" s="200"/>
      <c r="B879" s="74"/>
      <c r="C879" s="72"/>
      <c r="D879" s="73"/>
      <c r="E879" s="72"/>
      <c r="F879" s="73"/>
      <c r="G879" s="74"/>
      <c r="H879" s="202"/>
      <c r="I879" s="74"/>
      <c r="J879" s="74"/>
      <c r="K879" s="74"/>
      <c r="L879" s="75"/>
      <c r="M879" s="75"/>
      <c r="N879" s="74"/>
      <c r="O879" s="203"/>
      <c r="P879" s="20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</row>
    <row r="880" spans="1:28" ht="15.75" customHeight="1">
      <c r="A880" s="200"/>
      <c r="B880" s="74"/>
      <c r="C880" s="72"/>
      <c r="D880" s="73"/>
      <c r="E880" s="72"/>
      <c r="F880" s="73"/>
      <c r="G880" s="74"/>
      <c r="H880" s="202"/>
      <c r="I880" s="74"/>
      <c r="J880" s="74"/>
      <c r="K880" s="74"/>
      <c r="L880" s="75"/>
      <c r="M880" s="75"/>
      <c r="N880" s="74"/>
      <c r="O880" s="203"/>
      <c r="P880" s="20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</row>
    <row r="881" spans="1:28" ht="15.75" customHeight="1">
      <c r="A881" s="200"/>
      <c r="B881" s="74"/>
      <c r="C881" s="72"/>
      <c r="D881" s="73"/>
      <c r="E881" s="72"/>
      <c r="F881" s="73"/>
      <c r="G881" s="74"/>
      <c r="H881" s="202"/>
      <c r="I881" s="74"/>
      <c r="J881" s="74"/>
      <c r="K881" s="74"/>
      <c r="L881" s="75"/>
      <c r="M881" s="75"/>
      <c r="N881" s="74"/>
      <c r="O881" s="203"/>
      <c r="P881" s="20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</row>
    <row r="882" spans="1:28" ht="15.75" customHeight="1">
      <c r="A882" s="200"/>
      <c r="B882" s="74"/>
      <c r="C882" s="72"/>
      <c r="D882" s="73"/>
      <c r="E882" s="72"/>
      <c r="F882" s="73"/>
      <c r="G882" s="74"/>
      <c r="H882" s="202"/>
      <c r="I882" s="74"/>
      <c r="J882" s="74"/>
      <c r="K882" s="74"/>
      <c r="L882" s="75"/>
      <c r="M882" s="75"/>
      <c r="N882" s="74"/>
      <c r="O882" s="203"/>
      <c r="P882" s="20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</row>
    <row r="883" spans="1:28" ht="15.75" customHeight="1">
      <c r="A883" s="200"/>
      <c r="B883" s="74"/>
      <c r="C883" s="72"/>
      <c r="D883" s="73"/>
      <c r="E883" s="72"/>
      <c r="F883" s="73"/>
      <c r="G883" s="74"/>
      <c r="H883" s="202"/>
      <c r="I883" s="74"/>
      <c r="J883" s="74"/>
      <c r="K883" s="74"/>
      <c r="L883" s="75"/>
      <c r="M883" s="75"/>
      <c r="N883" s="74"/>
      <c r="O883" s="203"/>
      <c r="P883" s="20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</row>
    <row r="884" spans="1:28" ht="15.75" customHeight="1">
      <c r="A884" s="200"/>
      <c r="B884" s="74"/>
      <c r="C884" s="72"/>
      <c r="D884" s="73"/>
      <c r="E884" s="72"/>
      <c r="F884" s="73"/>
      <c r="G884" s="74"/>
      <c r="H884" s="202"/>
      <c r="I884" s="74"/>
      <c r="J884" s="74"/>
      <c r="K884" s="74"/>
      <c r="L884" s="75"/>
      <c r="M884" s="75"/>
      <c r="N884" s="74"/>
      <c r="O884" s="203"/>
      <c r="P884" s="20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</row>
    <row r="885" spans="1:28" ht="15.75" customHeight="1">
      <c r="A885" s="200"/>
      <c r="B885" s="74"/>
      <c r="C885" s="72"/>
      <c r="D885" s="73"/>
      <c r="E885" s="72"/>
      <c r="F885" s="73"/>
      <c r="G885" s="74"/>
      <c r="H885" s="202"/>
      <c r="I885" s="74"/>
      <c r="J885" s="74"/>
      <c r="K885" s="74"/>
      <c r="L885" s="75"/>
      <c r="M885" s="75"/>
      <c r="N885" s="74"/>
      <c r="O885" s="203"/>
      <c r="P885" s="20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</row>
    <row r="886" spans="1:28" ht="15.75" customHeight="1">
      <c r="A886" s="200"/>
      <c r="B886" s="74"/>
      <c r="C886" s="72"/>
      <c r="D886" s="73"/>
      <c r="E886" s="72"/>
      <c r="F886" s="73"/>
      <c r="G886" s="74"/>
      <c r="H886" s="202"/>
      <c r="I886" s="74"/>
      <c r="J886" s="74"/>
      <c r="K886" s="74"/>
      <c r="L886" s="75"/>
      <c r="M886" s="75"/>
      <c r="N886" s="74"/>
      <c r="O886" s="203"/>
      <c r="P886" s="20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</row>
    <row r="887" spans="1:28" ht="15.75" customHeight="1">
      <c r="A887" s="200"/>
      <c r="B887" s="74"/>
      <c r="C887" s="72"/>
      <c r="D887" s="73"/>
      <c r="E887" s="72"/>
      <c r="F887" s="73"/>
      <c r="G887" s="74"/>
      <c r="H887" s="202"/>
      <c r="I887" s="74"/>
      <c r="J887" s="74"/>
      <c r="K887" s="74"/>
      <c r="L887" s="75"/>
      <c r="M887" s="75"/>
      <c r="N887" s="74"/>
      <c r="O887" s="203"/>
      <c r="P887" s="20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</row>
    <row r="888" spans="1:28" ht="15.75" customHeight="1">
      <c r="A888" s="200"/>
      <c r="B888" s="74"/>
      <c r="C888" s="72"/>
      <c r="D888" s="73"/>
      <c r="E888" s="72"/>
      <c r="F888" s="73"/>
      <c r="G888" s="74"/>
      <c r="H888" s="202"/>
      <c r="I888" s="74"/>
      <c r="J888" s="74"/>
      <c r="K888" s="74"/>
      <c r="L888" s="75"/>
      <c r="M888" s="75"/>
      <c r="N888" s="74"/>
      <c r="O888" s="203"/>
      <c r="P888" s="20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</row>
    <row r="889" spans="1:28" ht="15.75" customHeight="1">
      <c r="A889" s="200"/>
      <c r="B889" s="74"/>
      <c r="C889" s="72"/>
      <c r="D889" s="73"/>
      <c r="E889" s="72"/>
      <c r="F889" s="73"/>
      <c r="G889" s="74"/>
      <c r="H889" s="202"/>
      <c r="I889" s="74"/>
      <c r="J889" s="74"/>
      <c r="K889" s="74"/>
      <c r="L889" s="75"/>
      <c r="M889" s="75"/>
      <c r="N889" s="74"/>
      <c r="O889" s="203"/>
      <c r="P889" s="20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</row>
    <row r="890" spans="1:28" ht="15.75" customHeight="1">
      <c r="A890" s="200"/>
      <c r="B890" s="74"/>
      <c r="C890" s="72"/>
      <c r="D890" s="73"/>
      <c r="E890" s="72"/>
      <c r="F890" s="73"/>
      <c r="G890" s="74"/>
      <c r="H890" s="202"/>
      <c r="I890" s="74"/>
      <c r="J890" s="74"/>
      <c r="K890" s="74"/>
      <c r="L890" s="75"/>
      <c r="M890" s="75"/>
      <c r="N890" s="74"/>
      <c r="O890" s="203"/>
      <c r="P890" s="20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</row>
    <row r="891" spans="1:28" ht="15.75" customHeight="1">
      <c r="A891" s="200"/>
      <c r="B891" s="74"/>
      <c r="C891" s="72"/>
      <c r="D891" s="73"/>
      <c r="E891" s="72"/>
      <c r="F891" s="73"/>
      <c r="G891" s="74"/>
      <c r="H891" s="202"/>
      <c r="I891" s="74"/>
      <c r="J891" s="74"/>
      <c r="K891" s="74"/>
      <c r="L891" s="75"/>
      <c r="M891" s="75"/>
      <c r="N891" s="74"/>
      <c r="O891" s="203"/>
      <c r="P891" s="20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</row>
    <row r="892" spans="1:28" ht="15.75" customHeight="1">
      <c r="A892" s="200"/>
      <c r="B892" s="74"/>
      <c r="C892" s="72"/>
      <c r="D892" s="73"/>
      <c r="E892" s="72"/>
      <c r="F892" s="73"/>
      <c r="G892" s="74"/>
      <c r="H892" s="202"/>
      <c r="I892" s="74"/>
      <c r="J892" s="74"/>
      <c r="K892" s="74"/>
      <c r="L892" s="75"/>
      <c r="M892" s="75"/>
      <c r="N892" s="74"/>
      <c r="O892" s="203"/>
      <c r="P892" s="20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</row>
    <row r="893" spans="1:28" ht="15.75" customHeight="1">
      <c r="A893" s="200"/>
      <c r="B893" s="74"/>
      <c r="C893" s="72"/>
      <c r="D893" s="73"/>
      <c r="E893" s="72"/>
      <c r="F893" s="73"/>
      <c r="G893" s="74"/>
      <c r="H893" s="202"/>
      <c r="I893" s="74"/>
      <c r="J893" s="74"/>
      <c r="K893" s="74"/>
      <c r="L893" s="75"/>
      <c r="M893" s="75"/>
      <c r="N893" s="74"/>
      <c r="O893" s="203"/>
      <c r="P893" s="20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</row>
    <row r="894" spans="1:28" ht="15.75" customHeight="1">
      <c r="A894" s="200"/>
      <c r="B894" s="74"/>
      <c r="C894" s="72"/>
      <c r="D894" s="73"/>
      <c r="E894" s="72"/>
      <c r="F894" s="73"/>
      <c r="G894" s="74"/>
      <c r="H894" s="202"/>
      <c r="I894" s="74"/>
      <c r="J894" s="74"/>
      <c r="K894" s="74"/>
      <c r="L894" s="75"/>
      <c r="M894" s="75"/>
      <c r="N894" s="74"/>
      <c r="O894" s="203"/>
      <c r="P894" s="20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</row>
    <row r="895" spans="1:28" ht="15.75" customHeight="1">
      <c r="A895" s="200"/>
      <c r="B895" s="74"/>
      <c r="C895" s="72"/>
      <c r="D895" s="73"/>
      <c r="E895" s="72"/>
      <c r="F895" s="73"/>
      <c r="G895" s="74"/>
      <c r="H895" s="202"/>
      <c r="I895" s="74"/>
      <c r="J895" s="74"/>
      <c r="K895" s="74"/>
      <c r="L895" s="75"/>
      <c r="M895" s="75"/>
      <c r="N895" s="74"/>
      <c r="O895" s="203"/>
      <c r="P895" s="20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</row>
    <row r="896" spans="1:28" ht="15.75" customHeight="1">
      <c r="A896" s="200"/>
      <c r="B896" s="74"/>
      <c r="C896" s="72"/>
      <c r="D896" s="73"/>
      <c r="E896" s="72"/>
      <c r="F896" s="73"/>
      <c r="G896" s="74"/>
      <c r="H896" s="202"/>
      <c r="I896" s="74"/>
      <c r="J896" s="74"/>
      <c r="K896" s="74"/>
      <c r="L896" s="75"/>
      <c r="M896" s="75"/>
      <c r="N896" s="74"/>
      <c r="O896" s="203"/>
      <c r="P896" s="20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</row>
    <row r="897" spans="1:28" ht="15.75" customHeight="1">
      <c r="A897" s="200"/>
      <c r="B897" s="74"/>
      <c r="C897" s="72"/>
      <c r="D897" s="73"/>
      <c r="E897" s="72"/>
      <c r="F897" s="73"/>
      <c r="G897" s="74"/>
      <c r="H897" s="202"/>
      <c r="I897" s="74"/>
      <c r="J897" s="74"/>
      <c r="K897" s="74"/>
      <c r="L897" s="75"/>
      <c r="M897" s="75"/>
      <c r="N897" s="74"/>
      <c r="O897" s="203"/>
      <c r="P897" s="20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</row>
    <row r="898" spans="1:28" ht="15.75" customHeight="1">
      <c r="A898" s="200"/>
      <c r="B898" s="74"/>
      <c r="C898" s="72"/>
      <c r="D898" s="73"/>
      <c r="E898" s="72"/>
      <c r="F898" s="73"/>
      <c r="G898" s="74"/>
      <c r="H898" s="202"/>
      <c r="I898" s="74"/>
      <c r="J898" s="74"/>
      <c r="K898" s="74"/>
      <c r="L898" s="75"/>
      <c r="M898" s="75"/>
      <c r="N898" s="74"/>
      <c r="O898" s="203"/>
      <c r="P898" s="20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</row>
    <row r="899" spans="1:28" ht="15.75" customHeight="1">
      <c r="A899" s="200"/>
      <c r="B899" s="74"/>
      <c r="C899" s="72"/>
      <c r="D899" s="73"/>
      <c r="E899" s="72"/>
      <c r="F899" s="73"/>
      <c r="G899" s="74"/>
      <c r="H899" s="202"/>
      <c r="I899" s="74"/>
      <c r="J899" s="74"/>
      <c r="K899" s="74"/>
      <c r="L899" s="75"/>
      <c r="M899" s="75"/>
      <c r="N899" s="74"/>
      <c r="O899" s="203"/>
      <c r="P899" s="20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</row>
    <row r="900" spans="1:28" ht="15.75" customHeight="1">
      <c r="A900" s="200"/>
      <c r="B900" s="74"/>
      <c r="C900" s="72"/>
      <c r="D900" s="73"/>
      <c r="E900" s="72"/>
      <c r="F900" s="73"/>
      <c r="G900" s="74"/>
      <c r="H900" s="202"/>
      <c r="I900" s="74"/>
      <c r="J900" s="74"/>
      <c r="K900" s="74"/>
      <c r="L900" s="75"/>
      <c r="M900" s="75"/>
      <c r="N900" s="74"/>
      <c r="O900" s="203"/>
      <c r="P900" s="20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</row>
    <row r="901" spans="1:28" ht="15.75" customHeight="1">
      <c r="A901" s="200"/>
      <c r="B901" s="74"/>
      <c r="C901" s="72"/>
      <c r="D901" s="73"/>
      <c r="E901" s="72"/>
      <c r="F901" s="73"/>
      <c r="G901" s="74"/>
      <c r="H901" s="202"/>
      <c r="I901" s="74"/>
      <c r="J901" s="74"/>
      <c r="K901" s="74"/>
      <c r="L901" s="75"/>
      <c r="M901" s="75"/>
      <c r="N901" s="74"/>
      <c r="O901" s="203"/>
      <c r="P901" s="20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</row>
    <row r="902" spans="1:28" ht="15.75" customHeight="1">
      <c r="A902" s="200"/>
      <c r="B902" s="74"/>
      <c r="C902" s="72"/>
      <c r="D902" s="73"/>
      <c r="E902" s="72"/>
      <c r="F902" s="73"/>
      <c r="G902" s="74"/>
      <c r="H902" s="202"/>
      <c r="I902" s="74"/>
      <c r="J902" s="74"/>
      <c r="K902" s="74"/>
      <c r="L902" s="75"/>
      <c r="M902" s="75"/>
      <c r="N902" s="74"/>
      <c r="O902" s="203"/>
      <c r="P902" s="20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</row>
    <row r="903" spans="1:28" ht="15.75" customHeight="1">
      <c r="A903" s="200"/>
      <c r="B903" s="74"/>
      <c r="C903" s="72"/>
      <c r="D903" s="73"/>
      <c r="E903" s="72"/>
      <c r="F903" s="73"/>
      <c r="G903" s="74"/>
      <c r="H903" s="202"/>
      <c r="I903" s="74"/>
      <c r="J903" s="74"/>
      <c r="K903" s="74"/>
      <c r="L903" s="75"/>
      <c r="M903" s="75"/>
      <c r="N903" s="74"/>
      <c r="O903" s="203"/>
      <c r="P903" s="20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</row>
    <row r="904" spans="1:28" ht="15.75" customHeight="1">
      <c r="A904" s="200"/>
      <c r="B904" s="74"/>
      <c r="C904" s="72"/>
      <c r="D904" s="73"/>
      <c r="E904" s="72"/>
      <c r="F904" s="73"/>
      <c r="G904" s="74"/>
      <c r="H904" s="202"/>
      <c r="I904" s="74"/>
      <c r="J904" s="74"/>
      <c r="K904" s="74"/>
      <c r="L904" s="75"/>
      <c r="M904" s="75"/>
      <c r="N904" s="74"/>
      <c r="O904" s="203"/>
      <c r="P904" s="20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</row>
    <row r="905" spans="1:28" ht="15.75" customHeight="1">
      <c r="A905" s="200"/>
      <c r="B905" s="74"/>
      <c r="C905" s="72"/>
      <c r="D905" s="73"/>
      <c r="E905" s="72"/>
      <c r="F905" s="73"/>
      <c r="G905" s="74"/>
      <c r="H905" s="202"/>
      <c r="I905" s="74"/>
      <c r="J905" s="74"/>
      <c r="K905" s="74"/>
      <c r="L905" s="75"/>
      <c r="M905" s="75"/>
      <c r="N905" s="74"/>
      <c r="O905" s="203"/>
      <c r="P905" s="20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</row>
    <row r="906" spans="1:28" ht="15.75" customHeight="1">
      <c r="A906" s="200"/>
      <c r="B906" s="74"/>
      <c r="C906" s="72"/>
      <c r="D906" s="73"/>
      <c r="E906" s="72"/>
      <c r="F906" s="73"/>
      <c r="G906" s="74"/>
      <c r="H906" s="202"/>
      <c r="I906" s="74"/>
      <c r="J906" s="74"/>
      <c r="K906" s="74"/>
      <c r="L906" s="75"/>
      <c r="M906" s="75"/>
      <c r="N906" s="74"/>
      <c r="O906" s="203"/>
      <c r="P906" s="20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</row>
    <row r="907" spans="1:28" ht="15.75" customHeight="1">
      <c r="A907" s="200"/>
      <c r="B907" s="74"/>
      <c r="C907" s="72"/>
      <c r="D907" s="73"/>
      <c r="E907" s="72"/>
      <c r="F907" s="73"/>
      <c r="G907" s="74"/>
      <c r="H907" s="202"/>
      <c r="I907" s="74"/>
      <c r="J907" s="74"/>
      <c r="K907" s="74"/>
      <c r="L907" s="75"/>
      <c r="M907" s="75"/>
      <c r="N907" s="74"/>
      <c r="O907" s="203"/>
      <c r="P907" s="20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</row>
    <row r="908" spans="1:28" ht="15.75" customHeight="1">
      <c r="A908" s="200"/>
      <c r="B908" s="74"/>
      <c r="C908" s="72"/>
      <c r="D908" s="73"/>
      <c r="E908" s="72"/>
      <c r="F908" s="73"/>
      <c r="G908" s="74"/>
      <c r="H908" s="202"/>
      <c r="I908" s="74"/>
      <c r="J908" s="74"/>
      <c r="K908" s="74"/>
      <c r="L908" s="75"/>
      <c r="M908" s="75"/>
      <c r="N908" s="74"/>
      <c r="O908" s="203"/>
      <c r="P908" s="20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</row>
    <row r="909" spans="1:28" ht="15.75" customHeight="1">
      <c r="A909" s="200"/>
      <c r="B909" s="74"/>
      <c r="C909" s="72"/>
      <c r="D909" s="73"/>
      <c r="E909" s="72"/>
      <c r="F909" s="73"/>
      <c r="G909" s="74"/>
      <c r="H909" s="202"/>
      <c r="I909" s="74"/>
      <c r="J909" s="74"/>
      <c r="K909" s="74"/>
      <c r="L909" s="75"/>
      <c r="M909" s="75"/>
      <c r="N909" s="74"/>
      <c r="O909" s="203"/>
      <c r="P909" s="20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</row>
    <row r="910" spans="1:28" ht="15.75" customHeight="1">
      <c r="A910" s="200"/>
      <c r="B910" s="74"/>
      <c r="C910" s="72"/>
      <c r="D910" s="73"/>
      <c r="E910" s="72"/>
      <c r="F910" s="73"/>
      <c r="G910" s="74"/>
      <c r="H910" s="202"/>
      <c r="I910" s="74"/>
      <c r="J910" s="74"/>
      <c r="K910" s="74"/>
      <c r="L910" s="75"/>
      <c r="M910" s="75"/>
      <c r="N910" s="74"/>
      <c r="O910" s="203"/>
      <c r="P910" s="20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</row>
    <row r="911" spans="1:28" ht="15.75" customHeight="1">
      <c r="A911" s="200"/>
      <c r="B911" s="74"/>
      <c r="C911" s="72"/>
      <c r="D911" s="73"/>
      <c r="E911" s="72"/>
      <c r="F911" s="73"/>
      <c r="G911" s="74"/>
      <c r="H911" s="202"/>
      <c r="I911" s="74"/>
      <c r="J911" s="74"/>
      <c r="K911" s="74"/>
      <c r="L911" s="75"/>
      <c r="M911" s="75"/>
      <c r="N911" s="74"/>
      <c r="O911" s="203"/>
      <c r="P911" s="20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</row>
    <row r="912" spans="1:28" ht="15.75" customHeight="1">
      <c r="A912" s="200"/>
      <c r="B912" s="74"/>
      <c r="C912" s="72"/>
      <c r="D912" s="73"/>
      <c r="E912" s="72"/>
      <c r="F912" s="73"/>
      <c r="G912" s="74"/>
      <c r="H912" s="202"/>
      <c r="I912" s="74"/>
      <c r="J912" s="74"/>
      <c r="K912" s="74"/>
      <c r="L912" s="75"/>
      <c r="M912" s="75"/>
      <c r="N912" s="74"/>
      <c r="O912" s="203"/>
      <c r="P912" s="20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</row>
    <row r="913" spans="1:28" ht="15.75" customHeight="1">
      <c r="A913" s="200"/>
      <c r="B913" s="74"/>
      <c r="C913" s="72"/>
      <c r="D913" s="73"/>
      <c r="E913" s="72"/>
      <c r="F913" s="73"/>
      <c r="G913" s="74"/>
      <c r="H913" s="202"/>
      <c r="I913" s="74"/>
      <c r="J913" s="74"/>
      <c r="K913" s="74"/>
      <c r="L913" s="75"/>
      <c r="M913" s="75"/>
      <c r="N913" s="74"/>
      <c r="O913" s="203"/>
      <c r="P913" s="20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</row>
    <row r="914" spans="1:28" ht="15.75" customHeight="1">
      <c r="A914" s="200"/>
      <c r="B914" s="74"/>
      <c r="C914" s="72"/>
      <c r="D914" s="73"/>
      <c r="E914" s="72"/>
      <c r="F914" s="73"/>
      <c r="G914" s="74"/>
      <c r="H914" s="202"/>
      <c r="I914" s="74"/>
      <c r="J914" s="74"/>
      <c r="K914" s="74"/>
      <c r="L914" s="75"/>
      <c r="M914" s="75"/>
      <c r="N914" s="74"/>
      <c r="O914" s="203"/>
      <c r="P914" s="20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</row>
    <row r="915" spans="1:28" ht="15.75" customHeight="1">
      <c r="A915" s="200"/>
      <c r="B915" s="74"/>
      <c r="C915" s="72"/>
      <c r="D915" s="73"/>
      <c r="E915" s="72"/>
      <c r="F915" s="73"/>
      <c r="G915" s="74"/>
      <c r="H915" s="202"/>
      <c r="I915" s="74"/>
      <c r="J915" s="74"/>
      <c r="K915" s="74"/>
      <c r="L915" s="75"/>
      <c r="M915" s="75"/>
      <c r="N915" s="74"/>
      <c r="O915" s="203"/>
      <c r="P915" s="20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</row>
    <row r="916" spans="1:28" ht="15.75" customHeight="1">
      <c r="A916" s="200"/>
      <c r="B916" s="74"/>
      <c r="C916" s="72"/>
      <c r="D916" s="73"/>
      <c r="E916" s="72"/>
      <c r="F916" s="73"/>
      <c r="G916" s="74"/>
      <c r="H916" s="202"/>
      <c r="I916" s="74"/>
      <c r="J916" s="74"/>
      <c r="K916" s="74"/>
      <c r="L916" s="75"/>
      <c r="M916" s="75"/>
      <c r="N916" s="74"/>
      <c r="O916" s="203"/>
      <c r="P916" s="20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</row>
    <row r="917" spans="1:28" ht="15.75" customHeight="1">
      <c r="A917" s="200"/>
      <c r="B917" s="74"/>
      <c r="C917" s="72"/>
      <c r="D917" s="73"/>
      <c r="E917" s="72"/>
      <c r="F917" s="73"/>
      <c r="G917" s="74"/>
      <c r="H917" s="202"/>
      <c r="I917" s="74"/>
      <c r="J917" s="74"/>
      <c r="K917" s="74"/>
      <c r="L917" s="75"/>
      <c r="M917" s="75"/>
      <c r="N917" s="74"/>
      <c r="O917" s="203"/>
      <c r="P917" s="20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</row>
    <row r="918" spans="1:28" ht="15.75" customHeight="1">
      <c r="A918" s="200"/>
      <c r="B918" s="74"/>
      <c r="C918" s="72"/>
      <c r="D918" s="73"/>
      <c r="E918" s="72"/>
      <c r="F918" s="73"/>
      <c r="G918" s="74"/>
      <c r="H918" s="202"/>
      <c r="I918" s="74"/>
      <c r="J918" s="74"/>
      <c r="K918" s="74"/>
      <c r="L918" s="75"/>
      <c r="M918" s="75"/>
      <c r="N918" s="74"/>
      <c r="O918" s="203"/>
      <c r="P918" s="20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</row>
    <row r="919" spans="1:28" ht="15.75" customHeight="1">
      <c r="A919" s="200"/>
      <c r="B919" s="74"/>
      <c r="C919" s="72"/>
      <c r="D919" s="73"/>
      <c r="E919" s="72"/>
      <c r="F919" s="73"/>
      <c r="G919" s="74"/>
      <c r="H919" s="202"/>
      <c r="I919" s="74"/>
      <c r="J919" s="74"/>
      <c r="K919" s="74"/>
      <c r="L919" s="75"/>
      <c r="M919" s="75"/>
      <c r="N919" s="74"/>
      <c r="O919" s="203"/>
      <c r="P919" s="20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</row>
    <row r="920" spans="1:28" ht="15.75" customHeight="1">
      <c r="A920" s="200"/>
      <c r="B920" s="74"/>
      <c r="C920" s="72"/>
      <c r="D920" s="73"/>
      <c r="E920" s="72"/>
      <c r="F920" s="73"/>
      <c r="G920" s="74"/>
      <c r="H920" s="202"/>
      <c r="I920" s="74"/>
      <c r="J920" s="74"/>
      <c r="K920" s="74"/>
      <c r="L920" s="75"/>
      <c r="M920" s="75"/>
      <c r="N920" s="74"/>
      <c r="O920" s="203"/>
      <c r="P920" s="20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</row>
    <row r="921" spans="1:28" ht="15.75" customHeight="1">
      <c r="A921" s="200"/>
      <c r="B921" s="74"/>
      <c r="C921" s="72"/>
      <c r="D921" s="73"/>
      <c r="E921" s="72"/>
      <c r="F921" s="73"/>
      <c r="G921" s="74"/>
      <c r="H921" s="202"/>
      <c r="I921" s="74"/>
      <c r="J921" s="74"/>
      <c r="K921" s="74"/>
      <c r="L921" s="75"/>
      <c r="M921" s="75"/>
      <c r="N921" s="74"/>
      <c r="O921" s="203"/>
      <c r="P921" s="20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</row>
    <row r="922" spans="1:28" ht="15.75" customHeight="1">
      <c r="A922" s="200"/>
      <c r="B922" s="74"/>
      <c r="C922" s="72"/>
      <c r="D922" s="73"/>
      <c r="E922" s="72"/>
      <c r="F922" s="73"/>
      <c r="G922" s="74"/>
      <c r="H922" s="202"/>
      <c r="I922" s="74"/>
      <c r="J922" s="74"/>
      <c r="K922" s="74"/>
      <c r="L922" s="75"/>
      <c r="M922" s="75"/>
      <c r="N922" s="74"/>
      <c r="O922" s="203"/>
      <c r="P922" s="20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</row>
    <row r="923" spans="1:28" ht="15.75" customHeight="1">
      <c r="A923" s="200"/>
      <c r="B923" s="74"/>
      <c r="C923" s="72"/>
      <c r="D923" s="73"/>
      <c r="E923" s="72"/>
      <c r="F923" s="73"/>
      <c r="G923" s="74"/>
      <c r="H923" s="202"/>
      <c r="I923" s="74"/>
      <c r="J923" s="74"/>
      <c r="K923" s="74"/>
      <c r="L923" s="75"/>
      <c r="M923" s="75"/>
      <c r="N923" s="74"/>
      <c r="O923" s="203"/>
      <c r="P923" s="20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</row>
    <row r="924" spans="1:28" ht="15.75" customHeight="1">
      <c r="A924" s="200"/>
      <c r="B924" s="74"/>
      <c r="C924" s="72"/>
      <c r="D924" s="73"/>
      <c r="E924" s="72"/>
      <c r="F924" s="73"/>
      <c r="G924" s="74"/>
      <c r="H924" s="202"/>
      <c r="I924" s="74"/>
      <c r="J924" s="74"/>
      <c r="K924" s="74"/>
      <c r="L924" s="75"/>
      <c r="M924" s="75"/>
      <c r="N924" s="74"/>
      <c r="O924" s="203"/>
      <c r="P924" s="20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</row>
    <row r="925" spans="1:28" ht="15.75" customHeight="1">
      <c r="A925" s="200"/>
      <c r="B925" s="74"/>
      <c r="C925" s="72"/>
      <c r="D925" s="73"/>
      <c r="E925" s="72"/>
      <c r="F925" s="73"/>
      <c r="G925" s="74"/>
      <c r="H925" s="202"/>
      <c r="I925" s="74"/>
      <c r="J925" s="74"/>
      <c r="K925" s="74"/>
      <c r="L925" s="75"/>
      <c r="M925" s="75"/>
      <c r="N925" s="74"/>
      <c r="O925" s="203"/>
      <c r="P925" s="20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</row>
    <row r="926" spans="1:28" ht="15.75" customHeight="1">
      <c r="A926" s="200"/>
      <c r="B926" s="74"/>
      <c r="C926" s="72"/>
      <c r="D926" s="73"/>
      <c r="E926" s="72"/>
      <c r="F926" s="73"/>
      <c r="G926" s="74"/>
      <c r="H926" s="202"/>
      <c r="I926" s="74"/>
      <c r="J926" s="74"/>
      <c r="K926" s="74"/>
      <c r="L926" s="75"/>
      <c r="M926" s="75"/>
      <c r="N926" s="74"/>
      <c r="O926" s="203"/>
      <c r="P926" s="20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</row>
    <row r="927" spans="1:28" ht="15.75" customHeight="1">
      <c r="A927" s="200"/>
      <c r="B927" s="74"/>
      <c r="C927" s="72"/>
      <c r="D927" s="73"/>
      <c r="E927" s="72"/>
      <c r="F927" s="73"/>
      <c r="G927" s="74"/>
      <c r="H927" s="202"/>
      <c r="I927" s="74"/>
      <c r="J927" s="74"/>
      <c r="K927" s="74"/>
      <c r="L927" s="75"/>
      <c r="M927" s="75"/>
      <c r="N927" s="74"/>
      <c r="O927" s="203"/>
      <c r="P927" s="20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</row>
    <row r="928" spans="1:28" ht="15.75" customHeight="1">
      <c r="A928" s="200"/>
      <c r="B928" s="74"/>
      <c r="C928" s="72"/>
      <c r="D928" s="73"/>
      <c r="E928" s="72"/>
      <c r="F928" s="73"/>
      <c r="G928" s="74"/>
      <c r="H928" s="202"/>
      <c r="I928" s="74"/>
      <c r="J928" s="74"/>
      <c r="K928" s="74"/>
      <c r="L928" s="75"/>
      <c r="M928" s="75"/>
      <c r="N928" s="74"/>
      <c r="O928" s="203"/>
      <c r="P928" s="20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</row>
    <row r="929" spans="1:28" ht="15.75" customHeight="1">
      <c r="A929" s="200"/>
      <c r="B929" s="74"/>
      <c r="C929" s="72"/>
      <c r="D929" s="73"/>
      <c r="E929" s="72"/>
      <c r="F929" s="73"/>
      <c r="G929" s="74"/>
      <c r="H929" s="202"/>
      <c r="I929" s="74"/>
      <c r="J929" s="74"/>
      <c r="K929" s="74"/>
      <c r="L929" s="75"/>
      <c r="M929" s="75"/>
      <c r="N929" s="74"/>
      <c r="O929" s="203"/>
      <c r="P929" s="20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</row>
    <row r="930" spans="1:28" ht="15.75" customHeight="1">
      <c r="A930" s="200"/>
      <c r="B930" s="74"/>
      <c r="C930" s="72"/>
      <c r="D930" s="73"/>
      <c r="E930" s="72"/>
      <c r="F930" s="73"/>
      <c r="G930" s="74"/>
      <c r="H930" s="202"/>
      <c r="I930" s="74"/>
      <c r="J930" s="74"/>
      <c r="K930" s="74"/>
      <c r="L930" s="75"/>
      <c r="M930" s="75"/>
      <c r="N930" s="74"/>
      <c r="O930" s="203"/>
      <c r="P930" s="20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</row>
    <row r="931" spans="1:28" ht="15.75" customHeight="1">
      <c r="A931" s="200"/>
      <c r="B931" s="74"/>
      <c r="C931" s="72"/>
      <c r="D931" s="73"/>
      <c r="E931" s="72"/>
      <c r="F931" s="73"/>
      <c r="G931" s="74"/>
      <c r="H931" s="202"/>
      <c r="I931" s="74"/>
      <c r="J931" s="74"/>
      <c r="K931" s="74"/>
      <c r="L931" s="75"/>
      <c r="M931" s="75"/>
      <c r="N931" s="74"/>
      <c r="O931" s="203"/>
      <c r="P931" s="20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</row>
    <row r="932" spans="1:28" ht="15.75" customHeight="1">
      <c r="A932" s="200"/>
      <c r="B932" s="74"/>
      <c r="C932" s="72"/>
      <c r="D932" s="73"/>
      <c r="E932" s="72"/>
      <c r="F932" s="73"/>
      <c r="G932" s="74"/>
      <c r="H932" s="202"/>
      <c r="I932" s="74"/>
      <c r="J932" s="74"/>
      <c r="K932" s="74"/>
      <c r="L932" s="75"/>
      <c r="M932" s="75"/>
      <c r="N932" s="74"/>
      <c r="O932" s="203"/>
      <c r="P932" s="20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</row>
    <row r="933" spans="1:28" ht="15.75" customHeight="1">
      <c r="A933" s="200"/>
      <c r="B933" s="74"/>
      <c r="C933" s="72"/>
      <c r="D933" s="73"/>
      <c r="E933" s="72"/>
      <c r="F933" s="73"/>
      <c r="G933" s="74"/>
      <c r="H933" s="202"/>
      <c r="I933" s="74"/>
      <c r="J933" s="74"/>
      <c r="K933" s="74"/>
      <c r="L933" s="75"/>
      <c r="M933" s="75"/>
      <c r="N933" s="74"/>
      <c r="O933" s="203"/>
      <c r="P933" s="20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</row>
    <row r="934" spans="1:28" ht="15.75" customHeight="1">
      <c r="A934" s="200"/>
      <c r="B934" s="74"/>
      <c r="C934" s="72"/>
      <c r="D934" s="73"/>
      <c r="E934" s="72"/>
      <c r="F934" s="73"/>
      <c r="G934" s="74"/>
      <c r="H934" s="202"/>
      <c r="I934" s="74"/>
      <c r="J934" s="74"/>
      <c r="K934" s="74"/>
      <c r="L934" s="75"/>
      <c r="M934" s="75"/>
      <c r="N934" s="74"/>
      <c r="O934" s="203"/>
      <c r="P934" s="20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</row>
    <row r="935" spans="1:28" ht="15.75" customHeight="1">
      <c r="A935" s="200"/>
      <c r="B935" s="74"/>
      <c r="C935" s="72"/>
      <c r="D935" s="73"/>
      <c r="E935" s="72"/>
      <c r="F935" s="73"/>
      <c r="G935" s="74"/>
      <c r="H935" s="202"/>
      <c r="I935" s="74"/>
      <c r="J935" s="74"/>
      <c r="K935" s="74"/>
      <c r="L935" s="75"/>
      <c r="M935" s="75"/>
      <c r="N935" s="74"/>
      <c r="O935" s="203"/>
      <c r="P935" s="20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</row>
    <row r="936" spans="1:28" ht="15.75" customHeight="1">
      <c r="A936" s="200"/>
      <c r="B936" s="74"/>
      <c r="C936" s="72"/>
      <c r="D936" s="73"/>
      <c r="E936" s="72"/>
      <c r="F936" s="73"/>
      <c r="G936" s="74"/>
      <c r="H936" s="202"/>
      <c r="I936" s="74"/>
      <c r="J936" s="74"/>
      <c r="K936" s="74"/>
      <c r="L936" s="75"/>
      <c r="M936" s="75"/>
      <c r="N936" s="74"/>
      <c r="O936" s="203"/>
      <c r="P936" s="20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</row>
    <row r="937" spans="1:28" ht="15.75" customHeight="1">
      <c r="A937" s="200"/>
      <c r="B937" s="74"/>
      <c r="C937" s="72"/>
      <c r="D937" s="73"/>
      <c r="E937" s="72"/>
      <c r="F937" s="73"/>
      <c r="G937" s="74"/>
      <c r="H937" s="202"/>
      <c r="I937" s="74"/>
      <c r="J937" s="74"/>
      <c r="K937" s="74"/>
      <c r="L937" s="75"/>
      <c r="M937" s="75"/>
      <c r="N937" s="74"/>
      <c r="O937" s="203"/>
      <c r="P937" s="20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</row>
    <row r="938" spans="1:28" ht="15.75" customHeight="1">
      <c r="A938" s="200"/>
      <c r="B938" s="74"/>
      <c r="C938" s="72"/>
      <c r="D938" s="73"/>
      <c r="E938" s="72"/>
      <c r="F938" s="73"/>
      <c r="G938" s="74"/>
      <c r="H938" s="202"/>
      <c r="I938" s="74"/>
      <c r="J938" s="74"/>
      <c r="K938" s="74"/>
      <c r="L938" s="75"/>
      <c r="M938" s="75"/>
      <c r="N938" s="74"/>
      <c r="O938" s="203"/>
      <c r="P938" s="20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</row>
    <row r="939" spans="1:28" ht="15.75" customHeight="1">
      <c r="A939" s="200"/>
      <c r="B939" s="74"/>
      <c r="C939" s="72"/>
      <c r="D939" s="73"/>
      <c r="E939" s="72"/>
      <c r="F939" s="73"/>
      <c r="G939" s="74"/>
      <c r="H939" s="202"/>
      <c r="I939" s="74"/>
      <c r="J939" s="74"/>
      <c r="K939" s="74"/>
      <c r="L939" s="75"/>
      <c r="M939" s="75"/>
      <c r="N939" s="74"/>
      <c r="O939" s="203"/>
      <c r="P939" s="20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</row>
    <row r="940" spans="1:28" ht="15.75" customHeight="1">
      <c r="A940" s="200"/>
      <c r="B940" s="74"/>
      <c r="C940" s="72"/>
      <c r="D940" s="73"/>
      <c r="E940" s="72"/>
      <c r="F940" s="73"/>
      <c r="G940" s="74"/>
      <c r="H940" s="202"/>
      <c r="I940" s="74"/>
      <c r="J940" s="74"/>
      <c r="K940" s="74"/>
      <c r="L940" s="75"/>
      <c r="M940" s="75"/>
      <c r="N940" s="74"/>
      <c r="O940" s="203"/>
      <c r="P940" s="20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</row>
    <row r="941" spans="1:28" ht="15.75" customHeight="1">
      <c r="A941" s="200"/>
      <c r="B941" s="74"/>
      <c r="C941" s="72"/>
      <c r="D941" s="73"/>
      <c r="E941" s="72"/>
      <c r="F941" s="73"/>
      <c r="G941" s="74"/>
      <c r="H941" s="202"/>
      <c r="I941" s="74"/>
      <c r="J941" s="74"/>
      <c r="K941" s="74"/>
      <c r="L941" s="75"/>
      <c r="M941" s="75"/>
      <c r="N941" s="74"/>
      <c r="O941" s="203"/>
      <c r="P941" s="20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</row>
    <row r="942" spans="1:28" ht="15.75" customHeight="1">
      <c r="A942" s="200"/>
      <c r="B942" s="74"/>
      <c r="C942" s="72"/>
      <c r="D942" s="73"/>
      <c r="E942" s="72"/>
      <c r="F942" s="73"/>
      <c r="G942" s="74"/>
      <c r="H942" s="202"/>
      <c r="I942" s="74"/>
      <c r="J942" s="74"/>
      <c r="K942" s="74"/>
      <c r="L942" s="75"/>
      <c r="M942" s="75"/>
      <c r="N942" s="74"/>
      <c r="O942" s="203"/>
      <c r="P942" s="20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</row>
    <row r="943" spans="1:28" ht="15.75" customHeight="1">
      <c r="A943" s="200"/>
      <c r="B943" s="74"/>
      <c r="C943" s="72"/>
      <c r="D943" s="73"/>
      <c r="E943" s="72"/>
      <c r="F943" s="73"/>
      <c r="G943" s="74"/>
      <c r="H943" s="202"/>
      <c r="I943" s="74"/>
      <c r="J943" s="74"/>
      <c r="K943" s="74"/>
      <c r="L943" s="75"/>
      <c r="M943" s="75"/>
      <c r="N943" s="74"/>
      <c r="O943" s="203"/>
      <c r="P943" s="20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</row>
    <row r="944" spans="1:28" ht="15.75" customHeight="1">
      <c r="A944" s="200"/>
      <c r="B944" s="74"/>
      <c r="C944" s="72"/>
      <c r="D944" s="73"/>
      <c r="E944" s="72"/>
      <c r="F944" s="73"/>
      <c r="G944" s="74"/>
      <c r="H944" s="202"/>
      <c r="I944" s="74"/>
      <c r="J944" s="74"/>
      <c r="K944" s="74"/>
      <c r="L944" s="75"/>
      <c r="M944" s="75"/>
      <c r="N944" s="74"/>
      <c r="O944" s="203"/>
      <c r="P944" s="20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</row>
    <row r="945" spans="1:28" ht="15.75" customHeight="1">
      <c r="A945" s="200"/>
      <c r="B945" s="74"/>
      <c r="C945" s="72"/>
      <c r="D945" s="73"/>
      <c r="E945" s="72"/>
      <c r="F945" s="73"/>
      <c r="G945" s="74"/>
      <c r="H945" s="202"/>
      <c r="I945" s="74"/>
      <c r="J945" s="74"/>
      <c r="K945" s="74"/>
      <c r="L945" s="75"/>
      <c r="M945" s="75"/>
      <c r="N945" s="74"/>
      <c r="O945" s="203"/>
      <c r="P945" s="20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</row>
    <row r="946" spans="1:28" ht="15.75" customHeight="1">
      <c r="A946" s="200"/>
      <c r="B946" s="74"/>
      <c r="C946" s="72"/>
      <c r="D946" s="73"/>
      <c r="E946" s="72"/>
      <c r="F946" s="73"/>
      <c r="G946" s="74"/>
      <c r="H946" s="202"/>
      <c r="I946" s="74"/>
      <c r="J946" s="74"/>
      <c r="K946" s="74"/>
      <c r="L946" s="75"/>
      <c r="M946" s="75"/>
      <c r="N946" s="74"/>
      <c r="O946" s="203"/>
      <c r="P946" s="20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</row>
    <row r="947" spans="1:28" ht="15.75" customHeight="1">
      <c r="A947" s="200"/>
      <c r="B947" s="74"/>
      <c r="C947" s="72"/>
      <c r="D947" s="73"/>
      <c r="E947" s="72"/>
      <c r="F947" s="73"/>
      <c r="G947" s="74"/>
      <c r="H947" s="202"/>
      <c r="I947" s="74"/>
      <c r="J947" s="74"/>
      <c r="K947" s="74"/>
      <c r="L947" s="75"/>
      <c r="M947" s="75"/>
      <c r="N947" s="74"/>
      <c r="O947" s="203"/>
      <c r="P947" s="20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</row>
    <row r="948" spans="1:28" ht="15.75" customHeight="1">
      <c r="A948" s="200"/>
      <c r="B948" s="74"/>
      <c r="C948" s="72"/>
      <c r="D948" s="73"/>
      <c r="E948" s="72"/>
      <c r="F948" s="73"/>
      <c r="G948" s="74"/>
      <c r="H948" s="202"/>
      <c r="I948" s="74"/>
      <c r="J948" s="74"/>
      <c r="K948" s="74"/>
      <c r="L948" s="75"/>
      <c r="M948" s="75"/>
      <c r="N948" s="74"/>
      <c r="O948" s="203"/>
      <c r="P948" s="20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</row>
    <row r="949" spans="1:28" ht="15.75" customHeight="1">
      <c r="A949" s="200"/>
      <c r="B949" s="74"/>
      <c r="C949" s="72"/>
      <c r="D949" s="73"/>
      <c r="E949" s="72"/>
      <c r="F949" s="73"/>
      <c r="G949" s="74"/>
      <c r="H949" s="202"/>
      <c r="I949" s="74"/>
      <c r="J949" s="74"/>
      <c r="K949" s="74"/>
      <c r="L949" s="75"/>
      <c r="M949" s="75"/>
      <c r="N949" s="74"/>
      <c r="O949" s="203"/>
      <c r="P949" s="20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</row>
    <row r="950" spans="1:28" ht="15.75" customHeight="1">
      <c r="A950" s="200"/>
      <c r="B950" s="74"/>
      <c r="C950" s="72"/>
      <c r="D950" s="73"/>
      <c r="E950" s="72"/>
      <c r="F950" s="73"/>
      <c r="G950" s="74"/>
      <c r="H950" s="202"/>
      <c r="I950" s="74"/>
      <c r="J950" s="74"/>
      <c r="K950" s="74"/>
      <c r="L950" s="75"/>
      <c r="M950" s="75"/>
      <c r="N950" s="74"/>
      <c r="O950" s="203"/>
      <c r="P950" s="20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</row>
    <row r="951" spans="1:28" ht="15.75" customHeight="1">
      <c r="A951" s="200"/>
      <c r="B951" s="74"/>
      <c r="C951" s="72"/>
      <c r="D951" s="73"/>
      <c r="E951" s="72"/>
      <c r="F951" s="73"/>
      <c r="G951" s="74"/>
      <c r="H951" s="202"/>
      <c r="I951" s="74"/>
      <c r="J951" s="74"/>
      <c r="K951" s="74"/>
      <c r="L951" s="75"/>
      <c r="M951" s="75"/>
      <c r="N951" s="74"/>
      <c r="O951" s="203"/>
      <c r="P951" s="20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</row>
    <row r="952" spans="1:28" ht="15.75" customHeight="1">
      <c r="A952" s="200"/>
      <c r="B952" s="74"/>
      <c r="C952" s="72"/>
      <c r="D952" s="73"/>
      <c r="E952" s="72"/>
      <c r="F952" s="73"/>
      <c r="G952" s="74"/>
      <c r="H952" s="202"/>
      <c r="I952" s="74"/>
      <c r="J952" s="74"/>
      <c r="K952" s="74"/>
      <c r="L952" s="75"/>
      <c r="M952" s="75"/>
      <c r="N952" s="74"/>
      <c r="O952" s="203"/>
      <c r="P952" s="20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</row>
    <row r="953" spans="1:28" ht="15.75" customHeight="1">
      <c r="A953" s="200"/>
      <c r="B953" s="74"/>
      <c r="C953" s="72"/>
      <c r="D953" s="73"/>
      <c r="E953" s="72"/>
      <c r="F953" s="73"/>
      <c r="G953" s="74"/>
      <c r="H953" s="202"/>
      <c r="I953" s="74"/>
      <c r="J953" s="74"/>
      <c r="K953" s="74"/>
      <c r="L953" s="75"/>
      <c r="M953" s="75"/>
      <c r="N953" s="74"/>
      <c r="O953" s="203"/>
      <c r="P953" s="20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</row>
    <row r="954" spans="1:28" ht="15.75" customHeight="1">
      <c r="A954" s="200"/>
      <c r="B954" s="74"/>
      <c r="C954" s="72"/>
      <c r="D954" s="73"/>
      <c r="E954" s="72"/>
      <c r="F954" s="73"/>
      <c r="G954" s="74"/>
      <c r="H954" s="202"/>
      <c r="I954" s="74"/>
      <c r="J954" s="74"/>
      <c r="K954" s="74"/>
      <c r="L954" s="75"/>
      <c r="M954" s="75"/>
      <c r="N954" s="74"/>
      <c r="O954" s="203"/>
      <c r="P954" s="20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</row>
    <row r="955" spans="1:28" ht="15.75" customHeight="1">
      <c r="A955" s="200"/>
      <c r="B955" s="74"/>
      <c r="C955" s="72"/>
      <c r="D955" s="73"/>
      <c r="E955" s="72"/>
      <c r="F955" s="73"/>
      <c r="G955" s="74"/>
      <c r="H955" s="202"/>
      <c r="I955" s="74"/>
      <c r="J955" s="74"/>
      <c r="K955" s="74"/>
      <c r="L955" s="75"/>
      <c r="M955" s="75"/>
      <c r="N955" s="74"/>
      <c r="O955" s="203"/>
      <c r="P955" s="20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</row>
    <row r="956" spans="1:28" ht="15.75" customHeight="1">
      <c r="A956" s="200"/>
      <c r="B956" s="74"/>
      <c r="C956" s="72"/>
      <c r="D956" s="73"/>
      <c r="E956" s="72"/>
      <c r="F956" s="73"/>
      <c r="G956" s="74"/>
      <c r="H956" s="202"/>
      <c r="I956" s="74"/>
      <c r="J956" s="74"/>
      <c r="K956" s="74"/>
      <c r="L956" s="75"/>
      <c r="M956" s="75"/>
      <c r="N956" s="74"/>
      <c r="O956" s="203"/>
      <c r="P956" s="20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</row>
    <row r="957" spans="1:28" ht="15.75" customHeight="1">
      <c r="A957" s="200"/>
      <c r="B957" s="74"/>
      <c r="C957" s="72"/>
      <c r="D957" s="73"/>
      <c r="E957" s="72"/>
      <c r="F957" s="73"/>
      <c r="G957" s="74"/>
      <c r="H957" s="202"/>
      <c r="I957" s="74"/>
      <c r="J957" s="74"/>
      <c r="K957" s="74"/>
      <c r="L957" s="75"/>
      <c r="M957" s="75"/>
      <c r="N957" s="74"/>
      <c r="O957" s="203"/>
      <c r="P957" s="20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</row>
    <row r="958" spans="1:28" ht="15.75" customHeight="1">
      <c r="A958" s="200"/>
      <c r="B958" s="74"/>
      <c r="C958" s="72"/>
      <c r="D958" s="73"/>
      <c r="E958" s="72"/>
      <c r="F958" s="73"/>
      <c r="G958" s="74"/>
      <c r="H958" s="202"/>
      <c r="I958" s="74"/>
      <c r="J958" s="74"/>
      <c r="K958" s="74"/>
      <c r="L958" s="75"/>
      <c r="M958" s="75"/>
      <c r="N958" s="74"/>
      <c r="O958" s="203"/>
      <c r="P958" s="20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</row>
    <row r="959" spans="1:28" ht="15.75" customHeight="1">
      <c r="A959" s="200"/>
      <c r="B959" s="74"/>
      <c r="C959" s="72"/>
      <c r="D959" s="73"/>
      <c r="E959" s="72"/>
      <c r="F959" s="73"/>
      <c r="G959" s="74"/>
      <c r="H959" s="202"/>
      <c r="I959" s="74"/>
      <c r="J959" s="74"/>
      <c r="K959" s="74"/>
      <c r="L959" s="75"/>
      <c r="M959" s="75"/>
      <c r="N959" s="74"/>
      <c r="O959" s="203"/>
      <c r="P959" s="20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</row>
    <row r="960" spans="1:28" ht="15.75" customHeight="1">
      <c r="A960" s="200"/>
      <c r="B960" s="74"/>
      <c r="C960" s="72"/>
      <c r="D960" s="73"/>
      <c r="E960" s="72"/>
      <c r="F960" s="73"/>
      <c r="G960" s="74"/>
      <c r="H960" s="202"/>
      <c r="I960" s="74"/>
      <c r="J960" s="74"/>
      <c r="K960" s="74"/>
      <c r="L960" s="75"/>
      <c r="M960" s="75"/>
      <c r="N960" s="74"/>
      <c r="O960" s="203"/>
      <c r="P960" s="20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</row>
    <row r="961" spans="1:28" ht="15.75" customHeight="1">
      <c r="A961" s="200"/>
      <c r="B961" s="74"/>
      <c r="C961" s="72"/>
      <c r="D961" s="73"/>
      <c r="E961" s="72"/>
      <c r="F961" s="73"/>
      <c r="G961" s="74"/>
      <c r="H961" s="202"/>
      <c r="I961" s="74"/>
      <c r="J961" s="74"/>
      <c r="K961" s="74"/>
      <c r="L961" s="75"/>
      <c r="M961" s="75"/>
      <c r="N961" s="74"/>
      <c r="O961" s="203"/>
      <c r="P961" s="20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</row>
    <row r="962" spans="1:28" ht="15.75" customHeight="1">
      <c r="A962" s="200"/>
      <c r="B962" s="74"/>
      <c r="C962" s="72"/>
      <c r="D962" s="73"/>
      <c r="E962" s="72"/>
      <c r="F962" s="73"/>
      <c r="G962" s="74"/>
      <c r="H962" s="202"/>
      <c r="I962" s="74"/>
      <c r="J962" s="74"/>
      <c r="K962" s="74"/>
      <c r="L962" s="75"/>
      <c r="M962" s="75"/>
      <c r="N962" s="74"/>
      <c r="O962" s="203"/>
      <c r="P962" s="20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</row>
    <row r="963" spans="1:28" ht="15.75" customHeight="1">
      <c r="A963" s="200"/>
      <c r="B963" s="74"/>
      <c r="C963" s="72"/>
      <c r="D963" s="73"/>
      <c r="E963" s="72"/>
      <c r="F963" s="73"/>
      <c r="G963" s="74"/>
      <c r="H963" s="202"/>
      <c r="I963" s="74"/>
      <c r="J963" s="74"/>
      <c r="K963" s="74"/>
      <c r="L963" s="75"/>
      <c r="M963" s="75"/>
      <c r="N963" s="74"/>
      <c r="O963" s="203"/>
      <c r="P963" s="20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</row>
    <row r="964" spans="1:28" ht="15.75" customHeight="1">
      <c r="A964" s="200"/>
      <c r="B964" s="74"/>
      <c r="C964" s="72"/>
      <c r="D964" s="73"/>
      <c r="E964" s="72"/>
      <c r="F964" s="73"/>
      <c r="G964" s="74"/>
      <c r="H964" s="202"/>
      <c r="I964" s="74"/>
      <c r="J964" s="74"/>
      <c r="K964" s="74"/>
      <c r="L964" s="75"/>
      <c r="M964" s="75"/>
      <c r="N964" s="74"/>
      <c r="O964" s="203"/>
      <c r="P964" s="20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</row>
    <row r="965" spans="1:28" ht="15.75" customHeight="1">
      <c r="A965" s="200"/>
      <c r="B965" s="74"/>
      <c r="C965" s="72"/>
      <c r="D965" s="73"/>
      <c r="E965" s="72"/>
      <c r="F965" s="73"/>
      <c r="G965" s="74"/>
      <c r="H965" s="202"/>
      <c r="I965" s="74"/>
      <c r="J965" s="74"/>
      <c r="K965" s="74"/>
      <c r="L965" s="75"/>
      <c r="M965" s="75"/>
      <c r="N965" s="74"/>
      <c r="O965" s="203"/>
      <c r="P965" s="20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</row>
    <row r="966" spans="1:28" ht="15.75" customHeight="1">
      <c r="A966" s="200"/>
      <c r="B966" s="74"/>
      <c r="C966" s="72"/>
      <c r="D966" s="73"/>
      <c r="E966" s="72"/>
      <c r="F966" s="73"/>
      <c r="G966" s="74"/>
      <c r="H966" s="202"/>
      <c r="I966" s="74"/>
      <c r="J966" s="74"/>
      <c r="K966" s="74"/>
      <c r="L966" s="75"/>
      <c r="M966" s="75"/>
      <c r="N966" s="74"/>
      <c r="O966" s="203"/>
      <c r="P966" s="20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</row>
    <row r="967" spans="1:28" ht="15.75" customHeight="1">
      <c r="A967" s="200"/>
      <c r="B967" s="74"/>
      <c r="C967" s="72"/>
      <c r="D967" s="73"/>
      <c r="E967" s="72"/>
      <c r="F967" s="73"/>
      <c r="G967" s="74"/>
      <c r="H967" s="202"/>
      <c r="I967" s="74"/>
      <c r="J967" s="74"/>
      <c r="K967" s="74"/>
      <c r="L967" s="75"/>
      <c r="M967" s="75"/>
      <c r="N967" s="74"/>
      <c r="O967" s="203"/>
      <c r="P967" s="20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</row>
    <row r="968" spans="1:28" ht="15.75" customHeight="1">
      <c r="A968" s="200"/>
      <c r="B968" s="74"/>
      <c r="C968" s="72"/>
      <c r="D968" s="73"/>
      <c r="E968" s="72"/>
      <c r="F968" s="73"/>
      <c r="G968" s="74"/>
      <c r="H968" s="202"/>
      <c r="I968" s="74"/>
      <c r="J968" s="74"/>
      <c r="K968" s="74"/>
      <c r="L968" s="75"/>
      <c r="M968" s="75"/>
      <c r="N968" s="74"/>
      <c r="O968" s="203"/>
      <c r="P968" s="20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</row>
    <row r="969" spans="1:28" ht="15.75" customHeight="1">
      <c r="A969" s="200"/>
      <c r="B969" s="74"/>
      <c r="C969" s="72"/>
      <c r="D969" s="73"/>
      <c r="E969" s="72"/>
      <c r="F969" s="73"/>
      <c r="G969" s="74"/>
      <c r="H969" s="202"/>
      <c r="I969" s="74"/>
      <c r="J969" s="74"/>
      <c r="K969" s="74"/>
      <c r="L969" s="75"/>
      <c r="M969" s="75"/>
      <c r="N969" s="74"/>
      <c r="O969" s="203"/>
      <c r="P969" s="20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</row>
    <row r="970" spans="1:28" ht="15.75" customHeight="1">
      <c r="A970" s="200"/>
      <c r="B970" s="74"/>
      <c r="C970" s="72"/>
      <c r="D970" s="73"/>
      <c r="E970" s="72"/>
      <c r="F970" s="73"/>
      <c r="G970" s="74"/>
      <c r="H970" s="202"/>
      <c r="I970" s="74"/>
      <c r="J970" s="74"/>
      <c r="K970" s="74"/>
      <c r="L970" s="75"/>
      <c r="M970" s="75"/>
      <c r="N970" s="74"/>
      <c r="O970" s="203"/>
      <c r="P970" s="20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</row>
    <row r="971" spans="1:28" ht="15.75" customHeight="1">
      <c r="A971" s="200"/>
      <c r="B971" s="74"/>
      <c r="C971" s="72"/>
      <c r="D971" s="73"/>
      <c r="E971" s="72"/>
      <c r="F971" s="73"/>
      <c r="G971" s="74"/>
      <c r="H971" s="202"/>
      <c r="I971" s="74"/>
      <c r="J971" s="74"/>
      <c r="K971" s="74"/>
      <c r="L971" s="75"/>
      <c r="M971" s="75"/>
      <c r="N971" s="74"/>
      <c r="O971" s="203"/>
      <c r="P971" s="20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</row>
    <row r="972" spans="1:28" ht="15.75" customHeight="1">
      <c r="A972" s="200"/>
      <c r="B972" s="74"/>
      <c r="C972" s="72"/>
      <c r="D972" s="73"/>
      <c r="E972" s="72"/>
      <c r="F972" s="73"/>
      <c r="G972" s="74"/>
      <c r="H972" s="202"/>
      <c r="I972" s="74"/>
      <c r="J972" s="74"/>
      <c r="K972" s="74"/>
      <c r="L972" s="75"/>
      <c r="M972" s="75"/>
      <c r="N972" s="74"/>
      <c r="O972" s="203"/>
      <c r="P972" s="20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</row>
    <row r="973" spans="1:28" ht="15.75" customHeight="1">
      <c r="A973" s="200"/>
      <c r="B973" s="74"/>
      <c r="C973" s="72"/>
      <c r="D973" s="73"/>
      <c r="E973" s="72"/>
      <c r="F973" s="73"/>
      <c r="G973" s="74"/>
      <c r="H973" s="202"/>
      <c r="I973" s="74"/>
      <c r="J973" s="74"/>
      <c r="K973" s="74"/>
      <c r="L973" s="75"/>
      <c r="M973" s="75"/>
      <c r="N973" s="74"/>
      <c r="O973" s="203"/>
      <c r="P973" s="20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</row>
    <row r="974" spans="1:28" ht="15.75" customHeight="1">
      <c r="A974" s="200"/>
      <c r="B974" s="74"/>
      <c r="C974" s="72"/>
      <c r="D974" s="73"/>
      <c r="E974" s="72"/>
      <c r="F974" s="73"/>
      <c r="G974" s="74"/>
      <c r="H974" s="202"/>
      <c r="I974" s="74"/>
      <c r="J974" s="74"/>
      <c r="K974" s="74"/>
      <c r="L974" s="75"/>
      <c r="M974" s="75"/>
      <c r="N974" s="74"/>
      <c r="O974" s="203"/>
      <c r="P974" s="20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</row>
    <row r="975" spans="1:28" ht="15.75" customHeight="1">
      <c r="A975" s="200"/>
      <c r="B975" s="74"/>
      <c r="C975" s="72"/>
      <c r="D975" s="73"/>
      <c r="E975" s="72"/>
      <c r="F975" s="73"/>
      <c r="G975" s="74"/>
      <c r="H975" s="202"/>
      <c r="I975" s="74"/>
      <c r="J975" s="74"/>
      <c r="K975" s="74"/>
      <c r="L975" s="75"/>
      <c r="M975" s="75"/>
      <c r="N975" s="74"/>
      <c r="O975" s="203"/>
      <c r="P975" s="20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</row>
    <row r="976" spans="1:28" ht="15.75" customHeight="1">
      <c r="A976" s="200"/>
      <c r="B976" s="74"/>
      <c r="C976" s="72"/>
      <c r="D976" s="73"/>
      <c r="E976" s="72"/>
      <c r="F976" s="73"/>
      <c r="G976" s="74"/>
      <c r="H976" s="202"/>
      <c r="I976" s="74"/>
      <c r="J976" s="74"/>
      <c r="K976" s="74"/>
      <c r="L976" s="75"/>
      <c r="M976" s="75"/>
      <c r="N976" s="74"/>
      <c r="O976" s="203"/>
      <c r="P976" s="20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</row>
    <row r="977" spans="1:28" ht="15.75" customHeight="1">
      <c r="A977" s="200"/>
      <c r="B977" s="74"/>
      <c r="C977" s="72"/>
      <c r="D977" s="73"/>
      <c r="E977" s="72"/>
      <c r="F977" s="73"/>
      <c r="G977" s="74"/>
      <c r="H977" s="202"/>
      <c r="I977" s="74"/>
      <c r="J977" s="74"/>
      <c r="K977" s="74"/>
      <c r="L977" s="75"/>
      <c r="M977" s="75"/>
      <c r="N977" s="74"/>
      <c r="O977" s="203"/>
      <c r="P977" s="20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</row>
    <row r="978" spans="1:28" ht="15.75" customHeight="1">
      <c r="A978" s="200"/>
      <c r="B978" s="74"/>
      <c r="C978" s="72"/>
      <c r="D978" s="73"/>
      <c r="E978" s="72"/>
      <c r="F978" s="73"/>
      <c r="G978" s="74"/>
      <c r="H978" s="202"/>
      <c r="I978" s="74"/>
      <c r="J978" s="74"/>
      <c r="K978" s="74"/>
      <c r="L978" s="75"/>
      <c r="M978" s="75"/>
      <c r="N978" s="74"/>
      <c r="O978" s="203"/>
      <c r="P978" s="20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</row>
    <row r="979" spans="1:28" ht="15.75" customHeight="1">
      <c r="A979" s="200"/>
      <c r="B979" s="74"/>
      <c r="C979" s="72"/>
      <c r="D979" s="73"/>
      <c r="E979" s="72"/>
      <c r="F979" s="73"/>
      <c r="G979" s="74"/>
      <c r="H979" s="202"/>
      <c r="I979" s="74"/>
      <c r="J979" s="74"/>
      <c r="K979" s="74"/>
      <c r="L979" s="75"/>
      <c r="M979" s="75"/>
      <c r="N979" s="74"/>
      <c r="O979" s="203"/>
      <c r="P979" s="20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</row>
    <row r="980" spans="1:28" ht="15.75" customHeight="1">
      <c r="A980" s="200"/>
      <c r="B980" s="74"/>
      <c r="C980" s="72"/>
      <c r="D980" s="73"/>
      <c r="E980" s="72"/>
      <c r="F980" s="73"/>
      <c r="G980" s="74"/>
      <c r="H980" s="202"/>
      <c r="I980" s="74"/>
      <c r="J980" s="74"/>
      <c r="K980" s="74"/>
      <c r="L980" s="75"/>
      <c r="M980" s="75"/>
      <c r="N980" s="74"/>
      <c r="O980" s="203"/>
      <c r="P980" s="20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</row>
    <row r="981" spans="1:28" ht="15.75" customHeight="1">
      <c r="A981" s="200"/>
      <c r="B981" s="74"/>
      <c r="C981" s="72"/>
      <c r="D981" s="73"/>
      <c r="E981" s="72"/>
      <c r="F981" s="73"/>
      <c r="G981" s="74"/>
      <c r="H981" s="202"/>
      <c r="I981" s="74"/>
      <c r="J981" s="74"/>
      <c r="K981" s="74"/>
      <c r="L981" s="75"/>
      <c r="M981" s="75"/>
      <c r="N981" s="74"/>
      <c r="O981" s="203"/>
      <c r="P981" s="20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</row>
  </sheetData>
  <autoFilter ref="A1:Q58" xr:uid="{00000000-0009-0000-0000-000003000000}"/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8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2" width="9.5" customWidth="1"/>
    <col min="3" max="3" width="9.875" customWidth="1"/>
    <col min="4" max="4" width="8.625" customWidth="1"/>
    <col min="5" max="5" width="7.5" customWidth="1"/>
    <col min="6" max="6" width="8.75" customWidth="1"/>
    <col min="7" max="7" width="8" customWidth="1"/>
    <col min="8" max="8" width="7.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>
      <c r="A1" s="208" t="s">
        <v>0</v>
      </c>
      <c r="B1" s="209" t="s">
        <v>378</v>
      </c>
      <c r="C1" s="210" t="s">
        <v>379</v>
      </c>
      <c r="D1" s="208" t="s">
        <v>380</v>
      </c>
      <c r="E1" s="208" t="s">
        <v>381</v>
      </c>
      <c r="F1" s="211" t="s">
        <v>382</v>
      </c>
      <c r="G1" s="209" t="s">
        <v>383</v>
      </c>
      <c r="H1" s="208" t="s">
        <v>384</v>
      </c>
      <c r="I1" s="211" t="s">
        <v>385</v>
      </c>
      <c r="J1" s="208" t="s">
        <v>386</v>
      </c>
      <c r="K1" s="212" t="s">
        <v>387</v>
      </c>
      <c r="L1" s="212" t="s">
        <v>388</v>
      </c>
      <c r="M1" s="212" t="s">
        <v>389</v>
      </c>
      <c r="N1" s="212" t="s">
        <v>390</v>
      </c>
      <c r="O1" s="212" t="s">
        <v>391</v>
      </c>
      <c r="P1" s="212" t="s">
        <v>392</v>
      </c>
      <c r="Q1" s="211" t="s">
        <v>393</v>
      </c>
      <c r="R1" s="213" t="s">
        <v>7</v>
      </c>
      <c r="S1" s="208" t="s">
        <v>8</v>
      </c>
      <c r="T1" s="208" t="s">
        <v>9</v>
      </c>
      <c r="U1" s="214"/>
      <c r="V1" s="214"/>
      <c r="W1" s="214"/>
      <c r="X1" s="214"/>
      <c r="Y1" s="214"/>
      <c r="Z1" s="214"/>
      <c r="AA1" s="214"/>
    </row>
    <row r="2" spans="1:27" ht="31.5" customHeight="1">
      <c r="A2" s="53" t="s">
        <v>394</v>
      </c>
      <c r="B2" s="215" t="s">
        <v>75</v>
      </c>
      <c r="C2" s="215" t="s">
        <v>75</v>
      </c>
      <c r="D2" s="215" t="s">
        <v>75</v>
      </c>
      <c r="E2" s="215" t="s">
        <v>75</v>
      </c>
      <c r="F2" s="215" t="s">
        <v>75</v>
      </c>
      <c r="G2" s="216">
        <v>45412</v>
      </c>
      <c r="H2" s="215" t="s">
        <v>75</v>
      </c>
      <c r="I2" s="215" t="s">
        <v>75</v>
      </c>
      <c r="J2" s="7">
        <v>1</v>
      </c>
      <c r="K2" s="217">
        <v>0.02</v>
      </c>
      <c r="L2" s="217">
        <v>0.02</v>
      </c>
      <c r="M2" s="217">
        <v>1E-3</v>
      </c>
      <c r="N2" s="217">
        <v>1.2E-2</v>
      </c>
      <c r="O2" s="217">
        <v>1.2E-2</v>
      </c>
      <c r="P2" s="217">
        <v>1E-3</v>
      </c>
      <c r="Q2" s="218">
        <f>((26.7*((K2-M2)-(O2-P2))*1000))</f>
        <v>213.60000000000002</v>
      </c>
      <c r="R2" s="219" t="s">
        <v>12</v>
      </c>
      <c r="S2" s="220" t="s">
        <v>13</v>
      </c>
      <c r="T2" s="221"/>
      <c r="U2" s="222"/>
      <c r="V2" s="222"/>
      <c r="W2" s="222"/>
      <c r="X2" s="222"/>
      <c r="Y2" s="222"/>
      <c r="Z2" s="222"/>
      <c r="AA2" s="222"/>
    </row>
    <row r="3" spans="1:27" ht="15.75" customHeight="1">
      <c r="A3" s="223" t="s">
        <v>395</v>
      </c>
      <c r="B3" s="8">
        <v>45390</v>
      </c>
      <c r="C3" s="9">
        <v>0.35555555555555557</v>
      </c>
      <c r="D3" s="8">
        <v>45390</v>
      </c>
      <c r="E3" s="224">
        <v>0.55902777777777779</v>
      </c>
      <c r="F3" s="225">
        <v>1054</v>
      </c>
      <c r="G3" s="216">
        <v>45412</v>
      </c>
      <c r="H3" s="224">
        <v>0.98402777777777772</v>
      </c>
      <c r="I3" s="225">
        <v>5.5</v>
      </c>
      <c r="J3" s="7">
        <v>1</v>
      </c>
      <c r="K3" s="226">
        <v>1.4E-2</v>
      </c>
      <c r="L3" s="226">
        <v>1.4E-2</v>
      </c>
      <c r="M3" s="226">
        <v>6.0000000000000001E-3</v>
      </c>
      <c r="N3" s="226">
        <v>0.01</v>
      </c>
      <c r="O3" s="226">
        <v>8.9999999999999993E-3</v>
      </c>
      <c r="P3" s="226">
        <v>4.0000000000000001E-3</v>
      </c>
      <c r="Q3" s="227">
        <f t="shared" ref="Q3:Q19" si="0">((26.7*((K3-M3)-(O3-P3))*I3)/(F3*J3))*1000</f>
        <v>0.41797912713472496</v>
      </c>
      <c r="R3" s="213"/>
      <c r="S3" s="228" t="s">
        <v>13</v>
      </c>
      <c r="T3" s="229"/>
      <c r="U3" s="71"/>
      <c r="V3" s="71"/>
      <c r="W3" s="71"/>
      <c r="X3" s="71"/>
      <c r="Y3" s="71"/>
      <c r="Z3" s="71"/>
      <c r="AA3" s="71"/>
    </row>
    <row r="4" spans="1:27" ht="15.75" customHeight="1">
      <c r="A4" s="223" t="s">
        <v>396</v>
      </c>
      <c r="B4" s="8">
        <v>45390</v>
      </c>
      <c r="C4" s="9">
        <v>0.38750000000000001</v>
      </c>
      <c r="D4" s="8">
        <v>45390</v>
      </c>
      <c r="E4" s="224">
        <v>0.56041666666666667</v>
      </c>
      <c r="F4" s="225">
        <v>1056</v>
      </c>
      <c r="G4" s="216">
        <v>45412</v>
      </c>
      <c r="H4" s="224">
        <v>0.97499999999999998</v>
      </c>
      <c r="I4" s="225">
        <v>9</v>
      </c>
      <c r="J4" s="7">
        <v>1</v>
      </c>
      <c r="K4" s="226">
        <v>7.0000000000000001E-3</v>
      </c>
      <c r="L4" s="226">
        <v>6.0000000000000001E-3</v>
      </c>
      <c r="M4" s="226">
        <v>4.0000000000000001E-3</v>
      </c>
      <c r="N4" s="226">
        <v>5.0000000000000001E-3</v>
      </c>
      <c r="O4" s="226">
        <v>4.0000000000000001E-3</v>
      </c>
      <c r="P4" s="226">
        <v>3.0000000000000001E-3</v>
      </c>
      <c r="Q4" s="227">
        <f t="shared" si="0"/>
        <v>0.45511363636363639</v>
      </c>
      <c r="R4" s="213"/>
      <c r="S4" s="228" t="s">
        <v>13</v>
      </c>
      <c r="T4" s="229"/>
      <c r="U4" s="71"/>
      <c r="V4" s="71"/>
      <c r="W4" s="71"/>
      <c r="X4" s="71"/>
      <c r="Y4" s="71"/>
      <c r="Z4" s="71"/>
      <c r="AA4" s="71"/>
    </row>
    <row r="5" spans="1:27" ht="15.75" customHeight="1">
      <c r="A5" s="223" t="s">
        <v>397</v>
      </c>
      <c r="B5" s="8">
        <v>45390</v>
      </c>
      <c r="C5" s="9">
        <v>0.40833333333333333</v>
      </c>
      <c r="D5" s="8">
        <v>45390</v>
      </c>
      <c r="E5" s="224">
        <v>0.56180555555555556</v>
      </c>
      <c r="F5" s="225">
        <v>1050</v>
      </c>
      <c r="G5" s="216">
        <v>45412</v>
      </c>
      <c r="H5" s="224">
        <v>0.97916666666666663</v>
      </c>
      <c r="I5" s="225">
        <v>5</v>
      </c>
      <c r="J5" s="7">
        <v>1</v>
      </c>
      <c r="K5" s="230">
        <v>8.0000000000000002E-3</v>
      </c>
      <c r="L5" s="230">
        <v>7.0000000000000001E-3</v>
      </c>
      <c r="M5" s="230">
        <v>5.0000000000000001E-3</v>
      </c>
      <c r="N5" s="226">
        <v>4.0000000000000001E-3</v>
      </c>
      <c r="O5" s="226">
        <v>3.0000000000000001E-3</v>
      </c>
      <c r="P5" s="226">
        <v>3.0000000000000001E-3</v>
      </c>
      <c r="Q5" s="227">
        <f t="shared" si="0"/>
        <v>0.38142857142857145</v>
      </c>
      <c r="R5" s="213"/>
      <c r="S5" s="228" t="s">
        <v>13</v>
      </c>
      <c r="T5" s="229"/>
      <c r="U5" s="71"/>
      <c r="V5" s="71"/>
      <c r="W5" s="71"/>
      <c r="X5" s="71"/>
      <c r="Y5" s="71"/>
      <c r="Z5" s="71"/>
      <c r="AA5" s="71"/>
    </row>
    <row r="6" spans="1:27" ht="15.75" customHeight="1">
      <c r="A6" s="223" t="s">
        <v>398</v>
      </c>
      <c r="B6" s="8">
        <v>45391</v>
      </c>
      <c r="C6" s="9">
        <v>0.32430555555555557</v>
      </c>
      <c r="D6" s="8">
        <v>45391</v>
      </c>
      <c r="E6" s="224">
        <v>0.5625</v>
      </c>
      <c r="F6" s="225">
        <v>1053</v>
      </c>
      <c r="G6" s="216">
        <v>45412</v>
      </c>
      <c r="H6" s="224">
        <v>0.5805555555555556</v>
      </c>
      <c r="I6" s="225">
        <v>6</v>
      </c>
      <c r="J6" s="7">
        <v>1</v>
      </c>
      <c r="K6" s="226">
        <v>1.0999999999999999E-2</v>
      </c>
      <c r="L6" s="226">
        <v>0.01</v>
      </c>
      <c r="M6" s="226">
        <v>7.0000000000000001E-3</v>
      </c>
      <c r="N6" s="226">
        <v>8.0000000000000002E-3</v>
      </c>
      <c r="O6" s="226">
        <v>7.0000000000000001E-3</v>
      </c>
      <c r="P6" s="226">
        <v>5.0000000000000001E-3</v>
      </c>
      <c r="Q6" s="227">
        <f t="shared" si="0"/>
        <v>0.30427350427350414</v>
      </c>
      <c r="R6" s="213"/>
      <c r="S6" s="228" t="s">
        <v>13</v>
      </c>
      <c r="T6" s="229"/>
      <c r="U6" s="230"/>
      <c r="V6" s="71"/>
      <c r="W6" s="71"/>
      <c r="X6" s="71"/>
      <c r="Y6" s="71"/>
      <c r="Z6" s="71"/>
      <c r="AA6" s="71"/>
    </row>
    <row r="7" spans="1:27" ht="15.75" customHeight="1">
      <c r="A7" s="223" t="s">
        <v>399</v>
      </c>
      <c r="B7" s="8">
        <v>45391</v>
      </c>
      <c r="C7" s="9">
        <v>0.34722222222222221</v>
      </c>
      <c r="D7" s="8">
        <v>45391</v>
      </c>
      <c r="E7" s="224">
        <v>0.56597222222222221</v>
      </c>
      <c r="F7" s="225">
        <v>1056</v>
      </c>
      <c r="G7" s="216">
        <v>45412</v>
      </c>
      <c r="H7" s="224">
        <v>0.57638888888888884</v>
      </c>
      <c r="I7" s="225">
        <v>8.5</v>
      </c>
      <c r="J7" s="7">
        <v>1</v>
      </c>
      <c r="K7" s="226">
        <v>6.0000000000000001E-3</v>
      </c>
      <c r="L7" s="230">
        <v>5.0000000000000001E-3</v>
      </c>
      <c r="M7" s="226">
        <v>4.0000000000000001E-3</v>
      </c>
      <c r="N7" s="230">
        <v>5.0000000000000001E-3</v>
      </c>
      <c r="O7" s="230">
        <v>5.0000000000000001E-3</v>
      </c>
      <c r="P7" s="226">
        <v>4.0000000000000001E-3</v>
      </c>
      <c r="Q7" s="227">
        <f t="shared" si="0"/>
        <v>0.21491477272727275</v>
      </c>
      <c r="R7" s="213"/>
      <c r="S7" s="228" t="s">
        <v>13</v>
      </c>
      <c r="T7" s="231"/>
      <c r="U7" s="230"/>
      <c r="V7" s="230"/>
      <c r="W7" s="230"/>
      <c r="X7" s="230"/>
      <c r="Y7" s="230"/>
      <c r="Z7" s="230"/>
      <c r="AA7" s="230"/>
    </row>
    <row r="8" spans="1:27" ht="15.75" customHeight="1">
      <c r="A8" s="223" t="s">
        <v>400</v>
      </c>
      <c r="B8" s="8">
        <v>45391</v>
      </c>
      <c r="C8" s="9">
        <v>0.38194444444444442</v>
      </c>
      <c r="D8" s="8">
        <v>45391</v>
      </c>
      <c r="E8" s="224">
        <v>0.55763888888888891</v>
      </c>
      <c r="F8" s="225">
        <v>1049</v>
      </c>
      <c r="G8" s="216">
        <v>45412</v>
      </c>
      <c r="H8" s="224">
        <v>0.57361111111111107</v>
      </c>
      <c r="I8" s="225">
        <v>6.5</v>
      </c>
      <c r="J8" s="7">
        <v>1</v>
      </c>
      <c r="K8" s="230">
        <v>7.0000000000000001E-3</v>
      </c>
      <c r="L8" s="230">
        <v>7.0000000000000001E-3</v>
      </c>
      <c r="M8" s="226">
        <v>5.0000000000000001E-3</v>
      </c>
      <c r="N8" s="230">
        <v>5.0000000000000001E-3</v>
      </c>
      <c r="O8" s="230">
        <v>5.0000000000000001E-3</v>
      </c>
      <c r="P8" s="226">
        <v>4.0000000000000001E-3</v>
      </c>
      <c r="Q8" s="227">
        <f t="shared" si="0"/>
        <v>0.16544327931363204</v>
      </c>
      <c r="R8" s="213"/>
      <c r="S8" s="228" t="s">
        <v>13</v>
      </c>
      <c r="T8" s="232"/>
      <c r="U8" s="233"/>
      <c r="V8" s="71"/>
      <c r="W8" s="71"/>
      <c r="X8" s="71"/>
      <c r="Y8" s="71"/>
      <c r="Z8" s="71"/>
      <c r="AA8" s="71"/>
    </row>
    <row r="9" spans="1:27" ht="15.75" customHeight="1">
      <c r="A9" s="223" t="s">
        <v>401</v>
      </c>
      <c r="B9" s="8">
        <v>45391</v>
      </c>
      <c r="C9" s="9">
        <v>0.43125000000000002</v>
      </c>
      <c r="D9" s="8">
        <v>45391</v>
      </c>
      <c r="E9" s="224">
        <v>0.55277777777777781</v>
      </c>
      <c r="F9" s="225">
        <v>1046</v>
      </c>
      <c r="G9" s="216">
        <v>45412</v>
      </c>
      <c r="H9" s="224">
        <v>0.58472222222222225</v>
      </c>
      <c r="I9" s="225">
        <v>9</v>
      </c>
      <c r="J9" s="7">
        <v>1</v>
      </c>
      <c r="K9" s="226">
        <v>1.2999999999999999E-2</v>
      </c>
      <c r="L9" s="226">
        <v>1.2E-2</v>
      </c>
      <c r="M9" s="226">
        <v>8.9999999999999993E-3</v>
      </c>
      <c r="N9" s="226">
        <v>1.2E-2</v>
      </c>
      <c r="O9" s="226">
        <v>1.0999999999999999E-2</v>
      </c>
      <c r="P9" s="226">
        <v>0.01</v>
      </c>
      <c r="Q9" s="227">
        <f t="shared" si="0"/>
        <v>0.68919694072657767</v>
      </c>
      <c r="R9" s="213"/>
      <c r="S9" s="228" t="s">
        <v>13</v>
      </c>
      <c r="T9" s="232"/>
      <c r="U9" s="233"/>
      <c r="V9" s="71"/>
      <c r="W9" s="71"/>
      <c r="X9" s="71"/>
      <c r="Y9" s="71"/>
      <c r="Z9" s="71"/>
      <c r="AA9" s="71"/>
    </row>
    <row r="10" spans="1:27" ht="18.75" customHeight="1">
      <c r="A10" s="53" t="s">
        <v>402</v>
      </c>
      <c r="B10" s="234">
        <v>45392</v>
      </c>
      <c r="C10" s="9">
        <v>0.34930555555555554</v>
      </c>
      <c r="D10" s="234">
        <v>45392</v>
      </c>
      <c r="E10" s="224">
        <v>0.6</v>
      </c>
      <c r="F10" s="235">
        <v>1052</v>
      </c>
      <c r="G10" s="216">
        <v>45412</v>
      </c>
      <c r="H10" s="224">
        <v>0.50972222222222219</v>
      </c>
      <c r="I10" s="235">
        <v>7.5</v>
      </c>
      <c r="J10" s="7">
        <v>1</v>
      </c>
      <c r="K10" s="226">
        <v>1.2999999999999999E-2</v>
      </c>
      <c r="L10" s="226">
        <v>1.2E-2</v>
      </c>
      <c r="M10" s="226">
        <v>4.0000000000000001E-3</v>
      </c>
      <c r="N10" s="226">
        <v>8.9999999999999993E-3</v>
      </c>
      <c r="O10" s="226">
        <v>8.0000000000000002E-3</v>
      </c>
      <c r="P10" s="226">
        <v>4.0000000000000001E-3</v>
      </c>
      <c r="Q10" s="227">
        <f t="shared" si="0"/>
        <v>0.95175855513307961</v>
      </c>
      <c r="R10" s="7"/>
      <c r="S10" s="228" t="s">
        <v>13</v>
      </c>
      <c r="T10" s="231"/>
      <c r="U10" s="231"/>
      <c r="V10" s="236"/>
      <c r="W10" s="236"/>
      <c r="X10" s="236"/>
      <c r="Y10" s="236"/>
      <c r="Z10" s="236"/>
      <c r="AA10" s="236"/>
    </row>
    <row r="11" spans="1:27" ht="15.75" customHeight="1">
      <c r="A11" s="53" t="s">
        <v>403</v>
      </c>
      <c r="B11" s="234">
        <v>45392</v>
      </c>
      <c r="C11" s="9">
        <v>0.36944444444444446</v>
      </c>
      <c r="D11" s="234">
        <v>45392</v>
      </c>
      <c r="E11" s="224">
        <v>0.60277777777777775</v>
      </c>
      <c r="F11" s="225">
        <v>1048</v>
      </c>
      <c r="G11" s="216">
        <v>45412</v>
      </c>
      <c r="H11" s="224">
        <v>0.50624999999999998</v>
      </c>
      <c r="I11" s="225">
        <v>7</v>
      </c>
      <c r="J11" s="7">
        <v>1</v>
      </c>
      <c r="K11" s="226">
        <v>1.2E-2</v>
      </c>
      <c r="L11" s="226">
        <v>1.0999999999999999E-2</v>
      </c>
      <c r="M11" s="226">
        <v>3.0000000000000001E-3</v>
      </c>
      <c r="N11" s="226">
        <v>8.0000000000000002E-3</v>
      </c>
      <c r="O11" s="226">
        <v>8.0000000000000002E-3</v>
      </c>
      <c r="P11" s="226">
        <v>4.0000000000000001E-3</v>
      </c>
      <c r="Q11" s="227">
        <f t="shared" si="0"/>
        <v>0.891698473282443</v>
      </c>
      <c r="R11" s="213"/>
      <c r="S11" s="228" t="s">
        <v>13</v>
      </c>
      <c r="T11" s="404"/>
      <c r="U11" s="71"/>
      <c r="V11" s="71"/>
      <c r="W11" s="71"/>
      <c r="X11" s="71"/>
      <c r="Y11" s="71"/>
      <c r="Z11" s="71"/>
      <c r="AA11" s="71"/>
    </row>
    <row r="12" spans="1:27" ht="15.75" customHeight="1">
      <c r="A12" s="53" t="s">
        <v>404</v>
      </c>
      <c r="B12" s="234">
        <v>45392</v>
      </c>
      <c r="C12" s="9">
        <v>0.42708333333333331</v>
      </c>
      <c r="D12" s="234">
        <v>45392</v>
      </c>
      <c r="E12" s="224">
        <v>0.6069444444444444</v>
      </c>
      <c r="F12" s="225">
        <v>1056</v>
      </c>
      <c r="G12" s="216">
        <v>45412</v>
      </c>
      <c r="H12" s="224">
        <v>0.5</v>
      </c>
      <c r="I12" s="225">
        <v>7.5</v>
      </c>
      <c r="J12" s="7">
        <v>1</v>
      </c>
      <c r="K12" s="226">
        <v>1.2E-2</v>
      </c>
      <c r="L12" s="226">
        <v>1.2E-2</v>
      </c>
      <c r="M12" s="226">
        <v>8.9999999999999993E-3</v>
      </c>
      <c r="N12" s="226">
        <v>1.2E-2</v>
      </c>
      <c r="O12" s="226">
        <v>1.0999999999999999E-2</v>
      </c>
      <c r="P12" s="226">
        <v>0.01</v>
      </c>
      <c r="Q12" s="227">
        <f t="shared" si="0"/>
        <v>0.37926136363636398</v>
      </c>
      <c r="R12" s="213"/>
      <c r="S12" s="228" t="s">
        <v>13</v>
      </c>
      <c r="T12" s="402"/>
      <c r="U12" s="71"/>
      <c r="V12" s="71"/>
      <c r="W12" s="71"/>
      <c r="X12" s="71"/>
      <c r="Y12" s="71"/>
      <c r="Z12" s="71"/>
      <c r="AA12" s="71"/>
    </row>
    <row r="13" spans="1:27" ht="15.75" customHeight="1">
      <c r="A13" s="53" t="s">
        <v>405</v>
      </c>
      <c r="B13" s="234">
        <v>45392</v>
      </c>
      <c r="C13" s="9">
        <v>0.47847222222222224</v>
      </c>
      <c r="D13" s="234">
        <v>45392</v>
      </c>
      <c r="E13" s="224">
        <v>0.59513888888888888</v>
      </c>
      <c r="F13" s="225">
        <v>1044</v>
      </c>
      <c r="G13" s="216">
        <v>45412</v>
      </c>
      <c r="H13" s="224">
        <v>0.5131944444444444</v>
      </c>
      <c r="I13" s="225">
        <v>7.5</v>
      </c>
      <c r="J13" s="7">
        <v>1</v>
      </c>
      <c r="K13" s="226">
        <v>6.0000000000000001E-3</v>
      </c>
      <c r="L13" s="226">
        <v>6.0000000000000001E-3</v>
      </c>
      <c r="M13" s="226">
        <v>3.0000000000000001E-3</v>
      </c>
      <c r="N13" s="226">
        <v>5.0000000000000001E-3</v>
      </c>
      <c r="O13" s="226">
        <v>4.0000000000000001E-3</v>
      </c>
      <c r="P13" s="226">
        <v>3.0000000000000001E-3</v>
      </c>
      <c r="Q13" s="227">
        <f t="shared" si="0"/>
        <v>0.38362068965517243</v>
      </c>
      <c r="R13" s="213"/>
      <c r="S13" s="228" t="s">
        <v>13</v>
      </c>
      <c r="T13" s="403"/>
      <c r="U13" s="71"/>
      <c r="V13" s="71"/>
      <c r="W13" s="71"/>
      <c r="X13" s="71"/>
      <c r="Y13" s="71"/>
      <c r="Z13" s="71"/>
      <c r="AA13" s="71"/>
    </row>
    <row r="14" spans="1:27" ht="15.75" customHeight="1">
      <c r="A14" s="53" t="s">
        <v>406</v>
      </c>
      <c r="B14" s="234">
        <v>45392</v>
      </c>
      <c r="C14" s="237">
        <v>0.49861111111111112</v>
      </c>
      <c r="D14" s="234">
        <v>45392</v>
      </c>
      <c r="E14" s="224">
        <v>0.61111111111111116</v>
      </c>
      <c r="F14" s="225">
        <v>1060</v>
      </c>
      <c r="G14" s="216">
        <v>45412</v>
      </c>
      <c r="H14" s="224">
        <v>0.51597222222222228</v>
      </c>
      <c r="I14" s="225">
        <v>8</v>
      </c>
      <c r="J14" s="7">
        <v>1</v>
      </c>
      <c r="K14" s="230">
        <v>8.0000000000000002E-3</v>
      </c>
      <c r="L14" s="230">
        <v>7.0000000000000001E-3</v>
      </c>
      <c r="M14" s="230">
        <v>5.0000000000000001E-3</v>
      </c>
      <c r="N14" s="226">
        <v>4.0000000000000001E-3</v>
      </c>
      <c r="O14" s="226">
        <v>3.0000000000000001E-3</v>
      </c>
      <c r="P14" s="226">
        <v>3.0000000000000001E-3</v>
      </c>
      <c r="Q14" s="227">
        <f t="shared" si="0"/>
        <v>0.60452830188679252</v>
      </c>
      <c r="R14" s="213"/>
      <c r="S14" s="228" t="s">
        <v>13</v>
      </c>
      <c r="T14" s="404"/>
      <c r="U14" s="71"/>
      <c r="V14" s="71"/>
      <c r="W14" s="71"/>
      <c r="X14" s="71"/>
      <c r="Y14" s="71"/>
      <c r="Z14" s="71"/>
      <c r="AA14" s="71"/>
    </row>
    <row r="15" spans="1:27" ht="15.75" customHeight="1">
      <c r="A15" s="53" t="s">
        <v>407</v>
      </c>
      <c r="B15" s="8">
        <v>45400</v>
      </c>
      <c r="C15" s="237">
        <v>0.36458333333333331</v>
      </c>
      <c r="D15" s="8">
        <v>45400</v>
      </c>
      <c r="E15" s="224">
        <v>0.61458333333333337</v>
      </c>
      <c r="F15" s="225">
        <v>1052</v>
      </c>
      <c r="G15" s="216">
        <v>45412</v>
      </c>
      <c r="H15" s="224">
        <v>0.53055555555555556</v>
      </c>
      <c r="I15" s="225">
        <v>5.8</v>
      </c>
      <c r="J15" s="7">
        <v>1</v>
      </c>
      <c r="K15" s="226">
        <v>7.0000000000000001E-3</v>
      </c>
      <c r="L15" s="226">
        <v>8.9999999999999993E-3</v>
      </c>
      <c r="M15" s="226">
        <v>6.0000000000000001E-3</v>
      </c>
      <c r="N15" s="226">
        <v>6.0000000000000001E-3</v>
      </c>
      <c r="O15" s="226">
        <v>5.0000000000000001E-3</v>
      </c>
      <c r="P15" s="226">
        <v>5.0000000000000001E-3</v>
      </c>
      <c r="Q15" s="227">
        <f t="shared" si="0"/>
        <v>0.14720532319391635</v>
      </c>
      <c r="R15" s="213"/>
      <c r="S15" s="228" t="s">
        <v>13</v>
      </c>
      <c r="T15" s="403"/>
      <c r="U15" s="71"/>
      <c r="V15" s="71"/>
      <c r="W15" s="71"/>
      <c r="X15" s="71"/>
      <c r="Y15" s="71"/>
      <c r="Z15" s="71"/>
      <c r="AA15" s="71"/>
    </row>
    <row r="16" spans="1:27" ht="15.75" customHeight="1">
      <c r="A16" s="53" t="s">
        <v>408</v>
      </c>
      <c r="B16" s="8">
        <v>45400</v>
      </c>
      <c r="C16" s="9">
        <v>0.44444444444444442</v>
      </c>
      <c r="D16" s="8">
        <v>45400</v>
      </c>
      <c r="E16" s="224">
        <v>0.625</v>
      </c>
      <c r="F16" s="225">
        <v>1060</v>
      </c>
      <c r="G16" s="216">
        <v>45412</v>
      </c>
      <c r="H16" s="224">
        <v>0.53333333333333333</v>
      </c>
      <c r="I16" s="225">
        <v>8.8000000000000007</v>
      </c>
      <c r="J16" s="7">
        <v>1</v>
      </c>
      <c r="K16" s="226">
        <v>6.0000000000000001E-3</v>
      </c>
      <c r="L16" s="226">
        <v>5.0000000000000001E-3</v>
      </c>
      <c r="M16" s="226">
        <v>3.0000000000000001E-3</v>
      </c>
      <c r="N16" s="226">
        <v>5.0000000000000001E-3</v>
      </c>
      <c r="O16" s="226">
        <v>4.0000000000000001E-3</v>
      </c>
      <c r="P16" s="226">
        <v>4.0000000000000001E-3</v>
      </c>
      <c r="Q16" s="227">
        <f t="shared" si="0"/>
        <v>0.66498113207547183</v>
      </c>
      <c r="R16" s="213"/>
      <c r="S16" s="228" t="s">
        <v>13</v>
      </c>
      <c r="T16" s="405"/>
      <c r="U16" s="71"/>
      <c r="V16" s="71"/>
      <c r="W16" s="71"/>
      <c r="X16" s="71"/>
      <c r="Y16" s="71"/>
      <c r="Z16" s="71"/>
      <c r="AA16" s="71"/>
    </row>
    <row r="17" spans="1:27" ht="15.75" customHeight="1">
      <c r="A17" s="53" t="s">
        <v>409</v>
      </c>
      <c r="B17" s="8">
        <v>45400</v>
      </c>
      <c r="C17" s="9">
        <v>0.47222222222222221</v>
      </c>
      <c r="D17" s="8">
        <v>45400</v>
      </c>
      <c r="E17" s="224">
        <v>0.63124999999999998</v>
      </c>
      <c r="F17" s="225">
        <v>1058</v>
      </c>
      <c r="G17" s="216">
        <v>45412</v>
      </c>
      <c r="H17" s="224">
        <v>0.52638888888888891</v>
      </c>
      <c r="I17" s="225">
        <v>6.5</v>
      </c>
      <c r="J17" s="7">
        <v>1</v>
      </c>
      <c r="K17" s="226">
        <v>7.0000000000000001E-3</v>
      </c>
      <c r="L17" s="226">
        <v>6.0000000000000001E-3</v>
      </c>
      <c r="M17" s="226">
        <v>3.0000000000000001E-3</v>
      </c>
      <c r="N17" s="226">
        <v>5.0000000000000001E-3</v>
      </c>
      <c r="O17" s="226">
        <v>4.0000000000000001E-3</v>
      </c>
      <c r="P17" s="226">
        <v>3.0000000000000001E-3</v>
      </c>
      <c r="Q17" s="227">
        <f t="shared" si="0"/>
        <v>0.49210775047258987</v>
      </c>
      <c r="R17" s="213"/>
      <c r="S17" s="228" t="s">
        <v>13</v>
      </c>
      <c r="T17" s="403"/>
      <c r="U17" s="71"/>
      <c r="V17" s="71"/>
      <c r="W17" s="71"/>
      <c r="X17" s="71"/>
      <c r="Y17" s="71"/>
      <c r="Z17" s="71"/>
      <c r="AA17" s="71"/>
    </row>
    <row r="18" spans="1:27" ht="15.75" customHeight="1">
      <c r="A18" s="53" t="s">
        <v>410</v>
      </c>
      <c r="B18" s="8">
        <v>45400</v>
      </c>
      <c r="C18" s="239">
        <v>0.39513888888888887</v>
      </c>
      <c r="D18" s="8">
        <v>45400</v>
      </c>
      <c r="E18" s="224">
        <v>0.64375000000000004</v>
      </c>
      <c r="F18" s="225">
        <v>1047</v>
      </c>
      <c r="G18" s="216">
        <v>45412</v>
      </c>
      <c r="H18" s="224">
        <v>0.49513888888888891</v>
      </c>
      <c r="I18" s="235">
        <v>7</v>
      </c>
      <c r="J18" s="7">
        <v>1</v>
      </c>
      <c r="K18" s="226">
        <v>1.4E-2</v>
      </c>
      <c r="L18" s="226">
        <v>1.4E-2</v>
      </c>
      <c r="M18" s="226">
        <v>0.01</v>
      </c>
      <c r="N18" s="226">
        <v>1.2999999999999999E-2</v>
      </c>
      <c r="O18" s="226">
        <v>1.2E-2</v>
      </c>
      <c r="P18" s="226">
        <v>0.01</v>
      </c>
      <c r="Q18" s="227">
        <f t="shared" si="0"/>
        <v>0.35702005730659031</v>
      </c>
      <c r="R18" s="213"/>
      <c r="S18" s="228" t="s">
        <v>13</v>
      </c>
      <c r="T18" s="238"/>
      <c r="U18" s="71"/>
      <c r="V18" s="71"/>
      <c r="W18" s="71"/>
      <c r="X18" s="71"/>
      <c r="Y18" s="71"/>
      <c r="Z18" s="71"/>
      <c r="AA18" s="71"/>
    </row>
    <row r="19" spans="1:27" ht="17.25" customHeight="1">
      <c r="A19" s="53" t="s">
        <v>411</v>
      </c>
      <c r="B19" s="8">
        <v>45400</v>
      </c>
      <c r="C19" s="240">
        <v>0.53194444444444444</v>
      </c>
      <c r="D19" s="8">
        <v>45400</v>
      </c>
      <c r="E19" s="241">
        <v>0.64930555555555558</v>
      </c>
      <c r="F19" s="242">
        <v>1055</v>
      </c>
      <c r="G19" s="216">
        <v>45412</v>
      </c>
      <c r="H19" s="241">
        <v>0.98819444444444449</v>
      </c>
      <c r="I19" s="242">
        <v>7</v>
      </c>
      <c r="J19" s="7">
        <v>1</v>
      </c>
      <c r="K19" s="226">
        <v>2.1999999999999999E-2</v>
      </c>
      <c r="L19" s="226">
        <v>2.1000000000000001E-2</v>
      </c>
      <c r="M19" s="226">
        <v>1.9E-2</v>
      </c>
      <c r="N19" s="226">
        <v>1.9E-2</v>
      </c>
      <c r="O19" s="226">
        <v>1.9E-2</v>
      </c>
      <c r="P19" s="226">
        <v>1.7000000000000001E-2</v>
      </c>
      <c r="Q19" s="227">
        <f t="shared" si="0"/>
        <v>0.17715639810426553</v>
      </c>
      <c r="R19" s="219"/>
      <c r="S19" s="228" t="s">
        <v>13</v>
      </c>
      <c r="T19" s="243"/>
      <c r="U19" s="236"/>
      <c r="V19" s="236"/>
      <c r="W19" s="236"/>
      <c r="X19" s="236"/>
      <c r="Y19" s="236"/>
      <c r="Z19" s="236"/>
      <c r="AA19" s="236"/>
    </row>
    <row r="20" spans="1:27" ht="33" customHeight="1">
      <c r="A20" s="53" t="s">
        <v>394</v>
      </c>
      <c r="B20" s="215" t="s">
        <v>75</v>
      </c>
      <c r="C20" s="215" t="s">
        <v>75</v>
      </c>
      <c r="D20" s="215" t="s">
        <v>75</v>
      </c>
      <c r="E20" s="215" t="s">
        <v>75</v>
      </c>
      <c r="F20" s="215" t="s">
        <v>75</v>
      </c>
      <c r="G20" s="244">
        <v>45421</v>
      </c>
      <c r="H20" s="215" t="s">
        <v>75</v>
      </c>
      <c r="I20" s="215" t="s">
        <v>75</v>
      </c>
      <c r="J20" s="7">
        <v>1</v>
      </c>
      <c r="K20" s="217">
        <v>1.9E-2</v>
      </c>
      <c r="L20" s="217">
        <v>1.9E-2</v>
      </c>
      <c r="M20" s="217">
        <v>8.9999999999999993E-3</v>
      </c>
      <c r="N20" s="217">
        <v>1.0999999999999999E-2</v>
      </c>
      <c r="O20" s="217">
        <v>1.0999999999999999E-2</v>
      </c>
      <c r="P20" s="217">
        <v>8.9999999999999993E-3</v>
      </c>
      <c r="Q20" s="218">
        <f>((26.7*((K20-M20)-(O20-P20))*1000))</f>
        <v>213.60000000000002</v>
      </c>
      <c r="R20" s="219" t="s">
        <v>12</v>
      </c>
      <c r="S20" s="220" t="s">
        <v>13</v>
      </c>
      <c r="T20" s="221"/>
      <c r="U20" s="222"/>
      <c r="V20" s="222"/>
      <c r="W20" s="222"/>
      <c r="X20" s="222"/>
      <c r="Y20" s="222"/>
      <c r="Z20" s="222"/>
      <c r="AA20" s="222"/>
    </row>
    <row r="21" spans="1:27" ht="15.75" customHeight="1">
      <c r="A21" s="53" t="s">
        <v>412</v>
      </c>
      <c r="B21" s="8">
        <v>45405</v>
      </c>
      <c r="C21" s="239">
        <v>0.37013888888888891</v>
      </c>
      <c r="D21" s="8">
        <v>45405</v>
      </c>
      <c r="E21" s="224">
        <v>0.55069444444444449</v>
      </c>
      <c r="F21" s="225">
        <v>1060</v>
      </c>
      <c r="G21" s="245">
        <v>45421</v>
      </c>
      <c r="H21" s="224">
        <v>0.58888888888888891</v>
      </c>
      <c r="I21" s="235">
        <v>7.5</v>
      </c>
      <c r="J21" s="7">
        <v>1</v>
      </c>
      <c r="K21" s="226">
        <v>1.0999999999999999E-2</v>
      </c>
      <c r="L21" s="226">
        <v>1.0999999999999999E-2</v>
      </c>
      <c r="M21" s="226">
        <v>1.0999999999999999E-2</v>
      </c>
      <c r="N21" s="246">
        <v>7.0000000000000001E-3</v>
      </c>
      <c r="O21" s="246">
        <v>7.0000000000000001E-3</v>
      </c>
      <c r="P21" s="246">
        <v>8.0000000000000002E-3</v>
      </c>
      <c r="Q21" s="227">
        <f t="shared" ref="Q21:Q39" si="1">((26.7*((K21-M21)-(O21-P21))*I21)/(F21*J21))*1000</f>
        <v>0.18891509433962264</v>
      </c>
      <c r="R21" s="213"/>
      <c r="S21" s="220" t="s">
        <v>13</v>
      </c>
      <c r="T21" s="13"/>
      <c r="U21" s="71"/>
      <c r="V21" s="71"/>
      <c r="W21" s="71"/>
      <c r="X21" s="71"/>
      <c r="Y21" s="71"/>
      <c r="Z21" s="71"/>
      <c r="AA21" s="71"/>
    </row>
    <row r="22" spans="1:27" ht="15.75" customHeight="1">
      <c r="A22" s="53" t="s">
        <v>413</v>
      </c>
      <c r="B22" s="8">
        <v>45405</v>
      </c>
      <c r="C22" s="239">
        <v>0.3972222222222222</v>
      </c>
      <c r="D22" s="8">
        <v>45405</v>
      </c>
      <c r="E22" s="224">
        <v>0.56597222222222221</v>
      </c>
      <c r="F22" s="225">
        <v>1062</v>
      </c>
      <c r="G22" s="245">
        <v>45421</v>
      </c>
      <c r="H22" s="224">
        <v>0.59722222222222221</v>
      </c>
      <c r="I22" s="235">
        <v>7</v>
      </c>
      <c r="J22" s="7">
        <v>1</v>
      </c>
      <c r="K22" s="226">
        <v>1.2E-2</v>
      </c>
      <c r="L22" s="226">
        <v>1.2E-2</v>
      </c>
      <c r="M22" s="226">
        <v>1.2E-2</v>
      </c>
      <c r="N22" s="226">
        <v>7.0000000000000001E-3</v>
      </c>
      <c r="O22" s="226">
        <v>7.0000000000000001E-3</v>
      </c>
      <c r="P22" s="226">
        <v>8.0000000000000002E-3</v>
      </c>
      <c r="Q22" s="227">
        <f t="shared" si="1"/>
        <v>0.17598870056497176</v>
      </c>
      <c r="R22" s="213"/>
      <c r="S22" s="220" t="s">
        <v>13</v>
      </c>
      <c r="T22" s="13"/>
      <c r="U22" s="71"/>
      <c r="V22" s="71"/>
      <c r="W22" s="71"/>
      <c r="X22" s="71"/>
      <c r="Y22" s="71"/>
      <c r="Z22" s="71"/>
      <c r="AA22" s="71"/>
    </row>
    <row r="23" spans="1:27" ht="15.75" customHeight="1">
      <c r="A23" s="53" t="s">
        <v>414</v>
      </c>
      <c r="B23" s="8">
        <v>45405</v>
      </c>
      <c r="C23" s="239">
        <v>0.41041666666666665</v>
      </c>
      <c r="D23" s="8">
        <v>45405</v>
      </c>
      <c r="E23" s="224">
        <v>0.57152777777777775</v>
      </c>
      <c r="F23" s="225">
        <v>1060</v>
      </c>
      <c r="G23" s="245">
        <v>45421</v>
      </c>
      <c r="H23" s="224">
        <v>0.59444444444444444</v>
      </c>
      <c r="I23" s="235">
        <v>6</v>
      </c>
      <c r="J23" s="7">
        <v>1</v>
      </c>
      <c r="K23" s="226">
        <v>7.0000000000000001E-3</v>
      </c>
      <c r="L23" s="226">
        <v>8.0000000000000002E-3</v>
      </c>
      <c r="M23" s="226">
        <v>7.0000000000000001E-3</v>
      </c>
      <c r="N23" s="226">
        <v>7.0000000000000001E-3</v>
      </c>
      <c r="O23" s="226">
        <v>7.0000000000000001E-3</v>
      </c>
      <c r="P23" s="226">
        <v>8.0000000000000002E-3</v>
      </c>
      <c r="Q23" s="227">
        <f t="shared" si="1"/>
        <v>0.15113207547169813</v>
      </c>
      <c r="R23" s="213"/>
      <c r="S23" s="220" t="s">
        <v>13</v>
      </c>
      <c r="T23" s="13"/>
      <c r="U23" s="71"/>
      <c r="V23" s="71"/>
      <c r="W23" s="71"/>
      <c r="X23" s="71"/>
      <c r="Y23" s="71"/>
      <c r="Z23" s="71"/>
      <c r="AA23" s="71"/>
    </row>
    <row r="24" spans="1:27" ht="15.75" customHeight="1">
      <c r="A24" s="53" t="s">
        <v>415</v>
      </c>
      <c r="B24" s="8">
        <v>45405</v>
      </c>
      <c r="C24" s="239">
        <v>0.47361111111111109</v>
      </c>
      <c r="D24" s="8">
        <v>45405</v>
      </c>
      <c r="E24" s="224">
        <v>0.61388888888888893</v>
      </c>
      <c r="F24" s="225">
        <v>1010</v>
      </c>
      <c r="G24" s="245">
        <v>45421</v>
      </c>
      <c r="H24" s="224">
        <v>0.53611111111111109</v>
      </c>
      <c r="I24" s="235">
        <v>6.5</v>
      </c>
      <c r="J24" s="7">
        <v>1</v>
      </c>
      <c r="K24" s="226">
        <v>6.0000000000000001E-3</v>
      </c>
      <c r="L24" s="226">
        <v>6.0000000000000001E-3</v>
      </c>
      <c r="M24" s="226">
        <v>3.0000000000000001E-3</v>
      </c>
      <c r="N24" s="226">
        <v>4.0000000000000001E-3</v>
      </c>
      <c r="O24" s="226">
        <v>4.0000000000000001E-3</v>
      </c>
      <c r="P24" s="226">
        <v>3.0000000000000001E-3</v>
      </c>
      <c r="Q24" s="227">
        <f t="shared" si="1"/>
        <v>0.34366336633663369</v>
      </c>
      <c r="R24" s="213"/>
      <c r="S24" s="220" t="s">
        <v>13</v>
      </c>
      <c r="T24" s="13"/>
      <c r="U24" s="71"/>
      <c r="V24" s="71"/>
      <c r="W24" s="71"/>
      <c r="X24" s="71"/>
      <c r="Y24" s="71"/>
      <c r="Z24" s="71"/>
      <c r="AA24" s="71"/>
    </row>
    <row r="25" spans="1:27" ht="15.75" customHeight="1">
      <c r="A25" s="53" t="s">
        <v>416</v>
      </c>
      <c r="B25" s="8">
        <v>45405</v>
      </c>
      <c r="C25" s="239">
        <v>0.49305555555555558</v>
      </c>
      <c r="D25" s="8">
        <v>45405</v>
      </c>
      <c r="E25" s="224">
        <v>0.61458333333333337</v>
      </c>
      <c r="F25" s="225">
        <v>1064</v>
      </c>
      <c r="G25" s="245">
        <v>45421</v>
      </c>
      <c r="H25" s="224">
        <v>0.59097222222222223</v>
      </c>
      <c r="I25" s="235">
        <v>7</v>
      </c>
      <c r="J25" s="7">
        <v>1</v>
      </c>
      <c r="K25" s="246">
        <v>8.0000000000000002E-3</v>
      </c>
      <c r="L25" s="246">
        <v>8.0000000000000002E-3</v>
      </c>
      <c r="M25" s="226">
        <v>6.0000000000000001E-3</v>
      </c>
      <c r="N25" s="226">
        <v>6.0000000000000001E-3</v>
      </c>
      <c r="O25" s="226">
        <v>6.0000000000000001E-3</v>
      </c>
      <c r="P25" s="226">
        <v>6.0000000000000001E-3</v>
      </c>
      <c r="Q25" s="227">
        <f t="shared" si="1"/>
        <v>0.35131578947368425</v>
      </c>
      <c r="R25" s="213"/>
      <c r="S25" s="220" t="s">
        <v>13</v>
      </c>
      <c r="T25" s="13"/>
      <c r="U25" s="71"/>
      <c r="V25" s="71"/>
      <c r="W25" s="71"/>
      <c r="X25" s="71"/>
      <c r="Y25" s="71"/>
      <c r="Z25" s="71"/>
      <c r="AA25" s="71"/>
    </row>
    <row r="26" spans="1:27" ht="15.75" customHeight="1">
      <c r="A26" s="53" t="s">
        <v>417</v>
      </c>
      <c r="B26" s="8">
        <v>45405</v>
      </c>
      <c r="C26" s="239">
        <v>0.51249999999999996</v>
      </c>
      <c r="D26" s="8">
        <v>45405</v>
      </c>
      <c r="E26" s="224">
        <v>0.62013888888888891</v>
      </c>
      <c r="F26" s="225">
        <v>1058</v>
      </c>
      <c r="G26" s="245">
        <v>45421</v>
      </c>
      <c r="H26" s="224">
        <v>0.5854166666666667</v>
      </c>
      <c r="I26" s="235">
        <v>7</v>
      </c>
      <c r="J26" s="7">
        <v>1</v>
      </c>
      <c r="K26" s="246">
        <v>0.02</v>
      </c>
      <c r="L26" s="246">
        <v>2.1999999999999999E-2</v>
      </c>
      <c r="M26" s="246">
        <v>1.9E-2</v>
      </c>
      <c r="N26" s="246">
        <v>8.9999999999999993E-3</v>
      </c>
      <c r="O26" s="246">
        <v>8.9999999999999993E-3</v>
      </c>
      <c r="P26" s="246">
        <v>8.0000000000000002E-3</v>
      </c>
      <c r="Q26" s="227">
        <f t="shared" si="1"/>
        <v>3.0644595241972139E-16</v>
      </c>
      <c r="R26" s="213"/>
      <c r="S26" s="220" t="s">
        <v>13</v>
      </c>
      <c r="T26" s="13"/>
      <c r="U26" s="71"/>
      <c r="V26" s="71"/>
      <c r="W26" s="71"/>
      <c r="X26" s="71"/>
      <c r="Y26" s="71"/>
      <c r="Z26" s="71"/>
      <c r="AA26" s="71"/>
    </row>
    <row r="27" spans="1:27" ht="15.75" customHeight="1">
      <c r="A27" s="223" t="s">
        <v>418</v>
      </c>
      <c r="B27" s="8">
        <v>45407</v>
      </c>
      <c r="C27" s="239">
        <v>0.33194444444444443</v>
      </c>
      <c r="D27" s="8">
        <v>45407</v>
      </c>
      <c r="E27" s="224">
        <v>0.6</v>
      </c>
      <c r="F27" s="225">
        <v>1068</v>
      </c>
      <c r="G27" s="216">
        <v>45412</v>
      </c>
      <c r="H27" s="224">
        <v>0.60347222222222219</v>
      </c>
      <c r="I27" s="235">
        <v>8.5</v>
      </c>
      <c r="J27" s="7">
        <v>1</v>
      </c>
      <c r="K27" s="226">
        <v>9.1999999999999998E-2</v>
      </c>
      <c r="L27" s="226">
        <v>0.09</v>
      </c>
      <c r="M27" s="246">
        <v>0.08</v>
      </c>
      <c r="N27" s="226">
        <v>5.1999999999999998E-2</v>
      </c>
      <c r="O27" s="226">
        <v>5.1999999999999998E-2</v>
      </c>
      <c r="P27" s="226">
        <v>4.3999999999999997E-2</v>
      </c>
      <c r="Q27" s="227">
        <f t="shared" si="1"/>
        <v>0.84999999999999931</v>
      </c>
      <c r="R27" s="213"/>
      <c r="S27" s="220" t="s">
        <v>13</v>
      </c>
      <c r="T27" s="13"/>
      <c r="U27" s="71"/>
      <c r="V27" s="71"/>
      <c r="W27" s="71"/>
      <c r="X27" s="71"/>
      <c r="Y27" s="71"/>
      <c r="Z27" s="71"/>
      <c r="AA27" s="71"/>
    </row>
    <row r="28" spans="1:27" ht="15.75" customHeight="1">
      <c r="A28" s="223" t="s">
        <v>419</v>
      </c>
      <c r="B28" s="8">
        <v>45407</v>
      </c>
      <c r="C28" s="239">
        <v>0.36180555555555555</v>
      </c>
      <c r="D28" s="8">
        <v>45407</v>
      </c>
      <c r="E28" s="224">
        <v>0.60069444444444442</v>
      </c>
      <c r="F28" s="225">
        <v>1074</v>
      </c>
      <c r="G28" s="245">
        <v>45421</v>
      </c>
      <c r="H28" s="224">
        <v>0.6</v>
      </c>
      <c r="I28" s="235">
        <v>6.5</v>
      </c>
      <c r="J28" s="7">
        <v>1</v>
      </c>
      <c r="K28" s="246">
        <v>8.9999999999999993E-3</v>
      </c>
      <c r="L28" s="246">
        <v>8.9999999999999993E-3</v>
      </c>
      <c r="M28" s="226">
        <v>6.0000000000000001E-3</v>
      </c>
      <c r="N28" s="246">
        <v>7.0000000000000001E-3</v>
      </c>
      <c r="O28" s="246">
        <v>7.0000000000000001E-3</v>
      </c>
      <c r="P28" s="226">
        <v>6.0000000000000001E-3</v>
      </c>
      <c r="Q28" s="227">
        <f t="shared" si="1"/>
        <v>0.32318435754189934</v>
      </c>
      <c r="R28" s="213"/>
      <c r="S28" s="220" t="s">
        <v>13</v>
      </c>
      <c r="T28" s="247"/>
      <c r="U28" s="71"/>
      <c r="V28" s="71"/>
      <c r="W28" s="71"/>
      <c r="X28" s="71"/>
      <c r="Y28" s="71"/>
      <c r="Z28" s="71"/>
      <c r="AA28" s="71"/>
    </row>
    <row r="29" spans="1:27" ht="15.75" customHeight="1">
      <c r="A29" s="223" t="s">
        <v>420</v>
      </c>
      <c r="B29" s="8">
        <v>45407</v>
      </c>
      <c r="C29" s="9">
        <v>0.3888888888888889</v>
      </c>
      <c r="D29" s="8">
        <v>45407</v>
      </c>
      <c r="E29" s="224">
        <v>0.59375</v>
      </c>
      <c r="F29" s="225">
        <v>1054</v>
      </c>
      <c r="G29" s="245">
        <v>45421</v>
      </c>
      <c r="H29" s="248">
        <v>0.58194444444444449</v>
      </c>
      <c r="I29" s="225">
        <v>7.5</v>
      </c>
      <c r="J29" s="7">
        <v>1</v>
      </c>
      <c r="K29" s="226">
        <v>6.0000000000000001E-3</v>
      </c>
      <c r="L29" s="226">
        <v>7.0000000000000001E-3</v>
      </c>
      <c r="M29" s="226">
        <v>3.0000000000000001E-3</v>
      </c>
      <c r="N29" s="226">
        <v>4.0000000000000001E-3</v>
      </c>
      <c r="O29" s="226">
        <v>4.0000000000000001E-3</v>
      </c>
      <c r="P29" s="226">
        <v>1E-3</v>
      </c>
      <c r="Q29" s="227">
        <f t="shared" si="1"/>
        <v>0</v>
      </c>
      <c r="R29" s="213"/>
      <c r="S29" s="220" t="s">
        <v>13</v>
      </c>
      <c r="T29" s="13"/>
      <c r="U29" s="71"/>
      <c r="V29" s="71"/>
      <c r="W29" s="71"/>
      <c r="X29" s="71"/>
      <c r="Y29" s="71"/>
      <c r="Z29" s="71"/>
      <c r="AA29" s="71"/>
    </row>
    <row r="30" spans="1:27" ht="15.75" customHeight="1">
      <c r="A30" s="223" t="s">
        <v>421</v>
      </c>
      <c r="B30" s="8">
        <v>45407</v>
      </c>
      <c r="C30" s="239">
        <v>0.40833333333333333</v>
      </c>
      <c r="D30" s="8">
        <v>45407</v>
      </c>
      <c r="E30" s="248">
        <v>0.6166666666666667</v>
      </c>
      <c r="F30" s="235">
        <v>1060</v>
      </c>
      <c r="G30" s="216">
        <v>45412</v>
      </c>
      <c r="H30" s="224">
        <v>0.59444444444444444</v>
      </c>
      <c r="I30" s="235">
        <v>7.5</v>
      </c>
      <c r="J30" s="7">
        <v>1</v>
      </c>
      <c r="K30" s="226">
        <v>7.0000000000000001E-3</v>
      </c>
      <c r="L30" s="226">
        <v>6.0000000000000001E-3</v>
      </c>
      <c r="M30" s="226">
        <v>3.0000000000000001E-3</v>
      </c>
      <c r="N30" s="246">
        <v>5.0000000000000001E-3</v>
      </c>
      <c r="O30" s="246">
        <v>4.0000000000000001E-3</v>
      </c>
      <c r="P30" s="226">
        <v>3.0000000000000001E-3</v>
      </c>
      <c r="Q30" s="227">
        <f t="shared" si="1"/>
        <v>0.56674528301886795</v>
      </c>
      <c r="R30" s="213"/>
      <c r="S30" s="220" t="s">
        <v>13</v>
      </c>
      <c r="T30" s="405"/>
      <c r="U30" s="71"/>
      <c r="V30" s="71"/>
      <c r="W30" s="71"/>
      <c r="X30" s="71"/>
      <c r="Y30" s="71"/>
      <c r="Z30" s="71"/>
      <c r="AA30" s="71"/>
    </row>
    <row r="31" spans="1:27" ht="15.75" customHeight="1">
      <c r="A31" s="223" t="s">
        <v>422</v>
      </c>
      <c r="B31" s="8">
        <v>45407</v>
      </c>
      <c r="C31" s="239">
        <v>0.43055555555555558</v>
      </c>
      <c r="D31" s="8">
        <v>45407</v>
      </c>
      <c r="E31" s="248">
        <v>0.60972222222222228</v>
      </c>
      <c r="F31" s="235">
        <v>1070</v>
      </c>
      <c r="G31" s="245">
        <v>45422</v>
      </c>
      <c r="H31" s="248">
        <v>0.98541666666666672</v>
      </c>
      <c r="I31" s="235">
        <v>8</v>
      </c>
      <c r="J31" s="7">
        <v>1</v>
      </c>
      <c r="K31" s="226">
        <v>2.1000000000000001E-2</v>
      </c>
      <c r="L31" s="226">
        <v>1.9E-2</v>
      </c>
      <c r="M31" s="226">
        <v>1.4999999999999999E-2</v>
      </c>
      <c r="N31" s="226">
        <v>7.0000000000000001E-3</v>
      </c>
      <c r="O31" s="226">
        <v>6.0000000000000001E-3</v>
      </c>
      <c r="P31" s="226">
        <v>5.0000000000000001E-3</v>
      </c>
      <c r="Q31" s="227">
        <f t="shared" si="1"/>
        <v>0.99813084112149564</v>
      </c>
      <c r="R31" s="213"/>
      <c r="S31" s="220" t="s">
        <v>13</v>
      </c>
      <c r="T31" s="402"/>
      <c r="U31" s="71"/>
      <c r="V31" s="71"/>
      <c r="W31" s="71"/>
      <c r="X31" s="71"/>
      <c r="Y31" s="71"/>
      <c r="Z31" s="71"/>
      <c r="AA31" s="71"/>
    </row>
    <row r="32" spans="1:27" ht="15.75" customHeight="1">
      <c r="A32" s="223" t="s">
        <v>423</v>
      </c>
      <c r="B32" s="8">
        <v>45407</v>
      </c>
      <c r="C32" s="239">
        <v>0.45069444444444445</v>
      </c>
      <c r="D32" s="8">
        <v>45407</v>
      </c>
      <c r="E32" s="248">
        <v>0.61875000000000002</v>
      </c>
      <c r="F32" s="235">
        <v>1070</v>
      </c>
      <c r="G32" s="245">
        <v>45422</v>
      </c>
      <c r="H32" s="248">
        <v>0.98750000000000004</v>
      </c>
      <c r="I32" s="235">
        <v>7</v>
      </c>
      <c r="J32" s="7">
        <v>1</v>
      </c>
      <c r="K32" s="226">
        <v>1.2E-2</v>
      </c>
      <c r="L32" s="226">
        <v>1.0999999999999999E-2</v>
      </c>
      <c r="M32" s="226">
        <v>8.0000000000000002E-3</v>
      </c>
      <c r="N32" s="226">
        <v>8.0000000000000002E-3</v>
      </c>
      <c r="O32" s="226">
        <v>7.0000000000000001E-3</v>
      </c>
      <c r="P32" s="226">
        <v>6.0000000000000001E-3</v>
      </c>
      <c r="Q32" s="227">
        <f t="shared" si="1"/>
        <v>0.524018691588785</v>
      </c>
      <c r="R32" s="213"/>
      <c r="S32" s="220" t="s">
        <v>13</v>
      </c>
      <c r="T32" s="403"/>
      <c r="U32" s="71"/>
      <c r="V32" s="71"/>
      <c r="W32" s="71"/>
      <c r="X32" s="71"/>
      <c r="Y32" s="71"/>
      <c r="Z32" s="71"/>
      <c r="AA32" s="71"/>
    </row>
    <row r="33" spans="1:27" ht="15.75" customHeight="1">
      <c r="A33" s="223" t="s">
        <v>424</v>
      </c>
      <c r="B33" s="8">
        <v>45407</v>
      </c>
      <c r="C33" s="239">
        <v>0.4777777777777778</v>
      </c>
      <c r="D33" s="8">
        <v>45407</v>
      </c>
      <c r="E33" s="10">
        <v>0.62361111111111112</v>
      </c>
      <c r="F33" s="235">
        <v>1060</v>
      </c>
      <c r="G33" s="245">
        <v>45422</v>
      </c>
      <c r="H33" s="248">
        <v>0.91041666666666665</v>
      </c>
      <c r="I33" s="235">
        <v>7.5</v>
      </c>
      <c r="J33" s="7">
        <v>1</v>
      </c>
      <c r="K33" s="226">
        <v>1.0999999999999999E-2</v>
      </c>
      <c r="L33" s="226">
        <v>1.0999999999999999E-2</v>
      </c>
      <c r="M33" s="226">
        <v>5.0000000000000001E-3</v>
      </c>
      <c r="N33" s="226">
        <v>8.0000000000000002E-3</v>
      </c>
      <c r="O33" s="226">
        <v>7.0000000000000001E-3</v>
      </c>
      <c r="P33" s="226">
        <v>4.0000000000000001E-3</v>
      </c>
      <c r="Q33" s="227">
        <f t="shared" si="1"/>
        <v>0.56674528301886773</v>
      </c>
      <c r="R33" s="213"/>
      <c r="S33" s="220" t="s">
        <v>13</v>
      </c>
      <c r="T33" s="13"/>
      <c r="U33" s="71"/>
      <c r="V33" s="71"/>
      <c r="W33" s="71"/>
      <c r="X33" s="71"/>
      <c r="Y33" s="71"/>
      <c r="Z33" s="71"/>
      <c r="AA33" s="71"/>
    </row>
    <row r="34" spans="1:27" ht="15.75" customHeight="1">
      <c r="A34" s="223" t="s">
        <v>425</v>
      </c>
      <c r="B34" s="8">
        <v>45407</v>
      </c>
      <c r="C34" s="239">
        <v>0.5</v>
      </c>
      <c r="D34" s="8">
        <v>45407</v>
      </c>
      <c r="E34" s="248">
        <v>0.61805555555555558</v>
      </c>
      <c r="F34" s="235">
        <v>1065</v>
      </c>
      <c r="G34" s="245">
        <v>45422</v>
      </c>
      <c r="H34" s="248">
        <v>0.91388888888888886</v>
      </c>
      <c r="I34" s="235">
        <v>7.3</v>
      </c>
      <c r="J34" s="7">
        <v>1</v>
      </c>
      <c r="K34" s="226">
        <v>1.2E-2</v>
      </c>
      <c r="L34" s="226">
        <v>1.0999999999999999E-2</v>
      </c>
      <c r="M34" s="226">
        <v>6.0000000000000001E-3</v>
      </c>
      <c r="N34" s="226">
        <v>8.0000000000000002E-3</v>
      </c>
      <c r="O34" s="226">
        <v>8.0000000000000002E-3</v>
      </c>
      <c r="P34" s="226">
        <v>5.0000000000000001E-3</v>
      </c>
      <c r="Q34" s="227">
        <f t="shared" si="1"/>
        <v>0.54904225352112679</v>
      </c>
      <c r="R34" s="213"/>
      <c r="S34" s="220" t="s">
        <v>13</v>
      </c>
      <c r="T34" s="13"/>
      <c r="U34" s="71"/>
      <c r="V34" s="71"/>
      <c r="W34" s="71"/>
      <c r="X34" s="71"/>
      <c r="Y34" s="71"/>
      <c r="Z34" s="71"/>
      <c r="AA34" s="71"/>
    </row>
    <row r="35" spans="1:27" ht="15.75" customHeight="1">
      <c r="A35" s="223" t="s">
        <v>426</v>
      </c>
      <c r="B35" s="8">
        <v>45407</v>
      </c>
      <c r="C35" s="239">
        <v>0.5131944444444444</v>
      </c>
      <c r="D35" s="8">
        <v>45407</v>
      </c>
      <c r="E35" s="248">
        <v>0.59027777777777779</v>
      </c>
      <c r="F35" s="235">
        <v>1054</v>
      </c>
      <c r="G35" s="216">
        <v>45412</v>
      </c>
      <c r="H35" s="248">
        <v>0.59861111111111109</v>
      </c>
      <c r="I35" s="235">
        <v>6</v>
      </c>
      <c r="J35" s="7">
        <v>1</v>
      </c>
      <c r="K35" s="226">
        <v>1.7999999999999999E-2</v>
      </c>
      <c r="L35" s="226">
        <v>1.7000000000000001E-2</v>
      </c>
      <c r="M35" s="226">
        <v>0.01</v>
      </c>
      <c r="N35" s="246">
        <v>1.4E-2</v>
      </c>
      <c r="O35" s="246">
        <v>1.4E-2</v>
      </c>
      <c r="P35" s="226">
        <v>0.01</v>
      </c>
      <c r="Q35" s="227">
        <f t="shared" si="1"/>
        <v>0.60796963946869043</v>
      </c>
      <c r="R35" s="213"/>
      <c r="S35" s="220" t="s">
        <v>13</v>
      </c>
      <c r="T35" s="13"/>
      <c r="U35" s="71"/>
      <c r="V35" s="71"/>
      <c r="W35" s="71"/>
      <c r="X35" s="71"/>
      <c r="Y35" s="71"/>
      <c r="Z35" s="71"/>
      <c r="AA35" s="71"/>
    </row>
    <row r="36" spans="1:27" ht="18.75" customHeight="1">
      <c r="A36" s="53" t="s">
        <v>427</v>
      </c>
      <c r="B36" s="8">
        <v>45415</v>
      </c>
      <c r="C36" s="9">
        <v>0.2986111111111111</v>
      </c>
      <c r="D36" s="8">
        <v>45415</v>
      </c>
      <c r="E36" s="241">
        <v>0.64444444444444449</v>
      </c>
      <c r="F36" s="242">
        <v>1050</v>
      </c>
      <c r="G36" s="249">
        <v>45421</v>
      </c>
      <c r="H36" s="241">
        <v>0.61111111111111116</v>
      </c>
      <c r="I36" s="242">
        <v>7.5</v>
      </c>
      <c r="J36" s="7">
        <v>1</v>
      </c>
      <c r="K36" s="226">
        <v>1.0999999999999999E-2</v>
      </c>
      <c r="L36" s="226">
        <v>1.0999999999999999E-2</v>
      </c>
      <c r="M36" s="226">
        <v>8.9999999999999993E-3</v>
      </c>
      <c r="N36" s="226">
        <v>8.9999999999999993E-3</v>
      </c>
      <c r="O36" s="226">
        <v>0.01</v>
      </c>
      <c r="P36" s="226">
        <v>8.9999999999999993E-3</v>
      </c>
      <c r="Q36" s="227">
        <f t="shared" si="1"/>
        <v>0.19071428571428553</v>
      </c>
      <c r="R36" s="219"/>
      <c r="S36" s="220" t="s">
        <v>13</v>
      </c>
      <c r="T36" s="243"/>
      <c r="U36" s="236"/>
      <c r="V36" s="236"/>
      <c r="W36" s="236"/>
      <c r="X36" s="236"/>
      <c r="Y36" s="236"/>
      <c r="Z36" s="236"/>
      <c r="AA36" s="236"/>
    </row>
    <row r="37" spans="1:27" ht="15.75" customHeight="1">
      <c r="A37" s="223" t="s">
        <v>428</v>
      </c>
      <c r="B37" s="8">
        <v>45415</v>
      </c>
      <c r="C37" s="9">
        <v>0.32013888888888886</v>
      </c>
      <c r="D37" s="8">
        <v>45415</v>
      </c>
      <c r="E37" s="248">
        <v>0.6743055555555556</v>
      </c>
      <c r="F37" s="235">
        <v>1054</v>
      </c>
      <c r="G37" s="216">
        <v>45421</v>
      </c>
      <c r="H37" s="248">
        <v>0.61388888888888893</v>
      </c>
      <c r="I37" s="235">
        <v>6.5</v>
      </c>
      <c r="J37" s="7">
        <v>1</v>
      </c>
      <c r="K37" s="226">
        <v>1.2999999999999999E-2</v>
      </c>
      <c r="L37" s="226">
        <v>1.2999999999999999E-2</v>
      </c>
      <c r="M37" s="226">
        <v>1.0999999999999999E-2</v>
      </c>
      <c r="N37" s="226">
        <v>0.01</v>
      </c>
      <c r="O37" s="226">
        <v>1.0999999999999999E-2</v>
      </c>
      <c r="P37" s="226">
        <v>0.01</v>
      </c>
      <c r="Q37" s="227">
        <f t="shared" si="1"/>
        <v>0.16465844402277055</v>
      </c>
      <c r="R37" s="213"/>
      <c r="S37" s="220" t="s">
        <v>13</v>
      </c>
      <c r="T37" s="13"/>
      <c r="U37" s="71"/>
      <c r="V37" s="71"/>
      <c r="W37" s="71"/>
      <c r="X37" s="71"/>
      <c r="Y37" s="71"/>
      <c r="Z37" s="71"/>
      <c r="AA37" s="71"/>
    </row>
    <row r="38" spans="1:27" ht="15.75" customHeight="1">
      <c r="A38" s="223" t="s">
        <v>429</v>
      </c>
      <c r="B38" s="8">
        <v>45415</v>
      </c>
      <c r="C38" s="9">
        <v>0.41875000000000001</v>
      </c>
      <c r="D38" s="8">
        <v>45415</v>
      </c>
      <c r="E38" s="248">
        <v>0.16944444444444445</v>
      </c>
      <c r="F38" s="235">
        <v>1056</v>
      </c>
      <c r="G38" s="216">
        <v>45421</v>
      </c>
      <c r="H38" s="248">
        <v>0.61805555555555558</v>
      </c>
      <c r="I38" s="235">
        <v>7</v>
      </c>
      <c r="J38" s="7">
        <v>1</v>
      </c>
      <c r="K38" s="246">
        <v>6.0000000000000001E-3</v>
      </c>
      <c r="L38" s="246">
        <v>6.0000000000000001E-3</v>
      </c>
      <c r="M38" s="246">
        <v>2E-3</v>
      </c>
      <c r="N38" s="226">
        <v>3.0000000000000001E-3</v>
      </c>
      <c r="O38" s="226">
        <v>3.0000000000000001E-3</v>
      </c>
      <c r="P38" s="226">
        <v>2E-3</v>
      </c>
      <c r="Q38" s="227">
        <f t="shared" si="1"/>
        <v>0.53096590909090913</v>
      </c>
      <c r="R38" s="213"/>
      <c r="S38" s="220" t="s">
        <v>13</v>
      </c>
      <c r="T38" s="13"/>
      <c r="U38" s="71"/>
      <c r="V38" s="71"/>
      <c r="W38" s="71"/>
      <c r="X38" s="71"/>
      <c r="Y38" s="71"/>
      <c r="Z38" s="71"/>
      <c r="AA38" s="71"/>
    </row>
    <row r="39" spans="1:27" ht="15.75" customHeight="1">
      <c r="A39" s="223" t="s">
        <v>430</v>
      </c>
      <c r="B39" s="8">
        <v>45415</v>
      </c>
      <c r="C39" s="9">
        <v>0.43402777777777779</v>
      </c>
      <c r="D39" s="8">
        <v>45415</v>
      </c>
      <c r="E39" s="248">
        <v>0.16111111111111112</v>
      </c>
      <c r="F39" s="235">
        <v>1060</v>
      </c>
      <c r="G39" s="216">
        <v>45421</v>
      </c>
      <c r="H39" s="248">
        <v>0.62291666666666667</v>
      </c>
      <c r="I39" s="235">
        <v>9</v>
      </c>
      <c r="J39" s="7">
        <v>1</v>
      </c>
      <c r="K39" s="246">
        <v>0.01</v>
      </c>
      <c r="L39" s="246">
        <v>0.01</v>
      </c>
      <c r="M39" s="246">
        <v>7.0000000000000001E-3</v>
      </c>
      <c r="N39" s="226">
        <v>8.9999999999999993E-3</v>
      </c>
      <c r="O39" s="226">
        <v>8.9999999999999993E-3</v>
      </c>
      <c r="P39" s="226">
        <v>7.0000000000000001E-3</v>
      </c>
      <c r="Q39" s="227">
        <f t="shared" si="1"/>
        <v>0.22669811320754737</v>
      </c>
      <c r="R39" s="213"/>
      <c r="S39" s="220" t="s">
        <v>13</v>
      </c>
      <c r="T39" s="13"/>
      <c r="U39" s="71"/>
      <c r="V39" s="71"/>
      <c r="W39" s="71"/>
      <c r="X39" s="71"/>
      <c r="Y39" s="71"/>
      <c r="Z39" s="71"/>
      <c r="AA39" s="71"/>
    </row>
    <row r="40" spans="1:27" ht="35.25" customHeight="1">
      <c r="A40" s="53" t="s">
        <v>394</v>
      </c>
      <c r="B40" s="215" t="s">
        <v>75</v>
      </c>
      <c r="C40" s="215" t="s">
        <v>75</v>
      </c>
      <c r="D40" s="215" t="s">
        <v>75</v>
      </c>
      <c r="E40" s="215" t="s">
        <v>75</v>
      </c>
      <c r="F40" s="215" t="s">
        <v>75</v>
      </c>
      <c r="G40" s="216">
        <v>45422</v>
      </c>
      <c r="H40" s="215" t="s">
        <v>75</v>
      </c>
      <c r="I40" s="215" t="s">
        <v>75</v>
      </c>
      <c r="J40" s="7">
        <v>1</v>
      </c>
      <c r="K40" s="217">
        <v>1.4999999999999999E-2</v>
      </c>
      <c r="L40" s="217">
        <v>1.4999999999999999E-2</v>
      </c>
      <c r="M40" s="217">
        <v>5.0000000000000001E-3</v>
      </c>
      <c r="N40" s="217">
        <v>7.0000000000000001E-3</v>
      </c>
      <c r="O40" s="217">
        <v>7.0000000000000001E-3</v>
      </c>
      <c r="P40" s="217">
        <v>5.0000000000000001E-3</v>
      </c>
      <c r="Q40" s="218">
        <f>((26.7*((K40-M40)-(O40-P40))*1000))</f>
        <v>213.59999999999997</v>
      </c>
      <c r="R40" s="219" t="s">
        <v>12</v>
      </c>
      <c r="S40" s="220" t="s">
        <v>13</v>
      </c>
      <c r="T40" s="221"/>
      <c r="U40" s="222"/>
      <c r="V40" s="222"/>
      <c r="W40" s="222"/>
      <c r="X40" s="222"/>
      <c r="Y40" s="222"/>
      <c r="Z40" s="222"/>
      <c r="AA40" s="222"/>
    </row>
    <row r="41" spans="1:27" ht="15.75" customHeight="1">
      <c r="A41" s="223" t="s">
        <v>431</v>
      </c>
      <c r="B41" s="8">
        <v>45416</v>
      </c>
      <c r="C41" s="9">
        <v>0.36736111111111114</v>
      </c>
      <c r="D41" s="8">
        <v>45416</v>
      </c>
      <c r="E41" s="248">
        <v>0.12291666666666666</v>
      </c>
      <c r="F41" s="235">
        <v>1052</v>
      </c>
      <c r="G41" s="216">
        <v>45422</v>
      </c>
      <c r="H41" s="248">
        <v>0.42222222222222222</v>
      </c>
      <c r="I41" s="235">
        <v>8</v>
      </c>
      <c r="J41" s="7">
        <v>1</v>
      </c>
      <c r="K41" s="246">
        <v>8.9999999999999993E-3</v>
      </c>
      <c r="L41" s="246">
        <v>8.0000000000000002E-3</v>
      </c>
      <c r="M41" s="246">
        <v>6.0000000000000001E-3</v>
      </c>
      <c r="N41" s="246">
        <v>5.0000000000000001E-3</v>
      </c>
      <c r="O41" s="246">
        <v>4.0000000000000001E-3</v>
      </c>
      <c r="P41" s="246">
        <v>4.0000000000000001E-3</v>
      </c>
      <c r="Q41" s="227">
        <f t="shared" ref="Q41:Q51" si="2">((26.7*((K41-M41)-(O41-P41))*I41)/(F41*J41))*1000</f>
        <v>0.60912547528517091</v>
      </c>
      <c r="R41" s="213"/>
      <c r="S41" s="220" t="s">
        <v>13</v>
      </c>
      <c r="T41" s="405" t="s">
        <v>432</v>
      </c>
      <c r="U41" s="71"/>
      <c r="V41" s="71"/>
      <c r="W41" s="71"/>
      <c r="X41" s="71"/>
      <c r="Y41" s="71"/>
      <c r="Z41" s="71"/>
      <c r="AA41" s="71"/>
    </row>
    <row r="42" spans="1:27" ht="15.75" customHeight="1">
      <c r="A42" s="223" t="s">
        <v>433</v>
      </c>
      <c r="B42" s="8">
        <v>45416</v>
      </c>
      <c r="C42" s="9">
        <v>0.44861111111111113</v>
      </c>
      <c r="D42" s="8">
        <v>45416</v>
      </c>
      <c r="E42" s="248">
        <v>0.12430555555555556</v>
      </c>
      <c r="F42" s="235">
        <v>1040</v>
      </c>
      <c r="G42" s="216">
        <v>45422</v>
      </c>
      <c r="H42" s="248">
        <v>0.41944444444444445</v>
      </c>
      <c r="I42" s="235">
        <v>8</v>
      </c>
      <c r="J42" s="7">
        <v>1</v>
      </c>
      <c r="K42" s="226">
        <v>0.01</v>
      </c>
      <c r="L42" s="226">
        <v>8.9999999999999993E-3</v>
      </c>
      <c r="M42" s="226">
        <v>7.0000000000000001E-3</v>
      </c>
      <c r="N42" s="246">
        <v>6.0000000000000001E-3</v>
      </c>
      <c r="O42" s="246">
        <v>5.0000000000000001E-3</v>
      </c>
      <c r="P42" s="246">
        <v>5.0000000000000001E-3</v>
      </c>
      <c r="Q42" s="227">
        <f t="shared" si="2"/>
        <v>0.61615384615384616</v>
      </c>
      <c r="R42" s="213"/>
      <c r="S42" s="220" t="s">
        <v>13</v>
      </c>
      <c r="T42" s="402"/>
      <c r="U42" s="71"/>
      <c r="V42" s="71"/>
      <c r="W42" s="71"/>
      <c r="X42" s="71"/>
      <c r="Y42" s="71"/>
      <c r="Z42" s="71"/>
      <c r="AA42" s="71"/>
    </row>
    <row r="43" spans="1:27" ht="15.75" customHeight="1">
      <c r="A43" s="223" t="s">
        <v>434</v>
      </c>
      <c r="B43" s="8">
        <v>45416</v>
      </c>
      <c r="C43" s="9">
        <v>0.47986111111111113</v>
      </c>
      <c r="D43" s="8">
        <v>45416</v>
      </c>
      <c r="E43" s="250">
        <v>0.61875000000000002</v>
      </c>
      <c r="F43" s="235">
        <v>1047</v>
      </c>
      <c r="G43" s="216">
        <v>45422</v>
      </c>
      <c r="H43" s="250">
        <v>0.45833333333333331</v>
      </c>
      <c r="I43" s="251">
        <v>7.5</v>
      </c>
      <c r="J43" s="7">
        <v>1</v>
      </c>
      <c r="K43" s="252">
        <v>1.6E-2</v>
      </c>
      <c r="L43" s="252">
        <v>1.6E-2</v>
      </c>
      <c r="M43" s="252">
        <v>1.2999999999999999E-2</v>
      </c>
      <c r="N43" s="253">
        <v>8.9999999999999993E-3</v>
      </c>
      <c r="O43" s="253">
        <v>8.0000000000000002E-3</v>
      </c>
      <c r="P43" s="252">
        <v>7.0000000000000001E-3</v>
      </c>
      <c r="Q43" s="227">
        <f t="shared" si="2"/>
        <v>0.38252148997134688</v>
      </c>
      <c r="R43" s="213"/>
      <c r="S43" s="220" t="s">
        <v>13</v>
      </c>
      <c r="T43" s="402"/>
      <c r="U43" s="71"/>
      <c r="V43" s="71"/>
      <c r="W43" s="71"/>
      <c r="X43" s="71"/>
      <c r="Y43" s="71"/>
      <c r="Z43" s="71"/>
      <c r="AA43" s="71"/>
    </row>
    <row r="44" spans="1:27" ht="15.75" customHeight="1">
      <c r="A44" s="223" t="s">
        <v>435</v>
      </c>
      <c r="B44" s="8">
        <v>45416</v>
      </c>
      <c r="C44" s="9">
        <v>0.53125</v>
      </c>
      <c r="D44" s="8">
        <v>45416</v>
      </c>
      <c r="E44" s="250">
        <v>0.61111111111111116</v>
      </c>
      <c r="F44" s="235">
        <v>1038</v>
      </c>
      <c r="G44" s="216">
        <v>45422</v>
      </c>
      <c r="H44" s="250">
        <v>0.46736111111111112</v>
      </c>
      <c r="I44" s="251">
        <v>7</v>
      </c>
      <c r="J44" s="7">
        <v>1</v>
      </c>
      <c r="K44" s="252">
        <v>0.08</v>
      </c>
      <c r="L44" s="252">
        <v>7.8E-2</v>
      </c>
      <c r="M44" s="252">
        <v>7.0000000000000007E-2</v>
      </c>
      <c r="N44" s="252">
        <v>5.3999999999999999E-2</v>
      </c>
      <c r="O44" s="252">
        <v>5.3999999999999999E-2</v>
      </c>
      <c r="P44" s="252">
        <v>4.8000000000000001E-2</v>
      </c>
      <c r="Q44" s="227">
        <f t="shared" si="2"/>
        <v>0.72023121387283173</v>
      </c>
      <c r="R44" s="213"/>
      <c r="S44" s="220" t="s">
        <v>13</v>
      </c>
      <c r="T44" s="402"/>
      <c r="U44" s="71"/>
      <c r="V44" s="71"/>
      <c r="W44" s="71"/>
      <c r="X44" s="71"/>
      <c r="Y44" s="71"/>
      <c r="Z44" s="71"/>
      <c r="AA44" s="71"/>
    </row>
    <row r="45" spans="1:27" ht="15.75" customHeight="1">
      <c r="A45" s="223" t="s">
        <v>436</v>
      </c>
      <c r="B45" s="27">
        <v>45417</v>
      </c>
      <c r="C45" s="28">
        <v>0.2951388888888889</v>
      </c>
      <c r="D45" s="27">
        <v>45417</v>
      </c>
      <c r="E45" s="224">
        <v>0.51388888888888884</v>
      </c>
      <c r="F45" s="225">
        <v>1044</v>
      </c>
      <c r="G45" s="216">
        <v>45422</v>
      </c>
      <c r="H45" s="248">
        <v>0.4548611111111111</v>
      </c>
      <c r="I45" s="235">
        <v>7</v>
      </c>
      <c r="J45" s="7">
        <v>1</v>
      </c>
      <c r="K45" s="226">
        <v>0.02</v>
      </c>
      <c r="L45" s="226">
        <v>1.9E-2</v>
      </c>
      <c r="M45" s="226">
        <v>1.4999999999999999E-2</v>
      </c>
      <c r="N45" s="226">
        <v>1.7000000000000001E-2</v>
      </c>
      <c r="O45" s="226">
        <v>1.7000000000000001E-2</v>
      </c>
      <c r="P45" s="226">
        <v>1.4E-2</v>
      </c>
      <c r="Q45" s="227">
        <f t="shared" si="2"/>
        <v>0.35804597701149427</v>
      </c>
      <c r="R45" s="213"/>
      <c r="S45" s="220" t="s">
        <v>13</v>
      </c>
      <c r="T45" s="402"/>
      <c r="U45" s="71"/>
      <c r="V45" s="71"/>
      <c r="W45" s="71"/>
      <c r="X45" s="71"/>
      <c r="Y45" s="71"/>
      <c r="Z45" s="71"/>
      <c r="AA45" s="71"/>
    </row>
    <row r="46" spans="1:27" ht="15.75" customHeight="1">
      <c r="A46" s="223" t="s">
        <v>437</v>
      </c>
      <c r="B46" s="27">
        <v>45417</v>
      </c>
      <c r="C46" s="9">
        <v>0.33124999999999999</v>
      </c>
      <c r="D46" s="27">
        <v>45417</v>
      </c>
      <c r="E46" s="250">
        <v>0.5229166666666667</v>
      </c>
      <c r="F46" s="251">
        <v>1045</v>
      </c>
      <c r="G46" s="216">
        <v>45422</v>
      </c>
      <c r="H46" s="250">
        <v>0.44166666666666665</v>
      </c>
      <c r="I46" s="251">
        <v>8</v>
      </c>
      <c r="J46" s="7">
        <v>1</v>
      </c>
      <c r="K46" s="226">
        <v>1.0999999999999999E-2</v>
      </c>
      <c r="L46" s="226">
        <v>1.0999999999999999E-2</v>
      </c>
      <c r="M46" s="226">
        <v>8.0000000000000002E-3</v>
      </c>
      <c r="N46" s="226">
        <v>4.0000000000000001E-3</v>
      </c>
      <c r="O46" s="226">
        <v>4.0000000000000001E-3</v>
      </c>
      <c r="P46" s="226">
        <v>3.0000000000000001E-3</v>
      </c>
      <c r="Q46" s="227">
        <f t="shared" si="2"/>
        <v>0.408803827751196</v>
      </c>
      <c r="R46" s="213"/>
      <c r="S46" s="220" t="s">
        <v>13</v>
      </c>
      <c r="T46" s="402"/>
      <c r="U46" s="71"/>
      <c r="V46" s="71"/>
      <c r="W46" s="71"/>
      <c r="X46" s="71"/>
      <c r="Y46" s="71"/>
      <c r="Z46" s="71"/>
      <c r="AA46" s="71"/>
    </row>
    <row r="47" spans="1:27" ht="15.75" customHeight="1">
      <c r="A47" s="223" t="s">
        <v>438</v>
      </c>
      <c r="B47" s="27">
        <v>45417</v>
      </c>
      <c r="C47" s="9">
        <v>0.35069444444444442</v>
      </c>
      <c r="D47" s="27">
        <v>45417</v>
      </c>
      <c r="E47" s="250">
        <v>0.51041666666666663</v>
      </c>
      <c r="F47" s="251">
        <v>1029</v>
      </c>
      <c r="G47" s="216">
        <v>45422</v>
      </c>
      <c r="H47" s="250">
        <v>0.5131944444444444</v>
      </c>
      <c r="I47" s="251">
        <v>6</v>
      </c>
      <c r="J47" s="7">
        <v>1</v>
      </c>
      <c r="K47" s="253">
        <v>5.5E-2</v>
      </c>
      <c r="L47" s="253">
        <v>5.1999999999999998E-2</v>
      </c>
      <c r="M47" s="253">
        <v>4.5999999999999999E-2</v>
      </c>
      <c r="N47" s="253">
        <v>0.02</v>
      </c>
      <c r="O47" s="253">
        <v>1.9E-2</v>
      </c>
      <c r="P47" s="253">
        <v>1.6E-2</v>
      </c>
      <c r="Q47" s="227">
        <f t="shared" si="2"/>
        <v>0.93411078717201201</v>
      </c>
      <c r="R47" s="213"/>
      <c r="S47" s="220" t="s">
        <v>13</v>
      </c>
      <c r="T47" s="402"/>
      <c r="U47" s="71"/>
      <c r="V47" s="71"/>
      <c r="W47" s="71"/>
      <c r="X47" s="71"/>
      <c r="Y47" s="71"/>
      <c r="Z47" s="71"/>
      <c r="AA47" s="71"/>
    </row>
    <row r="48" spans="1:27" ht="15.75" customHeight="1">
      <c r="A48" s="223" t="s">
        <v>439</v>
      </c>
      <c r="B48" s="27">
        <v>45417</v>
      </c>
      <c r="C48" s="9">
        <v>0.39444444444444443</v>
      </c>
      <c r="D48" s="27">
        <v>45417</v>
      </c>
      <c r="E48" s="250">
        <v>0.5180555555555556</v>
      </c>
      <c r="F48" s="251">
        <v>1055</v>
      </c>
      <c r="G48" s="216">
        <v>45422</v>
      </c>
      <c r="H48" s="254">
        <v>0.97499999999999998</v>
      </c>
      <c r="I48" s="251">
        <v>8</v>
      </c>
      <c r="J48" s="7">
        <v>1</v>
      </c>
      <c r="K48" s="253">
        <v>0.01</v>
      </c>
      <c r="L48" s="253">
        <v>8.9999999999999993E-3</v>
      </c>
      <c r="M48" s="253">
        <v>7.0000000000000001E-3</v>
      </c>
      <c r="N48" s="253">
        <v>4.0000000000000001E-3</v>
      </c>
      <c r="O48" s="253">
        <v>4.0000000000000001E-3</v>
      </c>
      <c r="P48" s="253">
        <v>4.0000000000000001E-3</v>
      </c>
      <c r="Q48" s="227">
        <f t="shared" si="2"/>
        <v>0.60739336492891005</v>
      </c>
      <c r="R48" s="213"/>
      <c r="S48" s="220" t="s">
        <v>13</v>
      </c>
      <c r="T48" s="402"/>
      <c r="U48" s="71"/>
      <c r="V48" s="71"/>
      <c r="W48" s="71"/>
      <c r="X48" s="71"/>
      <c r="Y48" s="71"/>
      <c r="Z48" s="71"/>
      <c r="AA48" s="71"/>
    </row>
    <row r="49" spans="1:27" ht="15.75" customHeight="1">
      <c r="A49" s="223" t="s">
        <v>440</v>
      </c>
      <c r="B49" s="27">
        <v>45417</v>
      </c>
      <c r="C49" s="9">
        <v>0.40555555555555556</v>
      </c>
      <c r="D49" s="27">
        <v>45417</v>
      </c>
      <c r="E49" s="250">
        <v>0.52708333333333335</v>
      </c>
      <c r="F49" s="251">
        <v>1000</v>
      </c>
      <c r="G49" s="216">
        <v>45422</v>
      </c>
      <c r="H49" s="250">
        <v>0.43194444444444446</v>
      </c>
      <c r="I49" s="251">
        <v>6</v>
      </c>
      <c r="J49" s="7">
        <v>1</v>
      </c>
      <c r="K49" s="253">
        <v>6.3E-2</v>
      </c>
      <c r="L49" s="253">
        <v>6.3E-2</v>
      </c>
      <c r="M49" s="253">
        <v>5.3999999999999999E-2</v>
      </c>
      <c r="N49" s="253">
        <v>3.9E-2</v>
      </c>
      <c r="O49" s="253">
        <v>3.6999999999999998E-2</v>
      </c>
      <c r="P49" s="253">
        <v>3.1E-2</v>
      </c>
      <c r="Q49" s="227">
        <f t="shared" si="2"/>
        <v>0.48060000000000047</v>
      </c>
      <c r="R49" s="213"/>
      <c r="S49" s="220" t="s">
        <v>13</v>
      </c>
      <c r="T49" s="402"/>
      <c r="U49" s="71"/>
      <c r="V49" s="71"/>
      <c r="W49" s="71"/>
      <c r="X49" s="71"/>
      <c r="Y49" s="71"/>
      <c r="Z49" s="71"/>
      <c r="AA49" s="71"/>
    </row>
    <row r="50" spans="1:27" ht="15.75" customHeight="1">
      <c r="A50" s="223" t="s">
        <v>441</v>
      </c>
      <c r="B50" s="27">
        <v>45417</v>
      </c>
      <c r="C50" s="255">
        <v>0.42986111111111114</v>
      </c>
      <c r="D50" s="27">
        <v>45417</v>
      </c>
      <c r="E50" s="250">
        <v>0.53541666666666665</v>
      </c>
      <c r="F50" s="251">
        <v>1047</v>
      </c>
      <c r="G50" s="216">
        <v>45422</v>
      </c>
      <c r="H50" s="250">
        <v>0.42916666666666664</v>
      </c>
      <c r="I50" s="251">
        <v>5</v>
      </c>
      <c r="J50" s="7">
        <v>1</v>
      </c>
      <c r="K50" s="226">
        <v>0.01</v>
      </c>
      <c r="L50" s="226">
        <v>0.01</v>
      </c>
      <c r="M50" s="226">
        <v>7.0000000000000001E-3</v>
      </c>
      <c r="N50" s="226">
        <v>4.0000000000000001E-3</v>
      </c>
      <c r="O50" s="226">
        <v>4.0000000000000001E-3</v>
      </c>
      <c r="P50" s="226">
        <v>3.0000000000000001E-3</v>
      </c>
      <c r="Q50" s="227">
        <f t="shared" si="2"/>
        <v>0.25501432664756452</v>
      </c>
      <c r="R50" s="213"/>
      <c r="S50" s="220" t="s">
        <v>13</v>
      </c>
      <c r="T50" s="402"/>
      <c r="U50" s="71"/>
      <c r="V50" s="71"/>
      <c r="W50" s="71"/>
      <c r="X50" s="71"/>
      <c r="Y50" s="71"/>
      <c r="Z50" s="71"/>
      <c r="AA50" s="71"/>
    </row>
    <row r="51" spans="1:27" ht="15.75" customHeight="1">
      <c r="A51" s="223" t="s">
        <v>442</v>
      </c>
      <c r="B51" s="27">
        <v>45417</v>
      </c>
      <c r="C51" s="256">
        <v>0.45624999999999999</v>
      </c>
      <c r="D51" s="27">
        <v>45417</v>
      </c>
      <c r="E51" s="250">
        <v>0.53125</v>
      </c>
      <c r="F51" s="251">
        <v>1043</v>
      </c>
      <c r="G51" s="216">
        <v>45422</v>
      </c>
      <c r="H51" s="250">
        <v>0.44444444444444442</v>
      </c>
      <c r="I51" s="251">
        <v>6.5</v>
      </c>
      <c r="J51" s="7">
        <v>1</v>
      </c>
      <c r="K51" s="253">
        <v>2.1999999999999999E-2</v>
      </c>
      <c r="L51" s="253">
        <v>2.1000000000000001E-2</v>
      </c>
      <c r="M51" s="253">
        <v>1.7999999999999999E-2</v>
      </c>
      <c r="N51" s="253">
        <v>8.9999999999999993E-3</v>
      </c>
      <c r="O51" s="253">
        <v>8.9999999999999993E-3</v>
      </c>
      <c r="P51" s="253">
        <v>7.0000000000000001E-3</v>
      </c>
      <c r="Q51" s="227">
        <f t="shared" si="2"/>
        <v>0.33279002876318325</v>
      </c>
      <c r="R51" s="213"/>
      <c r="S51" s="220" t="s">
        <v>13</v>
      </c>
      <c r="T51" s="403"/>
      <c r="U51" s="71"/>
      <c r="V51" s="71"/>
      <c r="W51" s="71"/>
      <c r="X51" s="71"/>
      <c r="Y51" s="71"/>
      <c r="Z51" s="71"/>
      <c r="AA51" s="71"/>
    </row>
    <row r="52" spans="1:27" ht="15.75" customHeight="1">
      <c r="A52" s="257"/>
      <c r="B52" s="258"/>
      <c r="C52" s="259"/>
      <c r="D52" s="257"/>
      <c r="E52" s="257"/>
      <c r="F52" s="260"/>
      <c r="G52" s="258"/>
      <c r="H52" s="257"/>
      <c r="I52" s="260"/>
      <c r="J52" s="257"/>
      <c r="K52" s="261"/>
      <c r="L52" s="261"/>
      <c r="M52" s="261"/>
      <c r="N52" s="261"/>
      <c r="O52" s="261"/>
      <c r="P52" s="261"/>
      <c r="Q52" s="262"/>
      <c r="R52" s="257"/>
      <c r="S52" s="257"/>
      <c r="T52" s="200"/>
      <c r="U52" s="71"/>
      <c r="V52" s="71"/>
      <c r="W52" s="71"/>
      <c r="X52" s="71"/>
      <c r="Y52" s="71"/>
      <c r="Z52" s="71"/>
      <c r="AA52" s="71"/>
    </row>
    <row r="53" spans="1:27" ht="15.75" customHeight="1">
      <c r="A53" s="71"/>
      <c r="B53" s="263"/>
      <c r="C53" s="264"/>
      <c r="D53" s="71"/>
      <c r="E53" s="71"/>
      <c r="F53" s="265"/>
      <c r="G53" s="263"/>
      <c r="H53" s="71"/>
      <c r="I53" s="265"/>
      <c r="J53" s="71"/>
      <c r="K53" s="266"/>
      <c r="L53" s="266"/>
      <c r="M53" s="266"/>
      <c r="N53" s="266"/>
      <c r="O53" s="266"/>
      <c r="P53" s="266"/>
      <c r="Q53" s="267"/>
      <c r="R53" s="71"/>
      <c r="S53" s="71"/>
      <c r="T53" s="222"/>
      <c r="U53" s="71"/>
      <c r="V53" s="71"/>
      <c r="W53" s="71"/>
      <c r="X53" s="71"/>
      <c r="Y53" s="71"/>
      <c r="Z53" s="71"/>
      <c r="AA53" s="71"/>
    </row>
    <row r="54" spans="1:27" ht="15.75" customHeight="1">
      <c r="A54" s="71"/>
      <c r="B54" s="263"/>
      <c r="C54" s="264"/>
      <c r="D54" s="71"/>
      <c r="E54" s="71"/>
      <c r="F54" s="265"/>
      <c r="G54" s="263"/>
      <c r="H54" s="71"/>
      <c r="I54" s="265"/>
      <c r="J54" s="71"/>
      <c r="K54" s="266"/>
      <c r="L54" s="266"/>
      <c r="M54" s="266"/>
      <c r="N54" s="266"/>
      <c r="O54" s="266"/>
      <c r="P54" s="266"/>
      <c r="Q54" s="267"/>
      <c r="R54" s="71"/>
      <c r="S54" s="71"/>
      <c r="T54" s="222"/>
      <c r="U54" s="71"/>
      <c r="V54" s="71"/>
      <c r="W54" s="71"/>
      <c r="X54" s="71"/>
      <c r="Y54" s="71"/>
      <c r="Z54" s="71"/>
      <c r="AA54" s="71"/>
    </row>
    <row r="55" spans="1:27" ht="15.75" customHeight="1">
      <c r="A55" s="71"/>
      <c r="B55" s="263"/>
      <c r="C55" s="264"/>
      <c r="D55" s="71"/>
      <c r="E55" s="71"/>
      <c r="F55" s="265"/>
      <c r="G55" s="263"/>
      <c r="H55" s="71"/>
      <c r="I55" s="265"/>
      <c r="J55" s="71"/>
      <c r="K55" s="266"/>
      <c r="L55" s="266"/>
      <c r="M55" s="266"/>
      <c r="N55" s="266"/>
      <c r="O55" s="266"/>
      <c r="P55" s="266"/>
      <c r="Q55" s="267"/>
      <c r="R55" s="71"/>
      <c r="S55" s="71"/>
      <c r="T55" s="222"/>
      <c r="U55" s="71"/>
      <c r="V55" s="71"/>
      <c r="W55" s="71"/>
      <c r="X55" s="71"/>
      <c r="Y55" s="71"/>
      <c r="Z55" s="71"/>
      <c r="AA55" s="71"/>
    </row>
    <row r="56" spans="1:27" ht="15.75" customHeight="1">
      <c r="A56" s="71"/>
      <c r="B56" s="263"/>
      <c r="C56" s="264"/>
      <c r="D56" s="71"/>
      <c r="E56" s="71"/>
      <c r="F56" s="265"/>
      <c r="G56" s="263"/>
      <c r="H56" s="71"/>
      <c r="I56" s="265"/>
      <c r="J56" s="71"/>
      <c r="K56" s="266"/>
      <c r="L56" s="266"/>
      <c r="M56" s="266"/>
      <c r="N56" s="266"/>
      <c r="O56" s="266"/>
      <c r="P56" s="266"/>
      <c r="Q56" s="267"/>
      <c r="R56" s="71"/>
      <c r="S56" s="71"/>
      <c r="T56" s="222"/>
      <c r="U56" s="71"/>
      <c r="V56" s="71"/>
      <c r="W56" s="71"/>
      <c r="X56" s="71"/>
      <c r="Y56" s="71"/>
      <c r="Z56" s="71"/>
      <c r="AA56" s="71"/>
    </row>
    <row r="57" spans="1:27" ht="15.75" customHeight="1">
      <c r="A57" s="71"/>
      <c r="B57" s="263"/>
      <c r="C57" s="264"/>
      <c r="D57" s="71"/>
      <c r="E57" s="71"/>
      <c r="F57" s="265"/>
      <c r="G57" s="263"/>
      <c r="H57" s="71"/>
      <c r="I57" s="265"/>
      <c r="J57" s="71"/>
      <c r="K57" s="266"/>
      <c r="L57" s="266"/>
      <c r="M57" s="266"/>
      <c r="N57" s="266"/>
      <c r="O57" s="266"/>
      <c r="P57" s="266"/>
      <c r="Q57" s="267"/>
      <c r="R57" s="71"/>
      <c r="S57" s="71"/>
      <c r="T57" s="222"/>
      <c r="U57" s="71"/>
      <c r="V57" s="71"/>
      <c r="W57" s="71"/>
      <c r="X57" s="71"/>
      <c r="Y57" s="71"/>
      <c r="Z57" s="71"/>
      <c r="AA57" s="71"/>
    </row>
    <row r="58" spans="1:27" ht="15.75" customHeight="1">
      <c r="A58" s="71"/>
      <c r="B58" s="263"/>
      <c r="C58" s="264"/>
      <c r="D58" s="71"/>
      <c r="E58" s="71"/>
      <c r="F58" s="265"/>
      <c r="G58" s="263"/>
      <c r="H58" s="71"/>
      <c r="I58" s="265"/>
      <c r="J58" s="71"/>
      <c r="K58" s="266"/>
      <c r="L58" s="266"/>
      <c r="M58" s="266"/>
      <c r="N58" s="266"/>
      <c r="O58" s="266"/>
      <c r="P58" s="266"/>
      <c r="Q58" s="267"/>
      <c r="R58" s="71"/>
      <c r="S58" s="71"/>
      <c r="T58" s="222"/>
      <c r="U58" s="71"/>
      <c r="V58" s="71"/>
      <c r="W58" s="71"/>
      <c r="X58" s="71"/>
      <c r="Y58" s="71"/>
      <c r="Z58" s="71"/>
      <c r="AA58" s="71"/>
    </row>
    <row r="59" spans="1:27" ht="15.75" customHeight="1">
      <c r="A59" s="71"/>
      <c r="B59" s="263"/>
      <c r="C59" s="264"/>
      <c r="D59" s="71"/>
      <c r="E59" s="71"/>
      <c r="F59" s="265"/>
      <c r="G59" s="263"/>
      <c r="H59" s="71"/>
      <c r="I59" s="265"/>
      <c r="J59" s="71"/>
      <c r="K59" s="266"/>
      <c r="L59" s="266"/>
      <c r="M59" s="266"/>
      <c r="N59" s="266"/>
      <c r="O59" s="266"/>
      <c r="P59" s="266"/>
      <c r="Q59" s="267"/>
      <c r="R59" s="71"/>
      <c r="S59" s="71"/>
      <c r="T59" s="222"/>
      <c r="U59" s="71"/>
      <c r="V59" s="71"/>
      <c r="W59" s="71"/>
      <c r="X59" s="71"/>
      <c r="Y59" s="71"/>
      <c r="Z59" s="71"/>
      <c r="AA59" s="71"/>
    </row>
    <row r="60" spans="1:27" ht="15.75" customHeight="1">
      <c r="A60" s="71"/>
      <c r="B60" s="263"/>
      <c r="C60" s="264"/>
      <c r="D60" s="71"/>
      <c r="E60" s="71"/>
      <c r="F60" s="265"/>
      <c r="G60" s="263"/>
      <c r="H60" s="71"/>
      <c r="I60" s="265"/>
      <c r="J60" s="71"/>
      <c r="K60" s="266"/>
      <c r="L60" s="266"/>
      <c r="M60" s="266"/>
      <c r="N60" s="266"/>
      <c r="O60" s="266"/>
      <c r="P60" s="266"/>
      <c r="Q60" s="267"/>
      <c r="R60" s="71"/>
      <c r="S60" s="71"/>
      <c r="T60" s="222"/>
      <c r="U60" s="71"/>
      <c r="V60" s="71"/>
      <c r="W60" s="71"/>
      <c r="X60" s="71"/>
      <c r="Y60" s="71"/>
      <c r="Z60" s="71"/>
      <c r="AA60" s="71"/>
    </row>
    <row r="61" spans="1:27" ht="15.75" customHeight="1">
      <c r="A61" s="71"/>
      <c r="B61" s="263"/>
      <c r="C61" s="264"/>
      <c r="D61" s="71"/>
      <c r="E61" s="71"/>
      <c r="F61" s="265"/>
      <c r="G61" s="263"/>
      <c r="H61" s="71"/>
      <c r="I61" s="265"/>
      <c r="J61" s="71"/>
      <c r="K61" s="266"/>
      <c r="L61" s="266"/>
      <c r="M61" s="266"/>
      <c r="N61" s="266"/>
      <c r="O61" s="266"/>
      <c r="P61" s="266"/>
      <c r="Q61" s="267"/>
      <c r="R61" s="71"/>
      <c r="S61" s="71"/>
      <c r="T61" s="222"/>
      <c r="U61" s="71"/>
      <c r="V61" s="71"/>
      <c r="W61" s="71"/>
      <c r="X61" s="71"/>
      <c r="Y61" s="71"/>
      <c r="Z61" s="71"/>
      <c r="AA61" s="71"/>
    </row>
    <row r="62" spans="1:27" ht="15.75" customHeight="1">
      <c r="A62" s="71"/>
      <c r="B62" s="263"/>
      <c r="C62" s="264"/>
      <c r="D62" s="71"/>
      <c r="E62" s="71"/>
      <c r="F62" s="265"/>
      <c r="G62" s="263"/>
      <c r="H62" s="71"/>
      <c r="I62" s="265"/>
      <c r="J62" s="71"/>
      <c r="K62" s="266"/>
      <c r="L62" s="266"/>
      <c r="M62" s="266"/>
      <c r="N62" s="266"/>
      <c r="O62" s="266"/>
      <c r="P62" s="266"/>
      <c r="Q62" s="267"/>
      <c r="R62" s="71"/>
      <c r="S62" s="71"/>
      <c r="T62" s="222"/>
      <c r="U62" s="71"/>
      <c r="V62" s="71"/>
      <c r="W62" s="71"/>
      <c r="X62" s="71"/>
      <c r="Y62" s="71"/>
      <c r="Z62" s="71"/>
      <c r="AA62" s="71"/>
    </row>
    <row r="63" spans="1:27" ht="15.75" customHeight="1">
      <c r="A63" s="71"/>
      <c r="B63" s="263"/>
      <c r="C63" s="264"/>
      <c r="D63" s="71"/>
      <c r="E63" s="71"/>
      <c r="F63" s="265"/>
      <c r="G63" s="263"/>
      <c r="H63" s="71"/>
      <c r="I63" s="265"/>
      <c r="J63" s="71"/>
      <c r="K63" s="266"/>
      <c r="L63" s="266"/>
      <c r="M63" s="266"/>
      <c r="N63" s="266"/>
      <c r="O63" s="266"/>
      <c r="P63" s="266"/>
      <c r="Q63" s="267"/>
      <c r="R63" s="71"/>
      <c r="S63" s="71"/>
      <c r="T63" s="222"/>
      <c r="U63" s="71"/>
      <c r="V63" s="71"/>
      <c r="W63" s="71"/>
      <c r="X63" s="71"/>
      <c r="Y63" s="71"/>
      <c r="Z63" s="71"/>
      <c r="AA63" s="71"/>
    </row>
    <row r="64" spans="1:27" ht="15.75" customHeight="1">
      <c r="A64" s="71"/>
      <c r="B64" s="263"/>
      <c r="C64" s="264"/>
      <c r="D64" s="71"/>
      <c r="E64" s="71"/>
      <c r="F64" s="265"/>
      <c r="G64" s="263"/>
      <c r="H64" s="71"/>
      <c r="I64" s="265"/>
      <c r="J64" s="71"/>
      <c r="K64" s="266"/>
      <c r="L64" s="266"/>
      <c r="M64" s="266"/>
      <c r="N64" s="266"/>
      <c r="O64" s="266"/>
      <c r="P64" s="266"/>
      <c r="Q64" s="267"/>
      <c r="R64" s="71"/>
      <c r="S64" s="71"/>
      <c r="T64" s="222"/>
      <c r="U64" s="71"/>
      <c r="V64" s="71"/>
      <c r="W64" s="71"/>
      <c r="X64" s="71"/>
      <c r="Y64" s="71"/>
      <c r="Z64" s="71"/>
      <c r="AA64" s="71"/>
    </row>
    <row r="65" spans="1:27" ht="15.75" customHeight="1">
      <c r="A65" s="71"/>
      <c r="B65" s="263"/>
      <c r="C65" s="264"/>
      <c r="D65" s="71"/>
      <c r="E65" s="71"/>
      <c r="F65" s="265"/>
      <c r="G65" s="263"/>
      <c r="H65" s="71"/>
      <c r="I65" s="265"/>
      <c r="J65" s="71"/>
      <c r="K65" s="266"/>
      <c r="L65" s="266"/>
      <c r="M65" s="266"/>
      <c r="N65" s="266"/>
      <c r="O65" s="266"/>
      <c r="P65" s="266"/>
      <c r="Q65" s="267"/>
      <c r="R65" s="71"/>
      <c r="S65" s="71"/>
      <c r="T65" s="222"/>
      <c r="U65" s="71"/>
      <c r="V65" s="71"/>
      <c r="W65" s="71"/>
      <c r="X65" s="71"/>
      <c r="Y65" s="71"/>
      <c r="Z65" s="71"/>
      <c r="AA65" s="71"/>
    </row>
    <row r="66" spans="1:27" ht="15.75" customHeight="1">
      <c r="A66" s="71"/>
      <c r="B66" s="263"/>
      <c r="C66" s="264"/>
      <c r="D66" s="71"/>
      <c r="E66" s="71"/>
      <c r="F66" s="265"/>
      <c r="G66" s="263"/>
      <c r="H66" s="71"/>
      <c r="I66" s="265"/>
      <c r="J66" s="71"/>
      <c r="K66" s="266"/>
      <c r="L66" s="266"/>
      <c r="M66" s="266"/>
      <c r="N66" s="266"/>
      <c r="O66" s="266"/>
      <c r="P66" s="266"/>
      <c r="Q66" s="267"/>
      <c r="R66" s="71"/>
      <c r="S66" s="71"/>
      <c r="T66" s="222"/>
      <c r="U66" s="71"/>
      <c r="V66" s="71"/>
      <c r="W66" s="71"/>
      <c r="X66" s="71"/>
      <c r="Y66" s="71"/>
      <c r="Z66" s="71"/>
      <c r="AA66" s="71"/>
    </row>
    <row r="67" spans="1:27" ht="15.75" customHeight="1">
      <c r="A67" s="71"/>
      <c r="B67" s="263"/>
      <c r="C67" s="264"/>
      <c r="D67" s="71"/>
      <c r="E67" s="71"/>
      <c r="F67" s="265"/>
      <c r="G67" s="263"/>
      <c r="H67" s="71"/>
      <c r="I67" s="265"/>
      <c r="J67" s="71"/>
      <c r="K67" s="266"/>
      <c r="L67" s="266"/>
      <c r="M67" s="266"/>
      <c r="N67" s="266"/>
      <c r="O67" s="266"/>
      <c r="P67" s="266"/>
      <c r="Q67" s="267"/>
      <c r="R67" s="71"/>
      <c r="S67" s="71"/>
      <c r="T67" s="222"/>
      <c r="U67" s="71"/>
      <c r="V67" s="71"/>
      <c r="W67" s="71"/>
      <c r="X67" s="71"/>
      <c r="Y67" s="71"/>
      <c r="Z67" s="71"/>
      <c r="AA67" s="71"/>
    </row>
    <row r="68" spans="1:27" ht="15.75" customHeight="1">
      <c r="A68" s="71"/>
      <c r="B68" s="263"/>
      <c r="C68" s="264"/>
      <c r="D68" s="71"/>
      <c r="E68" s="71"/>
      <c r="F68" s="265"/>
      <c r="G68" s="263"/>
      <c r="H68" s="71"/>
      <c r="I68" s="265"/>
      <c r="J68" s="71"/>
      <c r="K68" s="266"/>
      <c r="L68" s="266"/>
      <c r="M68" s="266"/>
      <c r="N68" s="266"/>
      <c r="O68" s="266"/>
      <c r="P68" s="266"/>
      <c r="Q68" s="267"/>
      <c r="R68" s="71"/>
      <c r="S68" s="71"/>
      <c r="T68" s="222"/>
      <c r="U68" s="71"/>
      <c r="V68" s="71"/>
      <c r="W68" s="71"/>
      <c r="X68" s="71"/>
      <c r="Y68" s="71"/>
      <c r="Z68" s="71"/>
      <c r="AA68" s="71"/>
    </row>
    <row r="69" spans="1:27" ht="15.75" customHeight="1">
      <c r="A69" s="71"/>
      <c r="B69" s="263"/>
      <c r="C69" s="264"/>
      <c r="D69" s="71"/>
      <c r="E69" s="71"/>
      <c r="F69" s="265"/>
      <c r="G69" s="263"/>
      <c r="H69" s="71"/>
      <c r="I69" s="265"/>
      <c r="J69" s="71"/>
      <c r="K69" s="266"/>
      <c r="L69" s="266"/>
      <c r="M69" s="266"/>
      <c r="N69" s="266"/>
      <c r="O69" s="266"/>
      <c r="P69" s="266"/>
      <c r="Q69" s="267"/>
      <c r="R69" s="71"/>
      <c r="S69" s="71"/>
      <c r="T69" s="222"/>
      <c r="U69" s="71"/>
      <c r="V69" s="71"/>
      <c r="W69" s="71"/>
      <c r="X69" s="71"/>
      <c r="Y69" s="71"/>
      <c r="Z69" s="71"/>
      <c r="AA69" s="71"/>
    </row>
    <row r="70" spans="1:27" ht="15.75" customHeight="1">
      <c r="A70" s="71"/>
      <c r="B70" s="263"/>
      <c r="C70" s="264"/>
      <c r="D70" s="71"/>
      <c r="E70" s="71"/>
      <c r="F70" s="265"/>
      <c r="G70" s="263"/>
      <c r="H70" s="71"/>
      <c r="I70" s="265"/>
      <c r="J70" s="71"/>
      <c r="K70" s="266"/>
      <c r="L70" s="266"/>
      <c r="M70" s="266"/>
      <c r="N70" s="266"/>
      <c r="O70" s="266"/>
      <c r="P70" s="266"/>
      <c r="Q70" s="267"/>
      <c r="R70" s="71"/>
      <c r="S70" s="71"/>
      <c r="T70" s="222"/>
      <c r="U70" s="71"/>
      <c r="V70" s="71"/>
      <c r="W70" s="71"/>
      <c r="X70" s="71"/>
      <c r="Y70" s="71"/>
      <c r="Z70" s="71"/>
      <c r="AA70" s="71"/>
    </row>
    <row r="71" spans="1:27" ht="15.75" customHeight="1">
      <c r="A71" s="71"/>
      <c r="B71" s="263"/>
      <c r="C71" s="264"/>
      <c r="D71" s="71"/>
      <c r="E71" s="71"/>
      <c r="F71" s="265"/>
      <c r="G71" s="263"/>
      <c r="H71" s="71"/>
      <c r="I71" s="265"/>
      <c r="J71" s="71"/>
      <c r="K71" s="266"/>
      <c r="L71" s="266"/>
      <c r="M71" s="266"/>
      <c r="N71" s="266"/>
      <c r="O71" s="266"/>
      <c r="P71" s="266"/>
      <c r="Q71" s="267"/>
      <c r="R71" s="71"/>
      <c r="S71" s="71"/>
      <c r="T71" s="222"/>
      <c r="U71" s="71"/>
      <c r="V71" s="71"/>
      <c r="W71" s="71"/>
      <c r="X71" s="71"/>
      <c r="Y71" s="71"/>
      <c r="Z71" s="71"/>
      <c r="AA71" s="71"/>
    </row>
    <row r="72" spans="1:27" ht="15.75" customHeight="1">
      <c r="A72" s="71"/>
      <c r="B72" s="263"/>
      <c r="C72" s="264"/>
      <c r="D72" s="71"/>
      <c r="E72" s="71"/>
      <c r="F72" s="265"/>
      <c r="G72" s="263"/>
      <c r="H72" s="71"/>
      <c r="I72" s="265"/>
      <c r="J72" s="71"/>
      <c r="K72" s="266"/>
      <c r="L72" s="266"/>
      <c r="M72" s="266"/>
      <c r="N72" s="266"/>
      <c r="O72" s="266"/>
      <c r="P72" s="266"/>
      <c r="Q72" s="267"/>
      <c r="R72" s="71"/>
      <c r="S72" s="71"/>
      <c r="T72" s="222"/>
      <c r="U72" s="71"/>
      <c r="V72" s="71"/>
      <c r="W72" s="71"/>
      <c r="X72" s="71"/>
      <c r="Y72" s="71"/>
      <c r="Z72" s="71"/>
      <c r="AA72" s="71"/>
    </row>
    <row r="73" spans="1:27" ht="15.75" customHeight="1">
      <c r="A73" s="71"/>
      <c r="B73" s="263"/>
      <c r="C73" s="264"/>
      <c r="D73" s="71"/>
      <c r="E73" s="71"/>
      <c r="F73" s="265"/>
      <c r="G73" s="263"/>
      <c r="H73" s="71"/>
      <c r="I73" s="265"/>
      <c r="J73" s="71"/>
      <c r="K73" s="266"/>
      <c r="L73" s="266"/>
      <c r="M73" s="266"/>
      <c r="N73" s="266"/>
      <c r="O73" s="266"/>
      <c r="P73" s="266"/>
      <c r="Q73" s="267"/>
      <c r="R73" s="71"/>
      <c r="S73" s="71"/>
      <c r="T73" s="222"/>
      <c r="U73" s="71"/>
      <c r="V73" s="71"/>
      <c r="W73" s="71"/>
      <c r="X73" s="71"/>
      <c r="Y73" s="71"/>
      <c r="Z73" s="71"/>
      <c r="AA73" s="71"/>
    </row>
    <row r="74" spans="1:27" ht="15.75" customHeight="1">
      <c r="A74" s="71"/>
      <c r="B74" s="263"/>
      <c r="C74" s="264"/>
      <c r="D74" s="71"/>
      <c r="E74" s="71"/>
      <c r="F74" s="265"/>
      <c r="G74" s="263"/>
      <c r="H74" s="71"/>
      <c r="I74" s="265"/>
      <c r="J74" s="71"/>
      <c r="K74" s="266"/>
      <c r="L74" s="266"/>
      <c r="M74" s="266"/>
      <c r="N74" s="266"/>
      <c r="O74" s="266"/>
      <c r="P74" s="266"/>
      <c r="Q74" s="267"/>
      <c r="R74" s="71"/>
      <c r="S74" s="71"/>
      <c r="T74" s="222"/>
      <c r="U74" s="71"/>
      <c r="V74" s="71"/>
      <c r="W74" s="71"/>
      <c r="X74" s="71"/>
      <c r="Y74" s="71"/>
      <c r="Z74" s="71"/>
      <c r="AA74" s="71"/>
    </row>
    <row r="75" spans="1:27" ht="15.75" customHeight="1">
      <c r="A75" s="71"/>
      <c r="B75" s="263"/>
      <c r="C75" s="264"/>
      <c r="D75" s="71"/>
      <c r="E75" s="71"/>
      <c r="F75" s="265"/>
      <c r="G75" s="263"/>
      <c r="H75" s="71"/>
      <c r="I75" s="265"/>
      <c r="J75" s="71"/>
      <c r="K75" s="266"/>
      <c r="L75" s="266"/>
      <c r="M75" s="266"/>
      <c r="N75" s="266"/>
      <c r="O75" s="266"/>
      <c r="P75" s="266"/>
      <c r="Q75" s="267"/>
      <c r="R75" s="71"/>
      <c r="S75" s="71"/>
      <c r="T75" s="222"/>
      <c r="U75" s="71"/>
      <c r="V75" s="71"/>
      <c r="W75" s="71"/>
      <c r="X75" s="71"/>
      <c r="Y75" s="71"/>
      <c r="Z75" s="71"/>
      <c r="AA75" s="71"/>
    </row>
    <row r="76" spans="1:27" ht="15.75" customHeight="1">
      <c r="A76" s="71"/>
      <c r="B76" s="263"/>
      <c r="C76" s="264"/>
      <c r="D76" s="71"/>
      <c r="E76" s="71"/>
      <c r="F76" s="265"/>
      <c r="G76" s="263"/>
      <c r="H76" s="71"/>
      <c r="I76" s="265"/>
      <c r="J76" s="71"/>
      <c r="K76" s="266"/>
      <c r="L76" s="266"/>
      <c r="M76" s="266"/>
      <c r="N76" s="266"/>
      <c r="O76" s="266"/>
      <c r="P76" s="266"/>
      <c r="Q76" s="267"/>
      <c r="R76" s="71"/>
      <c r="S76" s="71"/>
      <c r="T76" s="222"/>
      <c r="U76" s="71"/>
      <c r="V76" s="71"/>
      <c r="W76" s="71"/>
      <c r="X76" s="71"/>
      <c r="Y76" s="71"/>
      <c r="Z76" s="71"/>
      <c r="AA76" s="71"/>
    </row>
    <row r="77" spans="1:27" ht="15.75" customHeight="1">
      <c r="A77" s="71"/>
      <c r="B77" s="263"/>
      <c r="C77" s="264"/>
      <c r="D77" s="71"/>
      <c r="E77" s="71"/>
      <c r="F77" s="265"/>
      <c r="G77" s="263"/>
      <c r="H77" s="71"/>
      <c r="I77" s="265"/>
      <c r="J77" s="71"/>
      <c r="K77" s="266"/>
      <c r="L77" s="266"/>
      <c r="M77" s="266"/>
      <c r="N77" s="266"/>
      <c r="O77" s="266"/>
      <c r="P77" s="266"/>
      <c r="Q77" s="267"/>
      <c r="R77" s="71"/>
      <c r="S77" s="71"/>
      <c r="T77" s="222"/>
      <c r="U77" s="71"/>
      <c r="V77" s="71"/>
      <c r="W77" s="71"/>
      <c r="X77" s="71"/>
      <c r="Y77" s="71"/>
      <c r="Z77" s="71"/>
      <c r="AA77" s="71"/>
    </row>
    <row r="78" spans="1:27" ht="15.75" customHeight="1">
      <c r="A78" s="71"/>
      <c r="B78" s="263"/>
      <c r="C78" s="264"/>
      <c r="D78" s="71"/>
      <c r="E78" s="71"/>
      <c r="F78" s="265"/>
      <c r="G78" s="263"/>
      <c r="H78" s="71"/>
      <c r="I78" s="265"/>
      <c r="J78" s="71"/>
      <c r="K78" s="266"/>
      <c r="L78" s="266"/>
      <c r="M78" s="266"/>
      <c r="N78" s="266"/>
      <c r="O78" s="266"/>
      <c r="P78" s="266"/>
      <c r="Q78" s="267"/>
      <c r="R78" s="71"/>
      <c r="S78" s="71"/>
      <c r="T78" s="222"/>
      <c r="U78" s="71"/>
      <c r="V78" s="71"/>
      <c r="W78" s="71"/>
      <c r="X78" s="71"/>
      <c r="Y78" s="71"/>
      <c r="Z78" s="71"/>
      <c r="AA78" s="71"/>
    </row>
    <row r="79" spans="1:27" ht="15.75" customHeight="1">
      <c r="A79" s="71"/>
      <c r="B79" s="263"/>
      <c r="C79" s="264"/>
      <c r="D79" s="71"/>
      <c r="E79" s="71"/>
      <c r="F79" s="265"/>
      <c r="G79" s="263"/>
      <c r="H79" s="71"/>
      <c r="I79" s="265"/>
      <c r="J79" s="71"/>
      <c r="K79" s="266"/>
      <c r="L79" s="266"/>
      <c r="M79" s="266"/>
      <c r="N79" s="266"/>
      <c r="O79" s="266"/>
      <c r="P79" s="266"/>
      <c r="Q79" s="267"/>
      <c r="R79" s="71"/>
      <c r="S79" s="71"/>
      <c r="T79" s="222"/>
      <c r="U79" s="71"/>
      <c r="V79" s="71"/>
      <c r="W79" s="71"/>
      <c r="X79" s="71"/>
      <c r="Y79" s="71"/>
      <c r="Z79" s="71"/>
      <c r="AA79" s="71"/>
    </row>
    <row r="80" spans="1:27" ht="15.75" customHeight="1">
      <c r="A80" s="71"/>
      <c r="B80" s="263"/>
      <c r="C80" s="264"/>
      <c r="D80" s="71"/>
      <c r="E80" s="71"/>
      <c r="F80" s="265"/>
      <c r="G80" s="263"/>
      <c r="H80" s="71"/>
      <c r="I80" s="265"/>
      <c r="J80" s="71"/>
      <c r="K80" s="266"/>
      <c r="L80" s="266"/>
      <c r="M80" s="266"/>
      <c r="N80" s="266"/>
      <c r="O80" s="266"/>
      <c r="P80" s="266"/>
      <c r="Q80" s="267"/>
      <c r="R80" s="71"/>
      <c r="S80" s="71"/>
      <c r="T80" s="222"/>
      <c r="U80" s="71"/>
      <c r="V80" s="71"/>
      <c r="W80" s="71"/>
      <c r="X80" s="71"/>
      <c r="Y80" s="71"/>
      <c r="Z80" s="71"/>
      <c r="AA80" s="71"/>
    </row>
    <row r="81" spans="1:27" ht="15.75" customHeight="1">
      <c r="A81" s="71"/>
      <c r="B81" s="263"/>
      <c r="C81" s="264"/>
      <c r="D81" s="71"/>
      <c r="E81" s="71"/>
      <c r="F81" s="265"/>
      <c r="G81" s="263"/>
      <c r="H81" s="71"/>
      <c r="I81" s="265"/>
      <c r="J81" s="71"/>
      <c r="K81" s="266"/>
      <c r="L81" s="266"/>
      <c r="M81" s="266"/>
      <c r="N81" s="266"/>
      <c r="O81" s="266"/>
      <c r="P81" s="266"/>
      <c r="Q81" s="267"/>
      <c r="R81" s="71"/>
      <c r="S81" s="71"/>
      <c r="T81" s="222"/>
      <c r="U81" s="71"/>
      <c r="V81" s="71"/>
      <c r="W81" s="71"/>
      <c r="X81" s="71"/>
      <c r="Y81" s="71"/>
      <c r="Z81" s="71"/>
      <c r="AA81" s="71"/>
    </row>
    <row r="82" spans="1:27" ht="15.75" customHeight="1">
      <c r="A82" s="71"/>
      <c r="B82" s="263"/>
      <c r="C82" s="264"/>
      <c r="D82" s="71"/>
      <c r="E82" s="71"/>
      <c r="F82" s="265"/>
      <c r="G82" s="263"/>
      <c r="H82" s="71"/>
      <c r="I82" s="265"/>
      <c r="J82" s="71"/>
      <c r="K82" s="266"/>
      <c r="L82" s="266"/>
      <c r="M82" s="266"/>
      <c r="N82" s="266"/>
      <c r="O82" s="266"/>
      <c r="P82" s="266"/>
      <c r="Q82" s="267"/>
      <c r="R82" s="71"/>
      <c r="S82" s="71"/>
      <c r="T82" s="222"/>
      <c r="U82" s="71"/>
      <c r="V82" s="71"/>
      <c r="W82" s="71"/>
      <c r="X82" s="71"/>
      <c r="Y82" s="71"/>
      <c r="Z82" s="71"/>
      <c r="AA82" s="71"/>
    </row>
    <row r="83" spans="1:27" ht="15.75" customHeight="1">
      <c r="A83" s="71"/>
      <c r="B83" s="263"/>
      <c r="C83" s="264"/>
      <c r="D83" s="71"/>
      <c r="E83" s="71"/>
      <c r="F83" s="265"/>
      <c r="G83" s="263"/>
      <c r="H83" s="71"/>
      <c r="I83" s="265"/>
      <c r="J83" s="71"/>
      <c r="K83" s="266"/>
      <c r="L83" s="266"/>
      <c r="M83" s="266"/>
      <c r="N83" s="266"/>
      <c r="O83" s="266"/>
      <c r="P83" s="266"/>
      <c r="Q83" s="267"/>
      <c r="R83" s="71"/>
      <c r="S83" s="71"/>
      <c r="T83" s="222"/>
      <c r="U83" s="71"/>
      <c r="V83" s="71"/>
      <c r="W83" s="71"/>
      <c r="X83" s="71"/>
      <c r="Y83" s="71"/>
      <c r="Z83" s="71"/>
      <c r="AA83" s="71"/>
    </row>
    <row r="84" spans="1:27" ht="15.75" customHeight="1">
      <c r="A84" s="71"/>
      <c r="B84" s="263"/>
      <c r="C84" s="264"/>
      <c r="D84" s="71"/>
      <c r="E84" s="71"/>
      <c r="F84" s="265"/>
      <c r="G84" s="263"/>
      <c r="H84" s="71"/>
      <c r="I84" s="265"/>
      <c r="J84" s="71"/>
      <c r="K84" s="266"/>
      <c r="L84" s="266"/>
      <c r="M84" s="266"/>
      <c r="N84" s="266"/>
      <c r="O84" s="266"/>
      <c r="P84" s="266"/>
      <c r="Q84" s="267"/>
      <c r="R84" s="71"/>
      <c r="S84" s="71"/>
      <c r="T84" s="222"/>
      <c r="U84" s="71"/>
      <c r="V84" s="71"/>
      <c r="W84" s="71"/>
      <c r="X84" s="71"/>
      <c r="Y84" s="71"/>
      <c r="Z84" s="71"/>
      <c r="AA84" s="71"/>
    </row>
    <row r="85" spans="1:27" ht="15.75" customHeight="1">
      <c r="A85" s="71"/>
      <c r="B85" s="263"/>
      <c r="C85" s="264"/>
      <c r="D85" s="71"/>
      <c r="E85" s="71"/>
      <c r="F85" s="265"/>
      <c r="G85" s="263"/>
      <c r="H85" s="71"/>
      <c r="I85" s="265"/>
      <c r="J85" s="71"/>
      <c r="K85" s="266"/>
      <c r="L85" s="266"/>
      <c r="M85" s="266"/>
      <c r="N85" s="266"/>
      <c r="O85" s="266"/>
      <c r="P85" s="266"/>
      <c r="Q85" s="267"/>
      <c r="R85" s="71"/>
      <c r="S85" s="71"/>
      <c r="T85" s="222"/>
      <c r="U85" s="71"/>
      <c r="V85" s="71"/>
      <c r="W85" s="71"/>
      <c r="X85" s="71"/>
      <c r="Y85" s="71"/>
      <c r="Z85" s="71"/>
      <c r="AA85" s="71"/>
    </row>
    <row r="86" spans="1:27" ht="15.75" customHeight="1">
      <c r="A86" s="71"/>
      <c r="B86" s="263"/>
      <c r="C86" s="264"/>
      <c r="D86" s="71"/>
      <c r="E86" s="71"/>
      <c r="F86" s="265"/>
      <c r="G86" s="263"/>
      <c r="H86" s="71"/>
      <c r="I86" s="265"/>
      <c r="J86" s="71"/>
      <c r="K86" s="266"/>
      <c r="L86" s="266"/>
      <c r="M86" s="266"/>
      <c r="N86" s="266"/>
      <c r="O86" s="266"/>
      <c r="P86" s="266"/>
      <c r="Q86" s="267"/>
      <c r="R86" s="71"/>
      <c r="S86" s="71"/>
      <c r="T86" s="222"/>
      <c r="U86" s="71"/>
      <c r="V86" s="71"/>
      <c r="W86" s="71"/>
      <c r="X86" s="71"/>
      <c r="Y86" s="71"/>
      <c r="Z86" s="71"/>
      <c r="AA86" s="71"/>
    </row>
    <row r="87" spans="1:27" ht="15.75" customHeight="1">
      <c r="A87" s="71"/>
      <c r="B87" s="263"/>
      <c r="C87" s="264"/>
      <c r="D87" s="71"/>
      <c r="E87" s="71"/>
      <c r="F87" s="265"/>
      <c r="G87" s="263"/>
      <c r="H87" s="71"/>
      <c r="I87" s="265"/>
      <c r="J87" s="71"/>
      <c r="K87" s="266"/>
      <c r="L87" s="266"/>
      <c r="M87" s="266"/>
      <c r="N87" s="266"/>
      <c r="O87" s="266"/>
      <c r="P87" s="266"/>
      <c r="Q87" s="267"/>
      <c r="R87" s="71"/>
      <c r="S87" s="71"/>
      <c r="T87" s="222"/>
      <c r="U87" s="71"/>
      <c r="V87" s="71"/>
      <c r="W87" s="71"/>
      <c r="X87" s="71"/>
      <c r="Y87" s="71"/>
      <c r="Z87" s="71"/>
      <c r="AA87" s="71"/>
    </row>
    <row r="88" spans="1:27" ht="15.75" customHeight="1">
      <c r="A88" s="71"/>
      <c r="B88" s="263"/>
      <c r="C88" s="264"/>
      <c r="D88" s="71"/>
      <c r="E88" s="71"/>
      <c r="F88" s="265"/>
      <c r="G88" s="263"/>
      <c r="H88" s="71"/>
      <c r="I88" s="265"/>
      <c r="J88" s="71"/>
      <c r="K88" s="266"/>
      <c r="L88" s="266"/>
      <c r="M88" s="266"/>
      <c r="N88" s="266"/>
      <c r="O88" s="266"/>
      <c r="P88" s="266"/>
      <c r="Q88" s="267"/>
      <c r="R88" s="71"/>
      <c r="S88" s="71"/>
      <c r="T88" s="222"/>
      <c r="U88" s="71"/>
      <c r="V88" s="71"/>
      <c r="W88" s="71"/>
      <c r="X88" s="71"/>
      <c r="Y88" s="71"/>
      <c r="Z88" s="71"/>
      <c r="AA88" s="71"/>
    </row>
    <row r="89" spans="1:27" ht="15.75" customHeight="1">
      <c r="A89" s="71"/>
      <c r="B89" s="263"/>
      <c r="C89" s="264"/>
      <c r="D89" s="71"/>
      <c r="E89" s="71"/>
      <c r="F89" s="265"/>
      <c r="G89" s="263"/>
      <c r="H89" s="71"/>
      <c r="I89" s="265"/>
      <c r="J89" s="71"/>
      <c r="K89" s="266"/>
      <c r="L89" s="266"/>
      <c r="M89" s="266"/>
      <c r="N89" s="266"/>
      <c r="O89" s="266"/>
      <c r="P89" s="266"/>
      <c r="Q89" s="267"/>
      <c r="R89" s="71"/>
      <c r="S89" s="71"/>
      <c r="T89" s="222"/>
      <c r="U89" s="71"/>
      <c r="V89" s="71"/>
      <c r="W89" s="71"/>
      <c r="X89" s="71"/>
      <c r="Y89" s="71"/>
      <c r="Z89" s="71"/>
      <c r="AA89" s="71"/>
    </row>
    <row r="90" spans="1:27" ht="15.75" customHeight="1">
      <c r="A90" s="71"/>
      <c r="B90" s="263"/>
      <c r="C90" s="264"/>
      <c r="D90" s="71"/>
      <c r="E90" s="71"/>
      <c r="F90" s="265"/>
      <c r="G90" s="263"/>
      <c r="H90" s="71"/>
      <c r="I90" s="265"/>
      <c r="J90" s="71"/>
      <c r="K90" s="266"/>
      <c r="L90" s="266"/>
      <c r="M90" s="266"/>
      <c r="N90" s="266"/>
      <c r="O90" s="266"/>
      <c r="P90" s="266"/>
      <c r="Q90" s="267"/>
      <c r="R90" s="71"/>
      <c r="S90" s="71"/>
      <c r="T90" s="222"/>
      <c r="U90" s="71"/>
      <c r="V90" s="71"/>
      <c r="W90" s="71"/>
      <c r="X90" s="71"/>
      <c r="Y90" s="71"/>
      <c r="Z90" s="71"/>
      <c r="AA90" s="71"/>
    </row>
    <row r="91" spans="1:27" ht="15.75" customHeight="1">
      <c r="A91" s="71"/>
      <c r="B91" s="263"/>
      <c r="C91" s="264"/>
      <c r="D91" s="71"/>
      <c r="E91" s="71"/>
      <c r="F91" s="265"/>
      <c r="G91" s="263"/>
      <c r="H91" s="71"/>
      <c r="I91" s="265"/>
      <c r="J91" s="71"/>
      <c r="K91" s="266"/>
      <c r="L91" s="266"/>
      <c r="M91" s="266"/>
      <c r="N91" s="266"/>
      <c r="O91" s="266"/>
      <c r="P91" s="266"/>
      <c r="Q91" s="267"/>
      <c r="R91" s="71"/>
      <c r="S91" s="71"/>
      <c r="T91" s="222"/>
      <c r="U91" s="71"/>
      <c r="V91" s="71"/>
      <c r="W91" s="71"/>
      <c r="X91" s="71"/>
      <c r="Y91" s="71"/>
      <c r="Z91" s="71"/>
      <c r="AA91" s="71"/>
    </row>
    <row r="92" spans="1:27" ht="15.75" customHeight="1">
      <c r="A92" s="71"/>
      <c r="B92" s="263"/>
      <c r="C92" s="264"/>
      <c r="D92" s="71"/>
      <c r="E92" s="71"/>
      <c r="F92" s="265"/>
      <c r="G92" s="263"/>
      <c r="H92" s="71"/>
      <c r="I92" s="265"/>
      <c r="J92" s="71"/>
      <c r="K92" s="266"/>
      <c r="L92" s="266"/>
      <c r="M92" s="266"/>
      <c r="N92" s="266"/>
      <c r="O92" s="266"/>
      <c r="P92" s="266"/>
      <c r="Q92" s="267"/>
      <c r="R92" s="71"/>
      <c r="S92" s="71"/>
      <c r="T92" s="222"/>
      <c r="U92" s="71"/>
      <c r="V92" s="71"/>
      <c r="W92" s="71"/>
      <c r="X92" s="71"/>
      <c r="Y92" s="71"/>
      <c r="Z92" s="71"/>
      <c r="AA92" s="71"/>
    </row>
    <row r="93" spans="1:27" ht="15.75" customHeight="1">
      <c r="A93" s="71"/>
      <c r="B93" s="263"/>
      <c r="C93" s="264"/>
      <c r="D93" s="71"/>
      <c r="E93" s="71"/>
      <c r="F93" s="265"/>
      <c r="G93" s="263"/>
      <c r="H93" s="71"/>
      <c r="I93" s="265"/>
      <c r="J93" s="71"/>
      <c r="K93" s="266"/>
      <c r="L93" s="266"/>
      <c r="M93" s="266"/>
      <c r="N93" s="266"/>
      <c r="O93" s="266"/>
      <c r="P93" s="266"/>
      <c r="Q93" s="267"/>
      <c r="R93" s="71"/>
      <c r="S93" s="71"/>
      <c r="T93" s="222"/>
      <c r="U93" s="71"/>
      <c r="V93" s="71"/>
      <c r="W93" s="71"/>
      <c r="X93" s="71"/>
      <c r="Y93" s="71"/>
      <c r="Z93" s="71"/>
      <c r="AA93" s="71"/>
    </row>
    <row r="94" spans="1:27" ht="15.75" customHeight="1">
      <c r="A94" s="71"/>
      <c r="B94" s="263"/>
      <c r="C94" s="264"/>
      <c r="D94" s="71"/>
      <c r="E94" s="71"/>
      <c r="F94" s="265"/>
      <c r="G94" s="263"/>
      <c r="H94" s="71"/>
      <c r="I94" s="265"/>
      <c r="J94" s="71"/>
      <c r="K94" s="266"/>
      <c r="L94" s="266"/>
      <c r="M94" s="266"/>
      <c r="N94" s="266"/>
      <c r="O94" s="266"/>
      <c r="P94" s="266"/>
      <c r="Q94" s="267"/>
      <c r="R94" s="71"/>
      <c r="S94" s="71"/>
      <c r="T94" s="222"/>
      <c r="U94" s="71"/>
      <c r="V94" s="71"/>
      <c r="W94" s="71"/>
      <c r="X94" s="71"/>
      <c r="Y94" s="71"/>
      <c r="Z94" s="71"/>
      <c r="AA94" s="71"/>
    </row>
    <row r="95" spans="1:27" ht="15.75" customHeight="1">
      <c r="A95" s="71"/>
      <c r="B95" s="263"/>
      <c r="C95" s="264"/>
      <c r="D95" s="71"/>
      <c r="E95" s="71"/>
      <c r="F95" s="265"/>
      <c r="G95" s="263"/>
      <c r="H95" s="71"/>
      <c r="I95" s="265"/>
      <c r="J95" s="71"/>
      <c r="K95" s="266"/>
      <c r="L95" s="266"/>
      <c r="M95" s="266"/>
      <c r="N95" s="266"/>
      <c r="O95" s="266"/>
      <c r="P95" s="266"/>
      <c r="Q95" s="267"/>
      <c r="R95" s="71"/>
      <c r="S95" s="71"/>
      <c r="T95" s="222"/>
      <c r="U95" s="71"/>
      <c r="V95" s="71"/>
      <c r="W95" s="71"/>
      <c r="X95" s="71"/>
      <c r="Y95" s="71"/>
      <c r="Z95" s="71"/>
      <c r="AA95" s="71"/>
    </row>
    <row r="96" spans="1:27" ht="15.75" customHeight="1">
      <c r="A96" s="71"/>
      <c r="B96" s="263"/>
      <c r="C96" s="264"/>
      <c r="D96" s="71"/>
      <c r="E96" s="71"/>
      <c r="F96" s="265"/>
      <c r="G96" s="263"/>
      <c r="H96" s="71"/>
      <c r="I96" s="265"/>
      <c r="J96" s="71"/>
      <c r="K96" s="266"/>
      <c r="L96" s="266"/>
      <c r="M96" s="266"/>
      <c r="N96" s="266"/>
      <c r="O96" s="266"/>
      <c r="P96" s="266"/>
      <c r="Q96" s="267"/>
      <c r="R96" s="71"/>
      <c r="S96" s="71"/>
      <c r="T96" s="222"/>
      <c r="U96" s="71"/>
      <c r="V96" s="71"/>
      <c r="W96" s="71"/>
      <c r="X96" s="71"/>
      <c r="Y96" s="71"/>
      <c r="Z96" s="71"/>
      <c r="AA96" s="71"/>
    </row>
    <row r="97" spans="1:27" ht="15.75" customHeight="1">
      <c r="A97" s="71"/>
      <c r="B97" s="263"/>
      <c r="C97" s="264"/>
      <c r="D97" s="71"/>
      <c r="E97" s="71"/>
      <c r="F97" s="265"/>
      <c r="G97" s="263"/>
      <c r="H97" s="71"/>
      <c r="I97" s="265"/>
      <c r="J97" s="71"/>
      <c r="K97" s="266"/>
      <c r="L97" s="266"/>
      <c r="M97" s="266"/>
      <c r="N97" s="266"/>
      <c r="O97" s="266"/>
      <c r="P97" s="266"/>
      <c r="Q97" s="267"/>
      <c r="R97" s="71"/>
      <c r="S97" s="71"/>
      <c r="T97" s="222"/>
      <c r="U97" s="71"/>
      <c r="V97" s="71"/>
      <c r="W97" s="71"/>
      <c r="X97" s="71"/>
      <c r="Y97" s="71"/>
      <c r="Z97" s="71"/>
      <c r="AA97" s="71"/>
    </row>
    <row r="98" spans="1:27" ht="15.75" customHeight="1">
      <c r="A98" s="71"/>
      <c r="B98" s="263"/>
      <c r="C98" s="264"/>
      <c r="D98" s="71"/>
      <c r="E98" s="71"/>
      <c r="F98" s="265"/>
      <c r="G98" s="263"/>
      <c r="H98" s="71"/>
      <c r="I98" s="265"/>
      <c r="J98" s="71"/>
      <c r="K98" s="266"/>
      <c r="L98" s="266"/>
      <c r="M98" s="266"/>
      <c r="N98" s="266"/>
      <c r="O98" s="266"/>
      <c r="P98" s="266"/>
      <c r="Q98" s="267"/>
      <c r="R98" s="71"/>
      <c r="S98" s="71"/>
      <c r="T98" s="222"/>
      <c r="U98" s="71"/>
      <c r="V98" s="71"/>
      <c r="W98" s="71"/>
      <c r="X98" s="71"/>
      <c r="Y98" s="71"/>
      <c r="Z98" s="71"/>
      <c r="AA98" s="71"/>
    </row>
    <row r="99" spans="1:27" ht="15.75" customHeight="1">
      <c r="A99" s="71"/>
      <c r="B99" s="263"/>
      <c r="C99" s="264"/>
      <c r="D99" s="71"/>
      <c r="E99" s="71"/>
      <c r="F99" s="265"/>
      <c r="G99" s="263"/>
      <c r="H99" s="71"/>
      <c r="I99" s="265"/>
      <c r="J99" s="71"/>
      <c r="K99" s="266"/>
      <c r="L99" s="266"/>
      <c r="M99" s="266"/>
      <c r="N99" s="266"/>
      <c r="O99" s="266"/>
      <c r="P99" s="266"/>
      <c r="Q99" s="267"/>
      <c r="R99" s="71"/>
      <c r="S99" s="71"/>
      <c r="T99" s="222"/>
      <c r="U99" s="71"/>
      <c r="V99" s="71"/>
      <c r="W99" s="71"/>
      <c r="X99" s="71"/>
      <c r="Y99" s="71"/>
      <c r="Z99" s="71"/>
      <c r="AA99" s="71"/>
    </row>
    <row r="100" spans="1:27" ht="15.75" customHeight="1">
      <c r="A100" s="71"/>
      <c r="B100" s="263"/>
      <c r="C100" s="264"/>
      <c r="D100" s="71"/>
      <c r="E100" s="71"/>
      <c r="F100" s="265"/>
      <c r="G100" s="263"/>
      <c r="H100" s="71"/>
      <c r="I100" s="265"/>
      <c r="J100" s="71"/>
      <c r="K100" s="266"/>
      <c r="L100" s="266"/>
      <c r="M100" s="266"/>
      <c r="N100" s="266"/>
      <c r="O100" s="266"/>
      <c r="P100" s="266"/>
      <c r="Q100" s="267"/>
      <c r="R100" s="71"/>
      <c r="S100" s="71"/>
      <c r="T100" s="222"/>
      <c r="U100" s="71"/>
      <c r="V100" s="71"/>
      <c r="W100" s="71"/>
      <c r="X100" s="71"/>
      <c r="Y100" s="71"/>
      <c r="Z100" s="71"/>
      <c r="AA100" s="71"/>
    </row>
    <row r="101" spans="1:27" ht="15.75" customHeight="1">
      <c r="A101" s="71"/>
      <c r="B101" s="263"/>
      <c r="C101" s="264"/>
      <c r="D101" s="71"/>
      <c r="E101" s="71"/>
      <c r="F101" s="265"/>
      <c r="G101" s="263"/>
      <c r="H101" s="71"/>
      <c r="I101" s="265"/>
      <c r="J101" s="71"/>
      <c r="K101" s="266"/>
      <c r="L101" s="266"/>
      <c r="M101" s="266"/>
      <c r="N101" s="266"/>
      <c r="O101" s="266"/>
      <c r="P101" s="266"/>
      <c r="Q101" s="267"/>
      <c r="R101" s="71"/>
      <c r="S101" s="71"/>
      <c r="T101" s="222"/>
      <c r="U101" s="71"/>
      <c r="V101" s="71"/>
      <c r="W101" s="71"/>
      <c r="X101" s="71"/>
      <c r="Y101" s="71"/>
      <c r="Z101" s="71"/>
      <c r="AA101" s="71"/>
    </row>
    <row r="102" spans="1:27" ht="15.75" customHeight="1">
      <c r="A102" s="71"/>
      <c r="B102" s="263"/>
      <c r="C102" s="264"/>
      <c r="D102" s="71"/>
      <c r="E102" s="71"/>
      <c r="F102" s="265"/>
      <c r="G102" s="263"/>
      <c r="H102" s="71"/>
      <c r="I102" s="265"/>
      <c r="J102" s="71"/>
      <c r="K102" s="266"/>
      <c r="L102" s="266"/>
      <c r="M102" s="266"/>
      <c r="N102" s="266"/>
      <c r="O102" s="266"/>
      <c r="P102" s="266"/>
      <c r="Q102" s="267"/>
      <c r="R102" s="71"/>
      <c r="S102" s="71"/>
      <c r="T102" s="222"/>
      <c r="U102" s="71"/>
      <c r="V102" s="71"/>
      <c r="W102" s="71"/>
      <c r="X102" s="71"/>
      <c r="Y102" s="71"/>
      <c r="Z102" s="71"/>
      <c r="AA102" s="71"/>
    </row>
    <row r="103" spans="1:27" ht="15.75" customHeight="1">
      <c r="A103" s="71"/>
      <c r="B103" s="263"/>
      <c r="C103" s="264"/>
      <c r="D103" s="71"/>
      <c r="E103" s="71"/>
      <c r="F103" s="265"/>
      <c r="G103" s="263"/>
      <c r="H103" s="71"/>
      <c r="I103" s="265"/>
      <c r="J103" s="71"/>
      <c r="K103" s="266"/>
      <c r="L103" s="266"/>
      <c r="M103" s="266"/>
      <c r="N103" s="266"/>
      <c r="O103" s="266"/>
      <c r="P103" s="266"/>
      <c r="Q103" s="267"/>
      <c r="R103" s="71"/>
      <c r="S103" s="71"/>
      <c r="T103" s="222"/>
      <c r="U103" s="71"/>
      <c r="V103" s="71"/>
      <c r="W103" s="71"/>
      <c r="X103" s="71"/>
      <c r="Y103" s="71"/>
      <c r="Z103" s="71"/>
      <c r="AA103" s="71"/>
    </row>
    <row r="104" spans="1:27" ht="15.75" customHeight="1">
      <c r="A104" s="71"/>
      <c r="B104" s="263"/>
      <c r="C104" s="264"/>
      <c r="D104" s="71"/>
      <c r="E104" s="71"/>
      <c r="F104" s="265"/>
      <c r="G104" s="263"/>
      <c r="H104" s="71"/>
      <c r="I104" s="265"/>
      <c r="J104" s="71"/>
      <c r="K104" s="266"/>
      <c r="L104" s="266"/>
      <c r="M104" s="266"/>
      <c r="N104" s="266"/>
      <c r="O104" s="266"/>
      <c r="P104" s="266"/>
      <c r="Q104" s="267"/>
      <c r="R104" s="71"/>
      <c r="S104" s="71"/>
      <c r="T104" s="222"/>
      <c r="U104" s="71"/>
      <c r="V104" s="71"/>
      <c r="W104" s="71"/>
      <c r="X104" s="71"/>
      <c r="Y104" s="71"/>
      <c r="Z104" s="71"/>
      <c r="AA104" s="71"/>
    </row>
    <row r="105" spans="1:27" ht="15.75" customHeight="1">
      <c r="A105" s="71"/>
      <c r="B105" s="263"/>
      <c r="C105" s="264"/>
      <c r="D105" s="71"/>
      <c r="E105" s="71"/>
      <c r="F105" s="265"/>
      <c r="G105" s="263"/>
      <c r="H105" s="71"/>
      <c r="I105" s="265"/>
      <c r="J105" s="71"/>
      <c r="K105" s="266"/>
      <c r="L105" s="266"/>
      <c r="M105" s="266"/>
      <c r="N105" s="266"/>
      <c r="O105" s="266"/>
      <c r="P105" s="266"/>
      <c r="Q105" s="267"/>
      <c r="R105" s="71"/>
      <c r="S105" s="71"/>
      <c r="T105" s="222"/>
      <c r="U105" s="71"/>
      <c r="V105" s="71"/>
      <c r="W105" s="71"/>
      <c r="X105" s="71"/>
      <c r="Y105" s="71"/>
      <c r="Z105" s="71"/>
      <c r="AA105" s="71"/>
    </row>
    <row r="106" spans="1:27" ht="15.75" customHeight="1">
      <c r="A106" s="71"/>
      <c r="B106" s="263"/>
      <c r="C106" s="264"/>
      <c r="D106" s="71"/>
      <c r="E106" s="71"/>
      <c r="F106" s="265"/>
      <c r="G106" s="263"/>
      <c r="H106" s="71"/>
      <c r="I106" s="265"/>
      <c r="J106" s="71"/>
      <c r="K106" s="266"/>
      <c r="L106" s="266"/>
      <c r="M106" s="266"/>
      <c r="N106" s="266"/>
      <c r="O106" s="266"/>
      <c r="P106" s="266"/>
      <c r="Q106" s="267"/>
      <c r="R106" s="71"/>
      <c r="S106" s="71"/>
      <c r="T106" s="222"/>
      <c r="U106" s="71"/>
      <c r="V106" s="71"/>
      <c r="W106" s="71"/>
      <c r="X106" s="71"/>
      <c r="Y106" s="71"/>
      <c r="Z106" s="71"/>
      <c r="AA106" s="71"/>
    </row>
    <row r="107" spans="1:27" ht="15.75" customHeight="1">
      <c r="A107" s="71"/>
      <c r="B107" s="263"/>
      <c r="C107" s="264"/>
      <c r="D107" s="71"/>
      <c r="E107" s="71"/>
      <c r="F107" s="265"/>
      <c r="G107" s="263"/>
      <c r="H107" s="71"/>
      <c r="I107" s="265"/>
      <c r="J107" s="71"/>
      <c r="K107" s="266"/>
      <c r="L107" s="266"/>
      <c r="M107" s="266"/>
      <c r="N107" s="266"/>
      <c r="O107" s="266"/>
      <c r="P107" s="266"/>
      <c r="Q107" s="267"/>
      <c r="R107" s="71"/>
      <c r="S107" s="71"/>
      <c r="T107" s="222"/>
      <c r="U107" s="71"/>
      <c r="V107" s="71"/>
      <c r="W107" s="71"/>
      <c r="X107" s="71"/>
      <c r="Y107" s="71"/>
      <c r="Z107" s="71"/>
      <c r="AA107" s="71"/>
    </row>
    <row r="108" spans="1:27" ht="15.75" customHeight="1">
      <c r="A108" s="71"/>
      <c r="B108" s="263"/>
      <c r="C108" s="264"/>
      <c r="D108" s="71"/>
      <c r="E108" s="71"/>
      <c r="F108" s="265"/>
      <c r="G108" s="263"/>
      <c r="H108" s="71"/>
      <c r="I108" s="265"/>
      <c r="J108" s="71"/>
      <c r="K108" s="266"/>
      <c r="L108" s="266"/>
      <c r="M108" s="266"/>
      <c r="N108" s="266"/>
      <c r="O108" s="266"/>
      <c r="P108" s="266"/>
      <c r="Q108" s="267"/>
      <c r="R108" s="71"/>
      <c r="S108" s="71"/>
      <c r="T108" s="222"/>
      <c r="U108" s="71"/>
      <c r="V108" s="71"/>
      <c r="W108" s="71"/>
      <c r="X108" s="71"/>
      <c r="Y108" s="71"/>
      <c r="Z108" s="71"/>
      <c r="AA108" s="71"/>
    </row>
    <row r="109" spans="1:27" ht="15.75" customHeight="1">
      <c r="A109" s="71"/>
      <c r="B109" s="263"/>
      <c r="C109" s="264"/>
      <c r="D109" s="71"/>
      <c r="E109" s="71"/>
      <c r="F109" s="265"/>
      <c r="G109" s="263"/>
      <c r="H109" s="71"/>
      <c r="I109" s="265"/>
      <c r="J109" s="71"/>
      <c r="K109" s="266"/>
      <c r="L109" s="266"/>
      <c r="M109" s="266"/>
      <c r="N109" s="266"/>
      <c r="O109" s="266"/>
      <c r="P109" s="266"/>
      <c r="Q109" s="267"/>
      <c r="R109" s="71"/>
      <c r="S109" s="71"/>
      <c r="T109" s="222"/>
      <c r="U109" s="71"/>
      <c r="V109" s="71"/>
      <c r="W109" s="71"/>
      <c r="X109" s="71"/>
      <c r="Y109" s="71"/>
      <c r="Z109" s="71"/>
      <c r="AA109" s="71"/>
    </row>
    <row r="110" spans="1:27" ht="15.75" customHeight="1">
      <c r="A110" s="71"/>
      <c r="B110" s="263"/>
      <c r="C110" s="264"/>
      <c r="D110" s="71"/>
      <c r="E110" s="71"/>
      <c r="F110" s="265"/>
      <c r="G110" s="263"/>
      <c r="H110" s="71"/>
      <c r="I110" s="265"/>
      <c r="J110" s="71"/>
      <c r="K110" s="266"/>
      <c r="L110" s="266"/>
      <c r="M110" s="266"/>
      <c r="N110" s="266"/>
      <c r="O110" s="266"/>
      <c r="P110" s="266"/>
      <c r="Q110" s="267"/>
      <c r="R110" s="71"/>
      <c r="S110" s="71"/>
      <c r="T110" s="222"/>
      <c r="U110" s="71"/>
      <c r="V110" s="71"/>
      <c r="W110" s="71"/>
      <c r="X110" s="71"/>
      <c r="Y110" s="71"/>
      <c r="Z110" s="71"/>
      <c r="AA110" s="71"/>
    </row>
    <row r="111" spans="1:27" ht="15.75" customHeight="1">
      <c r="A111" s="71"/>
      <c r="B111" s="263"/>
      <c r="C111" s="264"/>
      <c r="D111" s="71"/>
      <c r="E111" s="71"/>
      <c r="F111" s="265"/>
      <c r="G111" s="263"/>
      <c r="H111" s="71"/>
      <c r="I111" s="265"/>
      <c r="J111" s="71"/>
      <c r="K111" s="266"/>
      <c r="L111" s="266"/>
      <c r="M111" s="266"/>
      <c r="N111" s="266"/>
      <c r="O111" s="266"/>
      <c r="P111" s="266"/>
      <c r="Q111" s="267"/>
      <c r="R111" s="71"/>
      <c r="S111" s="71"/>
      <c r="T111" s="222"/>
      <c r="U111" s="71"/>
      <c r="V111" s="71"/>
      <c r="W111" s="71"/>
      <c r="X111" s="71"/>
      <c r="Y111" s="71"/>
      <c r="Z111" s="71"/>
      <c r="AA111" s="71"/>
    </row>
    <row r="112" spans="1:27" ht="15.75" customHeight="1">
      <c r="A112" s="71"/>
      <c r="B112" s="263"/>
      <c r="C112" s="264"/>
      <c r="D112" s="71"/>
      <c r="E112" s="71"/>
      <c r="F112" s="265"/>
      <c r="G112" s="263"/>
      <c r="H112" s="71"/>
      <c r="I112" s="265"/>
      <c r="J112" s="71"/>
      <c r="K112" s="266"/>
      <c r="L112" s="266"/>
      <c r="M112" s="266"/>
      <c r="N112" s="266"/>
      <c r="O112" s="266"/>
      <c r="P112" s="266"/>
      <c r="Q112" s="267"/>
      <c r="R112" s="71"/>
      <c r="S112" s="71"/>
      <c r="T112" s="222"/>
      <c r="U112" s="71"/>
      <c r="V112" s="71"/>
      <c r="W112" s="71"/>
      <c r="X112" s="71"/>
      <c r="Y112" s="71"/>
      <c r="Z112" s="71"/>
      <c r="AA112" s="71"/>
    </row>
    <row r="113" spans="1:27" ht="15.75" customHeight="1">
      <c r="A113" s="71"/>
      <c r="B113" s="263"/>
      <c r="C113" s="264"/>
      <c r="D113" s="71"/>
      <c r="E113" s="71"/>
      <c r="F113" s="265"/>
      <c r="G113" s="263"/>
      <c r="H113" s="71"/>
      <c r="I113" s="265"/>
      <c r="J113" s="71"/>
      <c r="K113" s="266"/>
      <c r="L113" s="266"/>
      <c r="M113" s="266"/>
      <c r="N113" s="266"/>
      <c r="O113" s="266"/>
      <c r="P113" s="266"/>
      <c r="Q113" s="267"/>
      <c r="R113" s="71"/>
      <c r="S113" s="71"/>
      <c r="T113" s="222"/>
      <c r="U113" s="71"/>
      <c r="V113" s="71"/>
      <c r="W113" s="71"/>
      <c r="X113" s="71"/>
      <c r="Y113" s="71"/>
      <c r="Z113" s="71"/>
      <c r="AA113" s="71"/>
    </row>
    <row r="114" spans="1:27" ht="15.75" customHeight="1">
      <c r="A114" s="71"/>
      <c r="B114" s="263"/>
      <c r="C114" s="264"/>
      <c r="D114" s="71"/>
      <c r="E114" s="71"/>
      <c r="F114" s="265"/>
      <c r="G114" s="263"/>
      <c r="H114" s="71"/>
      <c r="I114" s="265"/>
      <c r="J114" s="71"/>
      <c r="K114" s="266"/>
      <c r="L114" s="266"/>
      <c r="M114" s="266"/>
      <c r="N114" s="266"/>
      <c r="O114" s="266"/>
      <c r="P114" s="266"/>
      <c r="Q114" s="267"/>
      <c r="R114" s="71"/>
      <c r="S114" s="71"/>
      <c r="T114" s="222"/>
      <c r="U114" s="71"/>
      <c r="V114" s="71"/>
      <c r="W114" s="71"/>
      <c r="X114" s="71"/>
      <c r="Y114" s="71"/>
      <c r="Z114" s="71"/>
      <c r="AA114" s="71"/>
    </row>
    <row r="115" spans="1:27" ht="15.75" customHeight="1">
      <c r="A115" s="71"/>
      <c r="B115" s="263"/>
      <c r="C115" s="264"/>
      <c r="D115" s="71"/>
      <c r="E115" s="71"/>
      <c r="F115" s="265"/>
      <c r="G115" s="263"/>
      <c r="H115" s="71"/>
      <c r="I115" s="265"/>
      <c r="J115" s="71"/>
      <c r="K115" s="266"/>
      <c r="L115" s="266"/>
      <c r="M115" s="266"/>
      <c r="N115" s="266"/>
      <c r="O115" s="266"/>
      <c r="P115" s="266"/>
      <c r="Q115" s="267"/>
      <c r="R115" s="71"/>
      <c r="S115" s="71"/>
      <c r="T115" s="222"/>
      <c r="U115" s="71"/>
      <c r="V115" s="71"/>
      <c r="W115" s="71"/>
      <c r="X115" s="71"/>
      <c r="Y115" s="71"/>
      <c r="Z115" s="71"/>
      <c r="AA115" s="71"/>
    </row>
    <row r="116" spans="1:27" ht="15.75" customHeight="1">
      <c r="A116" s="71"/>
      <c r="B116" s="263"/>
      <c r="C116" s="264"/>
      <c r="D116" s="71"/>
      <c r="E116" s="71"/>
      <c r="F116" s="265"/>
      <c r="G116" s="263"/>
      <c r="H116" s="71"/>
      <c r="I116" s="265"/>
      <c r="J116" s="71"/>
      <c r="K116" s="266"/>
      <c r="L116" s="266"/>
      <c r="M116" s="266"/>
      <c r="N116" s="266"/>
      <c r="O116" s="266"/>
      <c r="P116" s="266"/>
      <c r="Q116" s="267"/>
      <c r="R116" s="71"/>
      <c r="S116" s="71"/>
      <c r="T116" s="222"/>
      <c r="U116" s="71"/>
      <c r="V116" s="71"/>
      <c r="W116" s="71"/>
      <c r="X116" s="71"/>
      <c r="Y116" s="71"/>
      <c r="Z116" s="71"/>
      <c r="AA116" s="71"/>
    </row>
    <row r="117" spans="1:27" ht="15.75" customHeight="1">
      <c r="A117" s="71"/>
      <c r="B117" s="263"/>
      <c r="C117" s="264"/>
      <c r="D117" s="71"/>
      <c r="E117" s="71"/>
      <c r="F117" s="265"/>
      <c r="G117" s="263"/>
      <c r="H117" s="71"/>
      <c r="I117" s="265"/>
      <c r="J117" s="71"/>
      <c r="K117" s="266"/>
      <c r="L117" s="266"/>
      <c r="M117" s="266"/>
      <c r="N117" s="266"/>
      <c r="O117" s="266"/>
      <c r="P117" s="266"/>
      <c r="Q117" s="267"/>
      <c r="R117" s="71"/>
      <c r="S117" s="71"/>
      <c r="T117" s="222"/>
      <c r="U117" s="71"/>
      <c r="V117" s="71"/>
      <c r="W117" s="71"/>
      <c r="X117" s="71"/>
      <c r="Y117" s="71"/>
      <c r="Z117" s="71"/>
      <c r="AA117" s="71"/>
    </row>
    <row r="118" spans="1:27" ht="15.75" customHeight="1">
      <c r="A118" s="71"/>
      <c r="B118" s="263"/>
      <c r="C118" s="264"/>
      <c r="D118" s="71"/>
      <c r="E118" s="71"/>
      <c r="F118" s="265"/>
      <c r="G118" s="263"/>
      <c r="H118" s="71"/>
      <c r="I118" s="265"/>
      <c r="J118" s="71"/>
      <c r="K118" s="266"/>
      <c r="L118" s="266"/>
      <c r="M118" s="266"/>
      <c r="N118" s="266"/>
      <c r="O118" s="266"/>
      <c r="P118" s="266"/>
      <c r="Q118" s="267"/>
      <c r="R118" s="71"/>
      <c r="S118" s="71"/>
      <c r="T118" s="222"/>
      <c r="U118" s="71"/>
      <c r="V118" s="71"/>
      <c r="W118" s="71"/>
      <c r="X118" s="71"/>
      <c r="Y118" s="71"/>
      <c r="Z118" s="71"/>
      <c r="AA118" s="71"/>
    </row>
    <row r="119" spans="1:27" ht="15.75" customHeight="1">
      <c r="A119" s="71"/>
      <c r="B119" s="263"/>
      <c r="C119" s="264"/>
      <c r="D119" s="71"/>
      <c r="E119" s="71"/>
      <c r="F119" s="265"/>
      <c r="G119" s="263"/>
      <c r="H119" s="71"/>
      <c r="I119" s="265"/>
      <c r="J119" s="71"/>
      <c r="K119" s="266"/>
      <c r="L119" s="266"/>
      <c r="M119" s="266"/>
      <c r="N119" s="266"/>
      <c r="O119" s="266"/>
      <c r="P119" s="266"/>
      <c r="Q119" s="267"/>
      <c r="R119" s="71"/>
      <c r="S119" s="71"/>
      <c r="T119" s="222"/>
      <c r="U119" s="71"/>
      <c r="V119" s="71"/>
      <c r="W119" s="71"/>
      <c r="X119" s="71"/>
      <c r="Y119" s="71"/>
      <c r="Z119" s="71"/>
      <c r="AA119" s="71"/>
    </row>
    <row r="120" spans="1:27" ht="15.75" customHeight="1">
      <c r="A120" s="71"/>
      <c r="B120" s="263"/>
      <c r="C120" s="264"/>
      <c r="D120" s="71"/>
      <c r="E120" s="71"/>
      <c r="F120" s="265"/>
      <c r="G120" s="263"/>
      <c r="H120" s="71"/>
      <c r="I120" s="265"/>
      <c r="J120" s="71"/>
      <c r="K120" s="266"/>
      <c r="L120" s="266"/>
      <c r="M120" s="266"/>
      <c r="N120" s="266"/>
      <c r="O120" s="266"/>
      <c r="P120" s="266"/>
      <c r="Q120" s="267"/>
      <c r="R120" s="71"/>
      <c r="S120" s="71"/>
      <c r="T120" s="222"/>
      <c r="U120" s="71"/>
      <c r="V120" s="71"/>
      <c r="W120" s="71"/>
      <c r="X120" s="71"/>
      <c r="Y120" s="71"/>
      <c r="Z120" s="71"/>
      <c r="AA120" s="71"/>
    </row>
    <row r="121" spans="1:27" ht="15.75" customHeight="1">
      <c r="A121" s="71"/>
      <c r="B121" s="263"/>
      <c r="C121" s="264"/>
      <c r="D121" s="71"/>
      <c r="E121" s="71"/>
      <c r="F121" s="265"/>
      <c r="G121" s="263"/>
      <c r="H121" s="71"/>
      <c r="I121" s="265"/>
      <c r="J121" s="71"/>
      <c r="K121" s="266"/>
      <c r="L121" s="266"/>
      <c r="M121" s="266"/>
      <c r="N121" s="266"/>
      <c r="O121" s="266"/>
      <c r="P121" s="266"/>
      <c r="Q121" s="267"/>
      <c r="R121" s="71"/>
      <c r="S121" s="71"/>
      <c r="T121" s="222"/>
      <c r="U121" s="71"/>
      <c r="V121" s="71"/>
      <c r="W121" s="71"/>
      <c r="X121" s="71"/>
      <c r="Y121" s="71"/>
      <c r="Z121" s="71"/>
      <c r="AA121" s="71"/>
    </row>
    <row r="122" spans="1:27" ht="15.75" customHeight="1">
      <c r="A122" s="71"/>
      <c r="B122" s="263"/>
      <c r="C122" s="264"/>
      <c r="D122" s="71"/>
      <c r="E122" s="71"/>
      <c r="F122" s="265"/>
      <c r="G122" s="263"/>
      <c r="H122" s="71"/>
      <c r="I122" s="265"/>
      <c r="J122" s="71"/>
      <c r="K122" s="266"/>
      <c r="L122" s="266"/>
      <c r="M122" s="266"/>
      <c r="N122" s="266"/>
      <c r="O122" s="266"/>
      <c r="P122" s="266"/>
      <c r="Q122" s="267"/>
      <c r="R122" s="71"/>
      <c r="S122" s="71"/>
      <c r="T122" s="222"/>
      <c r="U122" s="71"/>
      <c r="V122" s="71"/>
      <c r="W122" s="71"/>
      <c r="X122" s="71"/>
      <c r="Y122" s="71"/>
      <c r="Z122" s="71"/>
      <c r="AA122" s="71"/>
    </row>
    <row r="123" spans="1:27" ht="15.75" customHeight="1">
      <c r="A123" s="71"/>
      <c r="B123" s="263"/>
      <c r="C123" s="264"/>
      <c r="D123" s="71"/>
      <c r="E123" s="71"/>
      <c r="F123" s="265"/>
      <c r="G123" s="263"/>
      <c r="H123" s="71"/>
      <c r="I123" s="265"/>
      <c r="J123" s="71"/>
      <c r="K123" s="266"/>
      <c r="L123" s="266"/>
      <c r="M123" s="266"/>
      <c r="N123" s="266"/>
      <c r="O123" s="266"/>
      <c r="P123" s="266"/>
      <c r="Q123" s="267"/>
      <c r="R123" s="71"/>
      <c r="S123" s="71"/>
      <c r="T123" s="222"/>
      <c r="U123" s="71"/>
      <c r="V123" s="71"/>
      <c r="W123" s="71"/>
      <c r="X123" s="71"/>
      <c r="Y123" s="71"/>
      <c r="Z123" s="71"/>
      <c r="AA123" s="71"/>
    </row>
    <row r="124" spans="1:27" ht="15.75" customHeight="1">
      <c r="A124" s="71"/>
      <c r="B124" s="263"/>
      <c r="C124" s="264"/>
      <c r="D124" s="71"/>
      <c r="E124" s="71"/>
      <c r="F124" s="265"/>
      <c r="G124" s="263"/>
      <c r="H124" s="71"/>
      <c r="I124" s="265"/>
      <c r="J124" s="71"/>
      <c r="K124" s="266"/>
      <c r="L124" s="266"/>
      <c r="M124" s="266"/>
      <c r="N124" s="266"/>
      <c r="O124" s="266"/>
      <c r="P124" s="266"/>
      <c r="Q124" s="267"/>
      <c r="R124" s="71"/>
      <c r="S124" s="71"/>
      <c r="T124" s="222"/>
      <c r="U124" s="71"/>
      <c r="V124" s="71"/>
      <c r="W124" s="71"/>
      <c r="X124" s="71"/>
      <c r="Y124" s="71"/>
      <c r="Z124" s="71"/>
      <c r="AA124" s="71"/>
    </row>
    <row r="125" spans="1:27" ht="15.75" customHeight="1">
      <c r="A125" s="71"/>
      <c r="B125" s="263"/>
      <c r="C125" s="264"/>
      <c r="D125" s="71"/>
      <c r="E125" s="71"/>
      <c r="F125" s="265"/>
      <c r="G125" s="263"/>
      <c r="H125" s="71"/>
      <c r="I125" s="265"/>
      <c r="J125" s="71"/>
      <c r="K125" s="266"/>
      <c r="L125" s="266"/>
      <c r="M125" s="266"/>
      <c r="N125" s="266"/>
      <c r="O125" s="266"/>
      <c r="P125" s="266"/>
      <c r="Q125" s="267"/>
      <c r="R125" s="71"/>
      <c r="S125" s="71"/>
      <c r="T125" s="222"/>
      <c r="U125" s="71"/>
      <c r="V125" s="71"/>
      <c r="W125" s="71"/>
      <c r="X125" s="71"/>
      <c r="Y125" s="71"/>
      <c r="Z125" s="71"/>
      <c r="AA125" s="71"/>
    </row>
    <row r="126" spans="1:27" ht="15.75" customHeight="1">
      <c r="A126" s="71"/>
      <c r="B126" s="263"/>
      <c r="C126" s="264"/>
      <c r="D126" s="71"/>
      <c r="E126" s="71"/>
      <c r="F126" s="265"/>
      <c r="G126" s="263"/>
      <c r="H126" s="71"/>
      <c r="I126" s="265"/>
      <c r="J126" s="71"/>
      <c r="K126" s="266"/>
      <c r="L126" s="266"/>
      <c r="M126" s="266"/>
      <c r="N126" s="266"/>
      <c r="O126" s="266"/>
      <c r="P126" s="266"/>
      <c r="Q126" s="267"/>
      <c r="R126" s="71"/>
      <c r="S126" s="71"/>
      <c r="T126" s="222"/>
      <c r="U126" s="71"/>
      <c r="V126" s="71"/>
      <c r="W126" s="71"/>
      <c r="X126" s="71"/>
      <c r="Y126" s="71"/>
      <c r="Z126" s="71"/>
      <c r="AA126" s="71"/>
    </row>
    <row r="127" spans="1:27" ht="15.75" customHeight="1">
      <c r="A127" s="71"/>
      <c r="B127" s="263"/>
      <c r="C127" s="264"/>
      <c r="D127" s="71"/>
      <c r="E127" s="71"/>
      <c r="F127" s="265"/>
      <c r="G127" s="263"/>
      <c r="H127" s="71"/>
      <c r="I127" s="265"/>
      <c r="J127" s="71"/>
      <c r="K127" s="266"/>
      <c r="L127" s="266"/>
      <c r="M127" s="266"/>
      <c r="N127" s="266"/>
      <c r="O127" s="266"/>
      <c r="P127" s="266"/>
      <c r="Q127" s="267"/>
      <c r="R127" s="71"/>
      <c r="S127" s="71"/>
      <c r="T127" s="222"/>
      <c r="U127" s="71"/>
      <c r="V127" s="71"/>
      <c r="W127" s="71"/>
      <c r="X127" s="71"/>
      <c r="Y127" s="71"/>
      <c r="Z127" s="71"/>
      <c r="AA127" s="71"/>
    </row>
    <row r="128" spans="1:27" ht="15.75" customHeight="1">
      <c r="A128" s="71"/>
      <c r="B128" s="263"/>
      <c r="C128" s="264"/>
      <c r="D128" s="71"/>
      <c r="E128" s="71"/>
      <c r="F128" s="265"/>
      <c r="G128" s="263"/>
      <c r="H128" s="71"/>
      <c r="I128" s="265"/>
      <c r="J128" s="71"/>
      <c r="K128" s="266"/>
      <c r="L128" s="266"/>
      <c r="M128" s="266"/>
      <c r="N128" s="266"/>
      <c r="O128" s="266"/>
      <c r="P128" s="266"/>
      <c r="Q128" s="267"/>
      <c r="R128" s="71"/>
      <c r="S128" s="71"/>
      <c r="T128" s="222"/>
      <c r="U128" s="71"/>
      <c r="V128" s="71"/>
      <c r="W128" s="71"/>
      <c r="X128" s="71"/>
      <c r="Y128" s="71"/>
      <c r="Z128" s="71"/>
      <c r="AA128" s="71"/>
    </row>
    <row r="129" spans="1:27" ht="15.75" customHeight="1">
      <c r="A129" s="71"/>
      <c r="B129" s="263"/>
      <c r="C129" s="264"/>
      <c r="D129" s="71"/>
      <c r="E129" s="71"/>
      <c r="F129" s="265"/>
      <c r="G129" s="263"/>
      <c r="H129" s="71"/>
      <c r="I129" s="265"/>
      <c r="J129" s="71"/>
      <c r="K129" s="266"/>
      <c r="L129" s="266"/>
      <c r="M129" s="266"/>
      <c r="N129" s="266"/>
      <c r="O129" s="266"/>
      <c r="P129" s="266"/>
      <c r="Q129" s="267"/>
      <c r="R129" s="71"/>
      <c r="S129" s="71"/>
      <c r="T129" s="222"/>
      <c r="U129" s="71"/>
      <c r="V129" s="71"/>
      <c r="W129" s="71"/>
      <c r="X129" s="71"/>
      <c r="Y129" s="71"/>
      <c r="Z129" s="71"/>
      <c r="AA129" s="71"/>
    </row>
    <row r="130" spans="1:27" ht="15.75" customHeight="1">
      <c r="A130" s="71"/>
      <c r="B130" s="263"/>
      <c r="C130" s="264"/>
      <c r="D130" s="71"/>
      <c r="E130" s="71"/>
      <c r="F130" s="265"/>
      <c r="G130" s="263"/>
      <c r="H130" s="71"/>
      <c r="I130" s="265"/>
      <c r="J130" s="71"/>
      <c r="K130" s="266"/>
      <c r="L130" s="266"/>
      <c r="M130" s="266"/>
      <c r="N130" s="266"/>
      <c r="O130" s="266"/>
      <c r="P130" s="266"/>
      <c r="Q130" s="267"/>
      <c r="R130" s="71"/>
      <c r="S130" s="71"/>
      <c r="T130" s="222"/>
      <c r="U130" s="71"/>
      <c r="V130" s="71"/>
      <c r="W130" s="71"/>
      <c r="X130" s="71"/>
      <c r="Y130" s="71"/>
      <c r="Z130" s="71"/>
      <c r="AA130" s="71"/>
    </row>
    <row r="131" spans="1:27" ht="15.75" customHeight="1">
      <c r="A131" s="71"/>
      <c r="B131" s="263"/>
      <c r="C131" s="264"/>
      <c r="D131" s="71"/>
      <c r="E131" s="71"/>
      <c r="F131" s="265"/>
      <c r="G131" s="263"/>
      <c r="H131" s="71"/>
      <c r="I131" s="265"/>
      <c r="J131" s="71"/>
      <c r="K131" s="266"/>
      <c r="L131" s="266"/>
      <c r="M131" s="266"/>
      <c r="N131" s="266"/>
      <c r="O131" s="266"/>
      <c r="P131" s="266"/>
      <c r="Q131" s="267"/>
      <c r="R131" s="71"/>
      <c r="S131" s="71"/>
      <c r="T131" s="222"/>
      <c r="U131" s="71"/>
      <c r="V131" s="71"/>
      <c r="W131" s="71"/>
      <c r="X131" s="71"/>
      <c r="Y131" s="71"/>
      <c r="Z131" s="71"/>
      <c r="AA131" s="71"/>
    </row>
    <row r="132" spans="1:27" ht="15.75" customHeight="1">
      <c r="A132" s="71"/>
      <c r="B132" s="263"/>
      <c r="C132" s="264"/>
      <c r="D132" s="71"/>
      <c r="E132" s="71"/>
      <c r="F132" s="265"/>
      <c r="G132" s="263"/>
      <c r="H132" s="71"/>
      <c r="I132" s="265"/>
      <c r="J132" s="71"/>
      <c r="K132" s="266"/>
      <c r="L132" s="266"/>
      <c r="M132" s="266"/>
      <c r="N132" s="266"/>
      <c r="O132" s="266"/>
      <c r="P132" s="266"/>
      <c r="Q132" s="267"/>
      <c r="R132" s="71"/>
      <c r="S132" s="71"/>
      <c r="T132" s="222"/>
      <c r="U132" s="71"/>
      <c r="V132" s="71"/>
      <c r="W132" s="71"/>
      <c r="X132" s="71"/>
      <c r="Y132" s="71"/>
      <c r="Z132" s="71"/>
      <c r="AA132" s="71"/>
    </row>
    <row r="133" spans="1:27" ht="15.75" customHeight="1">
      <c r="A133" s="71"/>
      <c r="B133" s="263"/>
      <c r="C133" s="264"/>
      <c r="D133" s="71"/>
      <c r="E133" s="71"/>
      <c r="F133" s="265"/>
      <c r="G133" s="263"/>
      <c r="H133" s="71"/>
      <c r="I133" s="265"/>
      <c r="J133" s="71"/>
      <c r="K133" s="266"/>
      <c r="L133" s="266"/>
      <c r="M133" s="266"/>
      <c r="N133" s="266"/>
      <c r="O133" s="266"/>
      <c r="P133" s="266"/>
      <c r="Q133" s="267"/>
      <c r="R133" s="71"/>
      <c r="S133" s="71"/>
      <c r="T133" s="222"/>
      <c r="U133" s="71"/>
      <c r="V133" s="71"/>
      <c r="W133" s="71"/>
      <c r="X133" s="71"/>
      <c r="Y133" s="71"/>
      <c r="Z133" s="71"/>
      <c r="AA133" s="71"/>
    </row>
    <row r="134" spans="1:27" ht="15.75" customHeight="1">
      <c r="A134" s="71"/>
      <c r="B134" s="263"/>
      <c r="C134" s="264"/>
      <c r="D134" s="71"/>
      <c r="E134" s="71"/>
      <c r="F134" s="265"/>
      <c r="G134" s="263"/>
      <c r="H134" s="71"/>
      <c r="I134" s="265"/>
      <c r="J134" s="71"/>
      <c r="K134" s="266"/>
      <c r="L134" s="266"/>
      <c r="M134" s="266"/>
      <c r="N134" s="266"/>
      <c r="O134" s="266"/>
      <c r="P134" s="266"/>
      <c r="Q134" s="267"/>
      <c r="R134" s="71"/>
      <c r="S134" s="71"/>
      <c r="T134" s="222"/>
      <c r="U134" s="71"/>
      <c r="V134" s="71"/>
      <c r="W134" s="71"/>
      <c r="X134" s="71"/>
      <c r="Y134" s="71"/>
      <c r="Z134" s="71"/>
      <c r="AA134" s="71"/>
    </row>
    <row r="135" spans="1:27" ht="15.75" customHeight="1">
      <c r="A135" s="71"/>
      <c r="B135" s="263"/>
      <c r="C135" s="264"/>
      <c r="D135" s="71"/>
      <c r="E135" s="71"/>
      <c r="F135" s="265"/>
      <c r="G135" s="263"/>
      <c r="H135" s="71"/>
      <c r="I135" s="265"/>
      <c r="J135" s="71"/>
      <c r="K135" s="266"/>
      <c r="L135" s="266"/>
      <c r="M135" s="266"/>
      <c r="N135" s="266"/>
      <c r="O135" s="266"/>
      <c r="P135" s="266"/>
      <c r="Q135" s="267"/>
      <c r="R135" s="71"/>
      <c r="S135" s="71"/>
      <c r="T135" s="222"/>
      <c r="U135" s="71"/>
      <c r="V135" s="71"/>
      <c r="W135" s="71"/>
      <c r="X135" s="71"/>
      <c r="Y135" s="71"/>
      <c r="Z135" s="71"/>
      <c r="AA135" s="71"/>
    </row>
    <row r="136" spans="1:27" ht="15.75" customHeight="1">
      <c r="A136" s="71"/>
      <c r="B136" s="263"/>
      <c r="C136" s="264"/>
      <c r="D136" s="71"/>
      <c r="E136" s="71"/>
      <c r="F136" s="265"/>
      <c r="G136" s="263"/>
      <c r="H136" s="71"/>
      <c r="I136" s="265"/>
      <c r="J136" s="71"/>
      <c r="K136" s="266"/>
      <c r="L136" s="266"/>
      <c r="M136" s="266"/>
      <c r="N136" s="266"/>
      <c r="O136" s="266"/>
      <c r="P136" s="266"/>
      <c r="Q136" s="267"/>
      <c r="R136" s="71"/>
      <c r="S136" s="71"/>
      <c r="T136" s="222"/>
      <c r="U136" s="71"/>
      <c r="V136" s="71"/>
      <c r="W136" s="71"/>
      <c r="X136" s="71"/>
      <c r="Y136" s="71"/>
      <c r="Z136" s="71"/>
      <c r="AA136" s="71"/>
    </row>
    <row r="137" spans="1:27" ht="15.75" customHeight="1">
      <c r="A137" s="71"/>
      <c r="B137" s="263"/>
      <c r="C137" s="264"/>
      <c r="D137" s="71"/>
      <c r="E137" s="71"/>
      <c r="F137" s="265"/>
      <c r="G137" s="263"/>
      <c r="H137" s="71"/>
      <c r="I137" s="265"/>
      <c r="J137" s="71"/>
      <c r="K137" s="266"/>
      <c r="L137" s="266"/>
      <c r="M137" s="266"/>
      <c r="N137" s="266"/>
      <c r="O137" s="266"/>
      <c r="P137" s="266"/>
      <c r="Q137" s="267"/>
      <c r="R137" s="71"/>
      <c r="S137" s="71"/>
      <c r="T137" s="222"/>
      <c r="U137" s="71"/>
      <c r="V137" s="71"/>
      <c r="W137" s="71"/>
      <c r="X137" s="71"/>
      <c r="Y137" s="71"/>
      <c r="Z137" s="71"/>
      <c r="AA137" s="71"/>
    </row>
    <row r="138" spans="1:27" ht="15.75" customHeight="1">
      <c r="A138" s="71"/>
      <c r="B138" s="263"/>
      <c r="C138" s="264"/>
      <c r="D138" s="71"/>
      <c r="E138" s="71"/>
      <c r="F138" s="265"/>
      <c r="G138" s="263"/>
      <c r="H138" s="71"/>
      <c r="I138" s="265"/>
      <c r="J138" s="71"/>
      <c r="K138" s="266"/>
      <c r="L138" s="266"/>
      <c r="M138" s="266"/>
      <c r="N138" s="266"/>
      <c r="O138" s="266"/>
      <c r="P138" s="266"/>
      <c r="Q138" s="267"/>
      <c r="R138" s="71"/>
      <c r="S138" s="71"/>
      <c r="T138" s="222"/>
      <c r="U138" s="71"/>
      <c r="V138" s="71"/>
      <c r="W138" s="71"/>
      <c r="X138" s="71"/>
      <c r="Y138" s="71"/>
      <c r="Z138" s="71"/>
      <c r="AA138" s="71"/>
    </row>
    <row r="139" spans="1:27" ht="15.75" customHeight="1">
      <c r="A139" s="71"/>
      <c r="B139" s="263"/>
      <c r="C139" s="264"/>
      <c r="D139" s="71"/>
      <c r="E139" s="71"/>
      <c r="F139" s="265"/>
      <c r="G139" s="263"/>
      <c r="H139" s="71"/>
      <c r="I139" s="265"/>
      <c r="J139" s="71"/>
      <c r="K139" s="266"/>
      <c r="L139" s="266"/>
      <c r="M139" s="266"/>
      <c r="N139" s="266"/>
      <c r="O139" s="266"/>
      <c r="P139" s="266"/>
      <c r="Q139" s="267"/>
      <c r="R139" s="71"/>
      <c r="S139" s="71"/>
      <c r="T139" s="222"/>
      <c r="U139" s="71"/>
      <c r="V139" s="71"/>
      <c r="W139" s="71"/>
      <c r="X139" s="71"/>
      <c r="Y139" s="71"/>
      <c r="Z139" s="71"/>
      <c r="AA139" s="71"/>
    </row>
    <row r="140" spans="1:27" ht="15.75" customHeight="1">
      <c r="A140" s="71"/>
      <c r="B140" s="263"/>
      <c r="C140" s="264"/>
      <c r="D140" s="71"/>
      <c r="E140" s="71"/>
      <c r="F140" s="265"/>
      <c r="G140" s="263"/>
      <c r="H140" s="71"/>
      <c r="I140" s="265"/>
      <c r="J140" s="71"/>
      <c r="K140" s="266"/>
      <c r="L140" s="266"/>
      <c r="M140" s="266"/>
      <c r="N140" s="266"/>
      <c r="O140" s="266"/>
      <c r="P140" s="266"/>
      <c r="Q140" s="267"/>
      <c r="R140" s="71"/>
      <c r="S140" s="71"/>
      <c r="T140" s="222"/>
      <c r="U140" s="71"/>
      <c r="V140" s="71"/>
      <c r="W140" s="71"/>
      <c r="X140" s="71"/>
      <c r="Y140" s="71"/>
      <c r="Z140" s="71"/>
      <c r="AA140" s="71"/>
    </row>
    <row r="141" spans="1:27" ht="15.75" customHeight="1">
      <c r="A141" s="71"/>
      <c r="B141" s="263"/>
      <c r="C141" s="264"/>
      <c r="D141" s="71"/>
      <c r="E141" s="71"/>
      <c r="F141" s="265"/>
      <c r="G141" s="263"/>
      <c r="H141" s="71"/>
      <c r="I141" s="265"/>
      <c r="J141" s="71"/>
      <c r="K141" s="266"/>
      <c r="L141" s="266"/>
      <c r="M141" s="266"/>
      <c r="N141" s="266"/>
      <c r="O141" s="266"/>
      <c r="P141" s="266"/>
      <c r="Q141" s="267"/>
      <c r="R141" s="71"/>
      <c r="S141" s="71"/>
      <c r="T141" s="222"/>
      <c r="U141" s="71"/>
      <c r="V141" s="71"/>
      <c r="W141" s="71"/>
      <c r="X141" s="71"/>
      <c r="Y141" s="71"/>
      <c r="Z141" s="71"/>
      <c r="AA141" s="71"/>
    </row>
    <row r="142" spans="1:27" ht="15.75" customHeight="1">
      <c r="A142" s="71"/>
      <c r="B142" s="263"/>
      <c r="C142" s="264"/>
      <c r="D142" s="71"/>
      <c r="E142" s="71"/>
      <c r="F142" s="265"/>
      <c r="G142" s="263"/>
      <c r="H142" s="71"/>
      <c r="I142" s="265"/>
      <c r="J142" s="71"/>
      <c r="K142" s="266"/>
      <c r="L142" s="266"/>
      <c r="M142" s="266"/>
      <c r="N142" s="266"/>
      <c r="O142" s="266"/>
      <c r="P142" s="266"/>
      <c r="Q142" s="267"/>
      <c r="R142" s="71"/>
      <c r="S142" s="71"/>
      <c r="T142" s="222"/>
      <c r="U142" s="71"/>
      <c r="V142" s="71"/>
      <c r="W142" s="71"/>
      <c r="X142" s="71"/>
      <c r="Y142" s="71"/>
      <c r="Z142" s="71"/>
      <c r="AA142" s="71"/>
    </row>
    <row r="143" spans="1:27" ht="15.75" customHeight="1">
      <c r="A143" s="71"/>
      <c r="B143" s="263"/>
      <c r="C143" s="264"/>
      <c r="D143" s="71"/>
      <c r="E143" s="71"/>
      <c r="F143" s="265"/>
      <c r="G143" s="263"/>
      <c r="H143" s="71"/>
      <c r="I143" s="265"/>
      <c r="J143" s="71"/>
      <c r="K143" s="266"/>
      <c r="L143" s="266"/>
      <c r="M143" s="266"/>
      <c r="N143" s="266"/>
      <c r="O143" s="266"/>
      <c r="P143" s="266"/>
      <c r="Q143" s="267"/>
      <c r="R143" s="71"/>
      <c r="S143" s="71"/>
      <c r="T143" s="222"/>
      <c r="U143" s="71"/>
      <c r="V143" s="71"/>
      <c r="W143" s="71"/>
      <c r="X143" s="71"/>
      <c r="Y143" s="71"/>
      <c r="Z143" s="71"/>
      <c r="AA143" s="71"/>
    </row>
    <row r="144" spans="1:27" ht="15.75" customHeight="1">
      <c r="A144" s="71"/>
      <c r="B144" s="263"/>
      <c r="C144" s="264"/>
      <c r="D144" s="71"/>
      <c r="E144" s="71"/>
      <c r="F144" s="265"/>
      <c r="G144" s="263"/>
      <c r="H144" s="71"/>
      <c r="I144" s="265"/>
      <c r="J144" s="71"/>
      <c r="K144" s="266"/>
      <c r="L144" s="266"/>
      <c r="M144" s="266"/>
      <c r="N144" s="266"/>
      <c r="O144" s="266"/>
      <c r="P144" s="266"/>
      <c r="Q144" s="267"/>
      <c r="R144" s="71"/>
      <c r="S144" s="71"/>
      <c r="T144" s="222"/>
      <c r="U144" s="71"/>
      <c r="V144" s="71"/>
      <c r="W144" s="71"/>
      <c r="X144" s="71"/>
      <c r="Y144" s="71"/>
      <c r="Z144" s="71"/>
      <c r="AA144" s="71"/>
    </row>
    <row r="145" spans="1:27" ht="15.75" customHeight="1">
      <c r="A145" s="71"/>
      <c r="B145" s="263"/>
      <c r="C145" s="264"/>
      <c r="D145" s="71"/>
      <c r="E145" s="71"/>
      <c r="F145" s="265"/>
      <c r="G145" s="263"/>
      <c r="H145" s="71"/>
      <c r="I145" s="265"/>
      <c r="J145" s="71"/>
      <c r="K145" s="266"/>
      <c r="L145" s="266"/>
      <c r="M145" s="266"/>
      <c r="N145" s="266"/>
      <c r="O145" s="266"/>
      <c r="P145" s="266"/>
      <c r="Q145" s="267"/>
      <c r="R145" s="71"/>
      <c r="S145" s="71"/>
      <c r="T145" s="222"/>
      <c r="U145" s="71"/>
      <c r="V145" s="71"/>
      <c r="W145" s="71"/>
      <c r="X145" s="71"/>
      <c r="Y145" s="71"/>
      <c r="Z145" s="71"/>
      <c r="AA145" s="71"/>
    </row>
    <row r="146" spans="1:27" ht="15.75" customHeight="1">
      <c r="A146" s="71"/>
      <c r="B146" s="263"/>
      <c r="C146" s="264"/>
      <c r="D146" s="71"/>
      <c r="E146" s="71"/>
      <c r="F146" s="265"/>
      <c r="G146" s="263"/>
      <c r="H146" s="71"/>
      <c r="I146" s="265"/>
      <c r="J146" s="71"/>
      <c r="K146" s="266"/>
      <c r="L146" s="266"/>
      <c r="M146" s="266"/>
      <c r="N146" s="266"/>
      <c r="O146" s="266"/>
      <c r="P146" s="266"/>
      <c r="Q146" s="267"/>
      <c r="R146" s="71"/>
      <c r="S146" s="71"/>
      <c r="T146" s="222"/>
      <c r="U146" s="71"/>
      <c r="V146" s="71"/>
      <c r="W146" s="71"/>
      <c r="X146" s="71"/>
      <c r="Y146" s="71"/>
      <c r="Z146" s="71"/>
      <c r="AA146" s="71"/>
    </row>
    <row r="147" spans="1:27" ht="15.75" customHeight="1">
      <c r="A147" s="71"/>
      <c r="B147" s="263"/>
      <c r="C147" s="264"/>
      <c r="D147" s="71"/>
      <c r="E147" s="71"/>
      <c r="F147" s="265"/>
      <c r="G147" s="263"/>
      <c r="H147" s="71"/>
      <c r="I147" s="265"/>
      <c r="J147" s="71"/>
      <c r="K147" s="266"/>
      <c r="L147" s="266"/>
      <c r="M147" s="266"/>
      <c r="N147" s="266"/>
      <c r="O147" s="266"/>
      <c r="P147" s="266"/>
      <c r="Q147" s="267"/>
      <c r="R147" s="71"/>
      <c r="S147" s="71"/>
      <c r="T147" s="222"/>
      <c r="U147" s="71"/>
      <c r="V147" s="71"/>
      <c r="W147" s="71"/>
      <c r="X147" s="71"/>
      <c r="Y147" s="71"/>
      <c r="Z147" s="71"/>
      <c r="AA147" s="71"/>
    </row>
    <row r="148" spans="1:27" ht="15.75" customHeight="1">
      <c r="A148" s="71"/>
      <c r="B148" s="263"/>
      <c r="C148" s="264"/>
      <c r="D148" s="71"/>
      <c r="E148" s="71"/>
      <c r="F148" s="265"/>
      <c r="G148" s="263"/>
      <c r="H148" s="71"/>
      <c r="I148" s="265"/>
      <c r="J148" s="71"/>
      <c r="K148" s="266"/>
      <c r="L148" s="266"/>
      <c r="M148" s="266"/>
      <c r="N148" s="266"/>
      <c r="O148" s="266"/>
      <c r="P148" s="266"/>
      <c r="Q148" s="267"/>
      <c r="R148" s="71"/>
      <c r="S148" s="71"/>
      <c r="T148" s="222"/>
      <c r="U148" s="71"/>
      <c r="V148" s="71"/>
      <c r="W148" s="71"/>
      <c r="X148" s="71"/>
      <c r="Y148" s="71"/>
      <c r="Z148" s="71"/>
      <c r="AA148" s="71"/>
    </row>
    <row r="149" spans="1:27" ht="15.75" customHeight="1">
      <c r="A149" s="71"/>
      <c r="B149" s="263"/>
      <c r="C149" s="264"/>
      <c r="D149" s="71"/>
      <c r="E149" s="71"/>
      <c r="F149" s="265"/>
      <c r="G149" s="263"/>
      <c r="H149" s="71"/>
      <c r="I149" s="265"/>
      <c r="J149" s="71"/>
      <c r="K149" s="266"/>
      <c r="L149" s="266"/>
      <c r="M149" s="266"/>
      <c r="N149" s="266"/>
      <c r="O149" s="266"/>
      <c r="P149" s="266"/>
      <c r="Q149" s="267"/>
      <c r="R149" s="71"/>
      <c r="S149" s="71"/>
      <c r="T149" s="222"/>
      <c r="U149" s="71"/>
      <c r="V149" s="71"/>
      <c r="W149" s="71"/>
      <c r="X149" s="71"/>
      <c r="Y149" s="71"/>
      <c r="Z149" s="71"/>
      <c r="AA149" s="71"/>
    </row>
    <row r="150" spans="1:27" ht="15.75" customHeight="1">
      <c r="A150" s="71"/>
      <c r="B150" s="263"/>
      <c r="C150" s="264"/>
      <c r="D150" s="71"/>
      <c r="E150" s="71"/>
      <c r="F150" s="265"/>
      <c r="G150" s="263"/>
      <c r="H150" s="71"/>
      <c r="I150" s="265"/>
      <c r="J150" s="71"/>
      <c r="K150" s="266"/>
      <c r="L150" s="266"/>
      <c r="M150" s="266"/>
      <c r="N150" s="266"/>
      <c r="O150" s="266"/>
      <c r="P150" s="266"/>
      <c r="Q150" s="267"/>
      <c r="R150" s="71"/>
      <c r="S150" s="71"/>
      <c r="T150" s="222"/>
      <c r="U150" s="71"/>
      <c r="V150" s="71"/>
      <c r="W150" s="71"/>
      <c r="X150" s="71"/>
      <c r="Y150" s="71"/>
      <c r="Z150" s="71"/>
      <c r="AA150" s="71"/>
    </row>
    <row r="151" spans="1:27" ht="15.75" customHeight="1">
      <c r="A151" s="71"/>
      <c r="B151" s="263"/>
      <c r="C151" s="264"/>
      <c r="D151" s="71"/>
      <c r="E151" s="71"/>
      <c r="F151" s="265"/>
      <c r="G151" s="263"/>
      <c r="H151" s="71"/>
      <c r="I151" s="265"/>
      <c r="J151" s="71"/>
      <c r="K151" s="266"/>
      <c r="L151" s="266"/>
      <c r="M151" s="266"/>
      <c r="N151" s="266"/>
      <c r="O151" s="266"/>
      <c r="P151" s="266"/>
      <c r="Q151" s="267"/>
      <c r="R151" s="71"/>
      <c r="S151" s="71"/>
      <c r="T151" s="222"/>
      <c r="U151" s="71"/>
      <c r="V151" s="71"/>
      <c r="W151" s="71"/>
      <c r="X151" s="71"/>
      <c r="Y151" s="71"/>
      <c r="Z151" s="71"/>
      <c r="AA151" s="71"/>
    </row>
    <row r="152" spans="1:27" ht="15.75" customHeight="1">
      <c r="A152" s="71"/>
      <c r="B152" s="263"/>
      <c r="C152" s="264"/>
      <c r="D152" s="71"/>
      <c r="E152" s="71"/>
      <c r="F152" s="265"/>
      <c r="G152" s="263"/>
      <c r="H152" s="71"/>
      <c r="I152" s="265"/>
      <c r="J152" s="71"/>
      <c r="K152" s="266"/>
      <c r="L152" s="266"/>
      <c r="M152" s="266"/>
      <c r="N152" s="266"/>
      <c r="O152" s="266"/>
      <c r="P152" s="266"/>
      <c r="Q152" s="267"/>
      <c r="R152" s="71"/>
      <c r="S152" s="71"/>
      <c r="T152" s="222"/>
      <c r="U152" s="71"/>
      <c r="V152" s="71"/>
      <c r="W152" s="71"/>
      <c r="X152" s="71"/>
      <c r="Y152" s="71"/>
      <c r="Z152" s="71"/>
      <c r="AA152" s="71"/>
    </row>
    <row r="153" spans="1:27" ht="15.75" customHeight="1">
      <c r="A153" s="71"/>
      <c r="B153" s="263"/>
      <c r="C153" s="264"/>
      <c r="D153" s="71"/>
      <c r="E153" s="71"/>
      <c r="F153" s="265"/>
      <c r="G153" s="263"/>
      <c r="H153" s="71"/>
      <c r="I153" s="265"/>
      <c r="J153" s="71"/>
      <c r="K153" s="266"/>
      <c r="L153" s="266"/>
      <c r="M153" s="266"/>
      <c r="N153" s="266"/>
      <c r="O153" s="266"/>
      <c r="P153" s="266"/>
      <c r="Q153" s="267"/>
      <c r="R153" s="71"/>
      <c r="S153" s="71"/>
      <c r="T153" s="222"/>
      <c r="U153" s="71"/>
      <c r="V153" s="71"/>
      <c r="W153" s="71"/>
      <c r="X153" s="71"/>
      <c r="Y153" s="71"/>
      <c r="Z153" s="71"/>
      <c r="AA153" s="71"/>
    </row>
    <row r="154" spans="1:27" ht="15.75" customHeight="1">
      <c r="A154" s="71"/>
      <c r="B154" s="263"/>
      <c r="C154" s="264"/>
      <c r="D154" s="71"/>
      <c r="E154" s="71"/>
      <c r="F154" s="265"/>
      <c r="G154" s="263"/>
      <c r="H154" s="71"/>
      <c r="I154" s="265"/>
      <c r="J154" s="71"/>
      <c r="K154" s="266"/>
      <c r="L154" s="266"/>
      <c r="M154" s="266"/>
      <c r="N154" s="266"/>
      <c r="O154" s="266"/>
      <c r="P154" s="266"/>
      <c r="Q154" s="267"/>
      <c r="R154" s="71"/>
      <c r="S154" s="71"/>
      <c r="T154" s="222"/>
      <c r="U154" s="71"/>
      <c r="V154" s="71"/>
      <c r="W154" s="71"/>
      <c r="X154" s="71"/>
      <c r="Y154" s="71"/>
      <c r="Z154" s="71"/>
      <c r="AA154" s="71"/>
    </row>
    <row r="155" spans="1:27" ht="15.75" customHeight="1">
      <c r="A155" s="71"/>
      <c r="B155" s="263"/>
      <c r="C155" s="264"/>
      <c r="D155" s="71"/>
      <c r="E155" s="71"/>
      <c r="F155" s="265"/>
      <c r="G155" s="263"/>
      <c r="H155" s="71"/>
      <c r="I155" s="265"/>
      <c r="J155" s="71"/>
      <c r="K155" s="266"/>
      <c r="L155" s="266"/>
      <c r="M155" s="266"/>
      <c r="N155" s="266"/>
      <c r="O155" s="266"/>
      <c r="P155" s="266"/>
      <c r="Q155" s="267"/>
      <c r="R155" s="71"/>
      <c r="S155" s="71"/>
      <c r="T155" s="222"/>
      <c r="U155" s="71"/>
      <c r="V155" s="71"/>
      <c r="W155" s="71"/>
      <c r="X155" s="71"/>
      <c r="Y155" s="71"/>
      <c r="Z155" s="71"/>
      <c r="AA155" s="71"/>
    </row>
    <row r="156" spans="1:27" ht="15.75" customHeight="1">
      <c r="A156" s="71"/>
      <c r="B156" s="263"/>
      <c r="C156" s="264"/>
      <c r="D156" s="71"/>
      <c r="E156" s="71"/>
      <c r="F156" s="265"/>
      <c r="G156" s="263"/>
      <c r="H156" s="71"/>
      <c r="I156" s="265"/>
      <c r="J156" s="71"/>
      <c r="K156" s="266"/>
      <c r="L156" s="266"/>
      <c r="M156" s="266"/>
      <c r="N156" s="266"/>
      <c r="O156" s="266"/>
      <c r="P156" s="266"/>
      <c r="Q156" s="267"/>
      <c r="R156" s="71"/>
      <c r="S156" s="71"/>
      <c r="T156" s="222"/>
      <c r="U156" s="71"/>
      <c r="V156" s="71"/>
      <c r="W156" s="71"/>
      <c r="X156" s="71"/>
      <c r="Y156" s="71"/>
      <c r="Z156" s="71"/>
      <c r="AA156" s="71"/>
    </row>
    <row r="157" spans="1:27" ht="15.75" customHeight="1">
      <c r="A157" s="71"/>
      <c r="B157" s="263"/>
      <c r="C157" s="264"/>
      <c r="D157" s="71"/>
      <c r="E157" s="71"/>
      <c r="F157" s="265"/>
      <c r="G157" s="263"/>
      <c r="H157" s="71"/>
      <c r="I157" s="265"/>
      <c r="J157" s="71"/>
      <c r="K157" s="266"/>
      <c r="L157" s="266"/>
      <c r="M157" s="266"/>
      <c r="N157" s="266"/>
      <c r="O157" s="266"/>
      <c r="P157" s="266"/>
      <c r="Q157" s="267"/>
      <c r="R157" s="71"/>
      <c r="S157" s="71"/>
      <c r="T157" s="222"/>
      <c r="U157" s="71"/>
      <c r="V157" s="71"/>
      <c r="W157" s="71"/>
      <c r="X157" s="71"/>
      <c r="Y157" s="71"/>
      <c r="Z157" s="71"/>
      <c r="AA157" s="71"/>
    </row>
    <row r="158" spans="1:27" ht="15.75" customHeight="1">
      <c r="A158" s="71"/>
      <c r="B158" s="263"/>
      <c r="C158" s="264"/>
      <c r="D158" s="71"/>
      <c r="E158" s="71"/>
      <c r="F158" s="265"/>
      <c r="G158" s="263"/>
      <c r="H158" s="71"/>
      <c r="I158" s="265"/>
      <c r="J158" s="71"/>
      <c r="K158" s="266"/>
      <c r="L158" s="266"/>
      <c r="M158" s="266"/>
      <c r="N158" s="266"/>
      <c r="O158" s="266"/>
      <c r="P158" s="266"/>
      <c r="Q158" s="267"/>
      <c r="R158" s="71"/>
      <c r="S158" s="71"/>
      <c r="T158" s="222"/>
      <c r="U158" s="71"/>
      <c r="V158" s="71"/>
      <c r="W158" s="71"/>
      <c r="X158" s="71"/>
      <c r="Y158" s="71"/>
      <c r="Z158" s="71"/>
      <c r="AA158" s="71"/>
    </row>
    <row r="159" spans="1:27" ht="15.75" customHeight="1">
      <c r="A159" s="71"/>
      <c r="B159" s="263"/>
      <c r="C159" s="264"/>
      <c r="D159" s="71"/>
      <c r="E159" s="71"/>
      <c r="F159" s="265"/>
      <c r="G159" s="263"/>
      <c r="H159" s="71"/>
      <c r="I159" s="265"/>
      <c r="J159" s="71"/>
      <c r="K159" s="266"/>
      <c r="L159" s="266"/>
      <c r="M159" s="266"/>
      <c r="N159" s="266"/>
      <c r="O159" s="266"/>
      <c r="P159" s="266"/>
      <c r="Q159" s="267"/>
      <c r="R159" s="71"/>
      <c r="S159" s="71"/>
      <c r="T159" s="222"/>
      <c r="U159" s="71"/>
      <c r="V159" s="71"/>
      <c r="W159" s="71"/>
      <c r="X159" s="71"/>
      <c r="Y159" s="71"/>
      <c r="Z159" s="71"/>
      <c r="AA159" s="71"/>
    </row>
    <row r="160" spans="1:27" ht="15.75" customHeight="1">
      <c r="A160" s="71"/>
      <c r="B160" s="263"/>
      <c r="C160" s="264"/>
      <c r="D160" s="71"/>
      <c r="E160" s="71"/>
      <c r="F160" s="265"/>
      <c r="G160" s="263"/>
      <c r="H160" s="71"/>
      <c r="I160" s="265"/>
      <c r="J160" s="71"/>
      <c r="K160" s="266"/>
      <c r="L160" s="266"/>
      <c r="M160" s="266"/>
      <c r="N160" s="266"/>
      <c r="O160" s="266"/>
      <c r="P160" s="266"/>
      <c r="Q160" s="267"/>
      <c r="R160" s="71"/>
      <c r="S160" s="71"/>
      <c r="T160" s="222"/>
      <c r="U160" s="71"/>
      <c r="V160" s="71"/>
      <c r="W160" s="71"/>
      <c r="X160" s="71"/>
      <c r="Y160" s="71"/>
      <c r="Z160" s="71"/>
      <c r="AA160" s="71"/>
    </row>
    <row r="161" spans="1:27" ht="15.75" customHeight="1">
      <c r="A161" s="71"/>
      <c r="B161" s="263"/>
      <c r="C161" s="264"/>
      <c r="D161" s="71"/>
      <c r="E161" s="71"/>
      <c r="F161" s="265"/>
      <c r="G161" s="263"/>
      <c r="H161" s="71"/>
      <c r="I161" s="265"/>
      <c r="J161" s="71"/>
      <c r="K161" s="266"/>
      <c r="L161" s="266"/>
      <c r="M161" s="266"/>
      <c r="N161" s="266"/>
      <c r="O161" s="266"/>
      <c r="P161" s="266"/>
      <c r="Q161" s="267"/>
      <c r="R161" s="71"/>
      <c r="S161" s="71"/>
      <c r="T161" s="222"/>
      <c r="U161" s="71"/>
      <c r="V161" s="71"/>
      <c r="W161" s="71"/>
      <c r="X161" s="71"/>
      <c r="Y161" s="71"/>
      <c r="Z161" s="71"/>
      <c r="AA161" s="71"/>
    </row>
    <row r="162" spans="1:27" ht="15.75" customHeight="1">
      <c r="A162" s="71"/>
      <c r="B162" s="263"/>
      <c r="C162" s="264"/>
      <c r="D162" s="71"/>
      <c r="E162" s="71"/>
      <c r="F162" s="265"/>
      <c r="G162" s="263"/>
      <c r="H162" s="71"/>
      <c r="I162" s="265"/>
      <c r="J162" s="71"/>
      <c r="K162" s="266"/>
      <c r="L162" s="266"/>
      <c r="M162" s="266"/>
      <c r="N162" s="266"/>
      <c r="O162" s="266"/>
      <c r="P162" s="266"/>
      <c r="Q162" s="267"/>
      <c r="R162" s="71"/>
      <c r="S162" s="71"/>
      <c r="T162" s="222"/>
      <c r="U162" s="71"/>
      <c r="V162" s="71"/>
      <c r="W162" s="71"/>
      <c r="X162" s="71"/>
      <c r="Y162" s="71"/>
      <c r="Z162" s="71"/>
      <c r="AA162" s="71"/>
    </row>
    <row r="163" spans="1:27" ht="15.75" customHeight="1">
      <c r="A163" s="71"/>
      <c r="B163" s="263"/>
      <c r="C163" s="264"/>
      <c r="D163" s="71"/>
      <c r="E163" s="71"/>
      <c r="F163" s="265"/>
      <c r="G163" s="263"/>
      <c r="H163" s="71"/>
      <c r="I163" s="265"/>
      <c r="J163" s="71"/>
      <c r="K163" s="266"/>
      <c r="L163" s="266"/>
      <c r="M163" s="266"/>
      <c r="N163" s="266"/>
      <c r="O163" s="266"/>
      <c r="P163" s="266"/>
      <c r="Q163" s="267"/>
      <c r="R163" s="71"/>
      <c r="S163" s="71"/>
      <c r="T163" s="222"/>
      <c r="U163" s="71"/>
      <c r="V163" s="71"/>
      <c r="W163" s="71"/>
      <c r="X163" s="71"/>
      <c r="Y163" s="71"/>
      <c r="Z163" s="71"/>
      <c r="AA163" s="71"/>
    </row>
    <row r="164" spans="1:27" ht="15.75" customHeight="1">
      <c r="A164" s="71"/>
      <c r="B164" s="263"/>
      <c r="C164" s="264"/>
      <c r="D164" s="71"/>
      <c r="E164" s="71"/>
      <c r="F164" s="265"/>
      <c r="G164" s="263"/>
      <c r="H164" s="71"/>
      <c r="I164" s="265"/>
      <c r="J164" s="71"/>
      <c r="K164" s="266"/>
      <c r="L164" s="266"/>
      <c r="M164" s="266"/>
      <c r="N164" s="266"/>
      <c r="O164" s="266"/>
      <c r="P164" s="266"/>
      <c r="Q164" s="267"/>
      <c r="R164" s="71"/>
      <c r="S164" s="71"/>
      <c r="T164" s="222"/>
      <c r="U164" s="71"/>
      <c r="V164" s="71"/>
      <c r="W164" s="71"/>
      <c r="X164" s="71"/>
      <c r="Y164" s="71"/>
      <c r="Z164" s="71"/>
      <c r="AA164" s="71"/>
    </row>
    <row r="165" spans="1:27" ht="15.75" customHeight="1">
      <c r="A165" s="71"/>
      <c r="B165" s="263"/>
      <c r="C165" s="264"/>
      <c r="D165" s="71"/>
      <c r="E165" s="71"/>
      <c r="F165" s="265"/>
      <c r="G165" s="263"/>
      <c r="H165" s="71"/>
      <c r="I165" s="265"/>
      <c r="J165" s="71"/>
      <c r="K165" s="266"/>
      <c r="L165" s="266"/>
      <c r="M165" s="266"/>
      <c r="N165" s="266"/>
      <c r="O165" s="266"/>
      <c r="P165" s="266"/>
      <c r="Q165" s="267"/>
      <c r="R165" s="71"/>
      <c r="S165" s="71"/>
      <c r="T165" s="222"/>
      <c r="U165" s="71"/>
      <c r="V165" s="71"/>
      <c r="W165" s="71"/>
      <c r="X165" s="71"/>
      <c r="Y165" s="71"/>
      <c r="Z165" s="71"/>
      <c r="AA165" s="71"/>
    </row>
    <row r="166" spans="1:27" ht="15.75" customHeight="1">
      <c r="A166" s="71"/>
      <c r="B166" s="263"/>
      <c r="C166" s="264"/>
      <c r="D166" s="71"/>
      <c r="E166" s="71"/>
      <c r="F166" s="265"/>
      <c r="G166" s="263"/>
      <c r="H166" s="71"/>
      <c r="I166" s="265"/>
      <c r="J166" s="71"/>
      <c r="K166" s="266"/>
      <c r="L166" s="266"/>
      <c r="M166" s="266"/>
      <c r="N166" s="266"/>
      <c r="O166" s="266"/>
      <c r="P166" s="266"/>
      <c r="Q166" s="267"/>
      <c r="R166" s="71"/>
      <c r="S166" s="71"/>
      <c r="T166" s="222"/>
      <c r="U166" s="71"/>
      <c r="V166" s="71"/>
      <c r="W166" s="71"/>
      <c r="X166" s="71"/>
      <c r="Y166" s="71"/>
      <c r="Z166" s="71"/>
      <c r="AA166" s="71"/>
    </row>
    <row r="167" spans="1:27" ht="15.75" customHeight="1">
      <c r="A167" s="71"/>
      <c r="B167" s="263"/>
      <c r="C167" s="264"/>
      <c r="D167" s="71"/>
      <c r="E167" s="71"/>
      <c r="F167" s="265"/>
      <c r="G167" s="263"/>
      <c r="H167" s="71"/>
      <c r="I167" s="265"/>
      <c r="J167" s="71"/>
      <c r="K167" s="266"/>
      <c r="L167" s="266"/>
      <c r="M167" s="266"/>
      <c r="N167" s="266"/>
      <c r="O167" s="266"/>
      <c r="P167" s="266"/>
      <c r="Q167" s="267"/>
      <c r="R167" s="71"/>
      <c r="S167" s="71"/>
      <c r="T167" s="222"/>
      <c r="U167" s="71"/>
      <c r="V167" s="71"/>
      <c r="W167" s="71"/>
      <c r="X167" s="71"/>
      <c r="Y167" s="71"/>
      <c r="Z167" s="71"/>
      <c r="AA167" s="71"/>
    </row>
    <row r="168" spans="1:27" ht="15.75" customHeight="1">
      <c r="A168" s="71"/>
      <c r="B168" s="263"/>
      <c r="C168" s="264"/>
      <c r="D168" s="71"/>
      <c r="E168" s="71"/>
      <c r="F168" s="265"/>
      <c r="G168" s="263"/>
      <c r="H168" s="71"/>
      <c r="I168" s="265"/>
      <c r="J168" s="71"/>
      <c r="K168" s="266"/>
      <c r="L168" s="266"/>
      <c r="M168" s="266"/>
      <c r="N168" s="266"/>
      <c r="O168" s="266"/>
      <c r="P168" s="266"/>
      <c r="Q168" s="267"/>
      <c r="R168" s="71"/>
      <c r="S168" s="71"/>
      <c r="T168" s="222"/>
      <c r="U168" s="71"/>
      <c r="V168" s="71"/>
      <c r="W168" s="71"/>
      <c r="X168" s="71"/>
      <c r="Y168" s="71"/>
      <c r="Z168" s="71"/>
      <c r="AA168" s="71"/>
    </row>
    <row r="169" spans="1:27" ht="15.75" customHeight="1">
      <c r="A169" s="71"/>
      <c r="B169" s="263"/>
      <c r="C169" s="264"/>
      <c r="D169" s="71"/>
      <c r="E169" s="71"/>
      <c r="F169" s="265"/>
      <c r="G169" s="263"/>
      <c r="H169" s="71"/>
      <c r="I169" s="265"/>
      <c r="J169" s="71"/>
      <c r="K169" s="266"/>
      <c r="L169" s="266"/>
      <c r="M169" s="266"/>
      <c r="N169" s="266"/>
      <c r="O169" s="266"/>
      <c r="P169" s="266"/>
      <c r="Q169" s="267"/>
      <c r="R169" s="71"/>
      <c r="S169" s="71"/>
      <c r="T169" s="222"/>
      <c r="U169" s="71"/>
      <c r="V169" s="71"/>
      <c r="W169" s="71"/>
      <c r="X169" s="71"/>
      <c r="Y169" s="71"/>
      <c r="Z169" s="71"/>
      <c r="AA169" s="71"/>
    </row>
    <row r="170" spans="1:27" ht="15.75" customHeight="1">
      <c r="A170" s="71"/>
      <c r="B170" s="263"/>
      <c r="C170" s="264"/>
      <c r="D170" s="71"/>
      <c r="E170" s="71"/>
      <c r="F170" s="265"/>
      <c r="G170" s="263"/>
      <c r="H170" s="71"/>
      <c r="I170" s="265"/>
      <c r="J170" s="71"/>
      <c r="K170" s="266"/>
      <c r="L170" s="266"/>
      <c r="M170" s="266"/>
      <c r="N170" s="266"/>
      <c r="O170" s="266"/>
      <c r="P170" s="266"/>
      <c r="Q170" s="267"/>
      <c r="R170" s="71"/>
      <c r="S170" s="71"/>
      <c r="T170" s="222"/>
      <c r="U170" s="71"/>
      <c r="V170" s="71"/>
      <c r="W170" s="71"/>
      <c r="X170" s="71"/>
      <c r="Y170" s="71"/>
      <c r="Z170" s="71"/>
      <c r="AA170" s="71"/>
    </row>
    <row r="171" spans="1:27" ht="15.75" customHeight="1">
      <c r="A171" s="71"/>
      <c r="B171" s="263"/>
      <c r="C171" s="264"/>
      <c r="D171" s="71"/>
      <c r="E171" s="71"/>
      <c r="F171" s="265"/>
      <c r="G171" s="263"/>
      <c r="H171" s="71"/>
      <c r="I171" s="265"/>
      <c r="J171" s="71"/>
      <c r="K171" s="266"/>
      <c r="L171" s="266"/>
      <c r="M171" s="266"/>
      <c r="N171" s="266"/>
      <c r="O171" s="266"/>
      <c r="P171" s="266"/>
      <c r="Q171" s="267"/>
      <c r="R171" s="71"/>
      <c r="S171" s="71"/>
      <c r="T171" s="222"/>
      <c r="U171" s="71"/>
      <c r="V171" s="71"/>
      <c r="W171" s="71"/>
      <c r="X171" s="71"/>
      <c r="Y171" s="71"/>
      <c r="Z171" s="71"/>
      <c r="AA171" s="71"/>
    </row>
    <row r="172" spans="1:27" ht="15.75" customHeight="1">
      <c r="A172" s="71"/>
      <c r="B172" s="263"/>
      <c r="C172" s="264"/>
      <c r="D172" s="71"/>
      <c r="E172" s="71"/>
      <c r="F172" s="265"/>
      <c r="G172" s="263"/>
      <c r="H172" s="71"/>
      <c r="I172" s="265"/>
      <c r="J172" s="71"/>
      <c r="K172" s="266"/>
      <c r="L172" s="266"/>
      <c r="M172" s="266"/>
      <c r="N172" s="266"/>
      <c r="O172" s="266"/>
      <c r="P172" s="266"/>
      <c r="Q172" s="267"/>
      <c r="R172" s="71"/>
      <c r="S172" s="71"/>
      <c r="T172" s="222"/>
      <c r="U172" s="71"/>
      <c r="V172" s="71"/>
      <c r="W172" s="71"/>
      <c r="X172" s="71"/>
      <c r="Y172" s="71"/>
      <c r="Z172" s="71"/>
      <c r="AA172" s="71"/>
    </row>
    <row r="173" spans="1:27" ht="15.75" customHeight="1">
      <c r="A173" s="71"/>
      <c r="B173" s="263"/>
      <c r="C173" s="264"/>
      <c r="D173" s="71"/>
      <c r="E173" s="71"/>
      <c r="F173" s="265"/>
      <c r="G173" s="263"/>
      <c r="H173" s="71"/>
      <c r="I173" s="265"/>
      <c r="J173" s="71"/>
      <c r="K173" s="266"/>
      <c r="L173" s="266"/>
      <c r="M173" s="266"/>
      <c r="N173" s="266"/>
      <c r="O173" s="266"/>
      <c r="P173" s="266"/>
      <c r="Q173" s="267"/>
      <c r="R173" s="71"/>
      <c r="S173" s="71"/>
      <c r="T173" s="222"/>
      <c r="U173" s="71"/>
      <c r="V173" s="71"/>
      <c r="W173" s="71"/>
      <c r="X173" s="71"/>
      <c r="Y173" s="71"/>
      <c r="Z173" s="71"/>
      <c r="AA173" s="71"/>
    </row>
    <row r="174" spans="1:27" ht="15.75" customHeight="1">
      <c r="A174" s="71"/>
      <c r="B174" s="263"/>
      <c r="C174" s="264"/>
      <c r="D174" s="71"/>
      <c r="E174" s="71"/>
      <c r="F174" s="265"/>
      <c r="G174" s="263"/>
      <c r="H174" s="71"/>
      <c r="I174" s="265"/>
      <c r="J174" s="71"/>
      <c r="K174" s="266"/>
      <c r="L174" s="266"/>
      <c r="M174" s="266"/>
      <c r="N174" s="266"/>
      <c r="O174" s="266"/>
      <c r="P174" s="266"/>
      <c r="Q174" s="267"/>
      <c r="R174" s="71"/>
      <c r="S174" s="71"/>
      <c r="T174" s="222"/>
      <c r="U174" s="71"/>
      <c r="V174" s="71"/>
      <c r="W174" s="71"/>
      <c r="X174" s="71"/>
      <c r="Y174" s="71"/>
      <c r="Z174" s="71"/>
      <c r="AA174" s="71"/>
    </row>
    <row r="175" spans="1:27" ht="15.75" customHeight="1">
      <c r="A175" s="71"/>
      <c r="B175" s="263"/>
      <c r="C175" s="264"/>
      <c r="D175" s="71"/>
      <c r="E175" s="71"/>
      <c r="F175" s="265"/>
      <c r="G175" s="263"/>
      <c r="H175" s="71"/>
      <c r="I175" s="265"/>
      <c r="J175" s="71"/>
      <c r="K175" s="266"/>
      <c r="L175" s="266"/>
      <c r="M175" s="266"/>
      <c r="N175" s="266"/>
      <c r="O175" s="266"/>
      <c r="P175" s="266"/>
      <c r="Q175" s="267"/>
      <c r="R175" s="71"/>
      <c r="S175" s="71"/>
      <c r="T175" s="222"/>
      <c r="U175" s="71"/>
      <c r="V175" s="71"/>
      <c r="W175" s="71"/>
      <c r="X175" s="71"/>
      <c r="Y175" s="71"/>
      <c r="Z175" s="71"/>
      <c r="AA175" s="71"/>
    </row>
    <row r="176" spans="1:27" ht="15.75" customHeight="1">
      <c r="A176" s="71"/>
      <c r="B176" s="263"/>
      <c r="C176" s="264"/>
      <c r="D176" s="71"/>
      <c r="E176" s="71"/>
      <c r="F176" s="265"/>
      <c r="G176" s="263"/>
      <c r="H176" s="71"/>
      <c r="I176" s="265"/>
      <c r="J176" s="71"/>
      <c r="K176" s="266"/>
      <c r="L176" s="266"/>
      <c r="M176" s="266"/>
      <c r="N176" s="266"/>
      <c r="O176" s="266"/>
      <c r="P176" s="266"/>
      <c r="Q176" s="267"/>
      <c r="R176" s="71"/>
      <c r="S176" s="71"/>
      <c r="T176" s="222"/>
      <c r="U176" s="71"/>
      <c r="V176" s="71"/>
      <c r="W176" s="71"/>
      <c r="X176" s="71"/>
      <c r="Y176" s="71"/>
      <c r="Z176" s="71"/>
      <c r="AA176" s="71"/>
    </row>
    <row r="177" spans="1:27" ht="15.75" customHeight="1">
      <c r="A177" s="71"/>
      <c r="B177" s="263"/>
      <c r="C177" s="264"/>
      <c r="D177" s="71"/>
      <c r="E177" s="71"/>
      <c r="F177" s="265"/>
      <c r="G177" s="263"/>
      <c r="H177" s="71"/>
      <c r="I177" s="265"/>
      <c r="J177" s="71"/>
      <c r="K177" s="266"/>
      <c r="L177" s="266"/>
      <c r="M177" s="266"/>
      <c r="N177" s="266"/>
      <c r="O177" s="266"/>
      <c r="P177" s="266"/>
      <c r="Q177" s="267"/>
      <c r="R177" s="71"/>
      <c r="S177" s="71"/>
      <c r="T177" s="222"/>
      <c r="U177" s="71"/>
      <c r="V177" s="71"/>
      <c r="W177" s="71"/>
      <c r="X177" s="71"/>
      <c r="Y177" s="71"/>
      <c r="Z177" s="71"/>
      <c r="AA177" s="71"/>
    </row>
    <row r="178" spans="1:27" ht="15.75" customHeight="1">
      <c r="A178" s="71"/>
      <c r="B178" s="263"/>
      <c r="C178" s="264"/>
      <c r="D178" s="71"/>
      <c r="E178" s="71"/>
      <c r="F178" s="265"/>
      <c r="G178" s="263"/>
      <c r="H178" s="71"/>
      <c r="I178" s="265"/>
      <c r="J178" s="71"/>
      <c r="K178" s="266"/>
      <c r="L178" s="266"/>
      <c r="M178" s="266"/>
      <c r="N178" s="266"/>
      <c r="O178" s="266"/>
      <c r="P178" s="266"/>
      <c r="Q178" s="267"/>
      <c r="R178" s="71"/>
      <c r="S178" s="71"/>
      <c r="T178" s="222"/>
      <c r="U178" s="71"/>
      <c r="V178" s="71"/>
      <c r="W178" s="71"/>
      <c r="X178" s="71"/>
      <c r="Y178" s="71"/>
      <c r="Z178" s="71"/>
      <c r="AA178" s="71"/>
    </row>
    <row r="179" spans="1:27" ht="15.75" customHeight="1">
      <c r="A179" s="71"/>
      <c r="B179" s="263"/>
      <c r="C179" s="264"/>
      <c r="D179" s="71"/>
      <c r="E179" s="71"/>
      <c r="F179" s="265"/>
      <c r="G179" s="263"/>
      <c r="H179" s="71"/>
      <c r="I179" s="265"/>
      <c r="J179" s="71"/>
      <c r="K179" s="266"/>
      <c r="L179" s="266"/>
      <c r="M179" s="266"/>
      <c r="N179" s="266"/>
      <c r="O179" s="266"/>
      <c r="P179" s="266"/>
      <c r="Q179" s="267"/>
      <c r="R179" s="71"/>
      <c r="S179" s="71"/>
      <c r="T179" s="222"/>
      <c r="U179" s="71"/>
      <c r="V179" s="71"/>
      <c r="W179" s="71"/>
      <c r="X179" s="71"/>
      <c r="Y179" s="71"/>
      <c r="Z179" s="71"/>
      <c r="AA179" s="71"/>
    </row>
    <row r="180" spans="1:27" ht="15.75" customHeight="1">
      <c r="A180" s="71"/>
      <c r="B180" s="263"/>
      <c r="C180" s="264"/>
      <c r="D180" s="71"/>
      <c r="E180" s="71"/>
      <c r="F180" s="265"/>
      <c r="G180" s="263"/>
      <c r="H180" s="71"/>
      <c r="I180" s="265"/>
      <c r="J180" s="71"/>
      <c r="K180" s="266"/>
      <c r="L180" s="266"/>
      <c r="M180" s="266"/>
      <c r="N180" s="266"/>
      <c r="O180" s="266"/>
      <c r="P180" s="266"/>
      <c r="Q180" s="267"/>
      <c r="R180" s="71"/>
      <c r="S180" s="71"/>
      <c r="T180" s="222"/>
      <c r="U180" s="71"/>
      <c r="V180" s="71"/>
      <c r="W180" s="71"/>
      <c r="X180" s="71"/>
      <c r="Y180" s="71"/>
      <c r="Z180" s="71"/>
      <c r="AA180" s="71"/>
    </row>
    <row r="181" spans="1:27" ht="15.75" customHeight="1">
      <c r="A181" s="71"/>
      <c r="B181" s="263"/>
      <c r="C181" s="264"/>
      <c r="D181" s="71"/>
      <c r="E181" s="71"/>
      <c r="F181" s="265"/>
      <c r="G181" s="263"/>
      <c r="H181" s="71"/>
      <c r="I181" s="265"/>
      <c r="J181" s="71"/>
      <c r="K181" s="266"/>
      <c r="L181" s="266"/>
      <c r="M181" s="266"/>
      <c r="N181" s="266"/>
      <c r="O181" s="266"/>
      <c r="P181" s="266"/>
      <c r="Q181" s="267"/>
      <c r="R181" s="71"/>
      <c r="S181" s="71"/>
      <c r="T181" s="222"/>
      <c r="U181" s="71"/>
      <c r="V181" s="71"/>
      <c r="W181" s="71"/>
      <c r="X181" s="71"/>
      <c r="Y181" s="71"/>
      <c r="Z181" s="71"/>
      <c r="AA181" s="71"/>
    </row>
    <row r="182" spans="1:27" ht="15.75" customHeight="1">
      <c r="A182" s="71"/>
      <c r="B182" s="263"/>
      <c r="C182" s="264"/>
      <c r="D182" s="71"/>
      <c r="E182" s="71"/>
      <c r="F182" s="265"/>
      <c r="G182" s="263"/>
      <c r="H182" s="71"/>
      <c r="I182" s="265"/>
      <c r="J182" s="71"/>
      <c r="K182" s="266"/>
      <c r="L182" s="266"/>
      <c r="M182" s="266"/>
      <c r="N182" s="266"/>
      <c r="O182" s="266"/>
      <c r="P182" s="266"/>
      <c r="Q182" s="267"/>
      <c r="R182" s="71"/>
      <c r="S182" s="71"/>
      <c r="T182" s="222"/>
      <c r="U182" s="71"/>
      <c r="V182" s="71"/>
      <c r="W182" s="71"/>
      <c r="X182" s="71"/>
      <c r="Y182" s="71"/>
      <c r="Z182" s="71"/>
      <c r="AA182" s="71"/>
    </row>
    <row r="183" spans="1:27" ht="15.75" customHeight="1">
      <c r="A183" s="71"/>
      <c r="B183" s="263"/>
      <c r="C183" s="264"/>
      <c r="D183" s="71"/>
      <c r="E183" s="71"/>
      <c r="F183" s="265"/>
      <c r="G183" s="263"/>
      <c r="H183" s="71"/>
      <c r="I183" s="265"/>
      <c r="J183" s="71"/>
      <c r="K183" s="266"/>
      <c r="L183" s="266"/>
      <c r="M183" s="266"/>
      <c r="N183" s="266"/>
      <c r="O183" s="266"/>
      <c r="P183" s="266"/>
      <c r="Q183" s="267"/>
      <c r="R183" s="71"/>
      <c r="S183" s="71"/>
      <c r="T183" s="222"/>
      <c r="U183" s="71"/>
      <c r="V183" s="71"/>
      <c r="W183" s="71"/>
      <c r="X183" s="71"/>
      <c r="Y183" s="71"/>
      <c r="Z183" s="71"/>
      <c r="AA183" s="71"/>
    </row>
    <row r="184" spans="1:27" ht="15.75" customHeight="1">
      <c r="A184" s="71"/>
      <c r="B184" s="263"/>
      <c r="C184" s="264"/>
      <c r="D184" s="71"/>
      <c r="E184" s="71"/>
      <c r="F184" s="265"/>
      <c r="G184" s="263"/>
      <c r="H184" s="71"/>
      <c r="I184" s="265"/>
      <c r="J184" s="71"/>
      <c r="K184" s="266"/>
      <c r="L184" s="266"/>
      <c r="M184" s="266"/>
      <c r="N184" s="266"/>
      <c r="O184" s="266"/>
      <c r="P184" s="266"/>
      <c r="Q184" s="267"/>
      <c r="R184" s="71"/>
      <c r="S184" s="71"/>
      <c r="T184" s="222"/>
      <c r="U184" s="71"/>
      <c r="V184" s="71"/>
      <c r="W184" s="71"/>
      <c r="X184" s="71"/>
      <c r="Y184" s="71"/>
      <c r="Z184" s="71"/>
      <c r="AA184" s="71"/>
    </row>
    <row r="185" spans="1:27" ht="15.75" customHeight="1">
      <c r="A185" s="71"/>
      <c r="B185" s="263"/>
      <c r="C185" s="264"/>
      <c r="D185" s="71"/>
      <c r="E185" s="71"/>
      <c r="F185" s="265"/>
      <c r="G185" s="263"/>
      <c r="H185" s="71"/>
      <c r="I185" s="265"/>
      <c r="J185" s="71"/>
      <c r="K185" s="266"/>
      <c r="L185" s="266"/>
      <c r="M185" s="266"/>
      <c r="N185" s="266"/>
      <c r="O185" s="266"/>
      <c r="P185" s="266"/>
      <c r="Q185" s="267"/>
      <c r="R185" s="71"/>
      <c r="S185" s="71"/>
      <c r="T185" s="222"/>
      <c r="U185" s="71"/>
      <c r="V185" s="71"/>
      <c r="W185" s="71"/>
      <c r="X185" s="71"/>
      <c r="Y185" s="71"/>
      <c r="Z185" s="71"/>
      <c r="AA185" s="71"/>
    </row>
    <row r="186" spans="1:27" ht="15.75" customHeight="1">
      <c r="A186" s="71"/>
      <c r="B186" s="263"/>
      <c r="C186" s="264"/>
      <c r="D186" s="71"/>
      <c r="E186" s="71"/>
      <c r="F186" s="265"/>
      <c r="G186" s="263"/>
      <c r="H186" s="71"/>
      <c r="I186" s="265"/>
      <c r="J186" s="71"/>
      <c r="K186" s="266"/>
      <c r="L186" s="266"/>
      <c r="M186" s="266"/>
      <c r="N186" s="266"/>
      <c r="O186" s="266"/>
      <c r="P186" s="266"/>
      <c r="Q186" s="267"/>
      <c r="R186" s="71"/>
      <c r="S186" s="71"/>
      <c r="T186" s="222"/>
      <c r="U186" s="71"/>
      <c r="V186" s="71"/>
      <c r="W186" s="71"/>
      <c r="X186" s="71"/>
      <c r="Y186" s="71"/>
      <c r="Z186" s="71"/>
      <c r="AA186" s="71"/>
    </row>
    <row r="187" spans="1:27" ht="15.75" customHeight="1">
      <c r="A187" s="71"/>
      <c r="B187" s="263"/>
      <c r="C187" s="264"/>
      <c r="D187" s="71"/>
      <c r="E187" s="71"/>
      <c r="F187" s="265"/>
      <c r="G187" s="263"/>
      <c r="H187" s="71"/>
      <c r="I187" s="265"/>
      <c r="J187" s="71"/>
      <c r="K187" s="266"/>
      <c r="L187" s="266"/>
      <c r="M187" s="266"/>
      <c r="N187" s="266"/>
      <c r="O187" s="266"/>
      <c r="P187" s="266"/>
      <c r="Q187" s="267"/>
      <c r="R187" s="71"/>
      <c r="S187" s="71"/>
      <c r="T187" s="222"/>
      <c r="U187" s="71"/>
      <c r="V187" s="71"/>
      <c r="W187" s="71"/>
      <c r="X187" s="71"/>
      <c r="Y187" s="71"/>
      <c r="Z187" s="71"/>
      <c r="AA187" s="71"/>
    </row>
    <row r="188" spans="1:27" ht="15.75" customHeight="1">
      <c r="A188" s="71"/>
      <c r="B188" s="263"/>
      <c r="C188" s="264"/>
      <c r="D188" s="71"/>
      <c r="E188" s="71"/>
      <c r="F188" s="265"/>
      <c r="G188" s="263"/>
      <c r="H188" s="71"/>
      <c r="I188" s="265"/>
      <c r="J188" s="71"/>
      <c r="K188" s="266"/>
      <c r="L188" s="266"/>
      <c r="M188" s="266"/>
      <c r="N188" s="266"/>
      <c r="O188" s="266"/>
      <c r="P188" s="266"/>
      <c r="Q188" s="267"/>
      <c r="R188" s="71"/>
      <c r="S188" s="71"/>
      <c r="T188" s="222"/>
      <c r="U188" s="71"/>
      <c r="V188" s="71"/>
      <c r="W188" s="71"/>
      <c r="X188" s="71"/>
      <c r="Y188" s="71"/>
      <c r="Z188" s="71"/>
      <c r="AA188" s="71"/>
    </row>
    <row r="189" spans="1:27" ht="15.75" customHeight="1">
      <c r="A189" s="71"/>
      <c r="B189" s="263"/>
      <c r="C189" s="264"/>
      <c r="D189" s="71"/>
      <c r="E189" s="71"/>
      <c r="F189" s="265"/>
      <c r="G189" s="263"/>
      <c r="H189" s="71"/>
      <c r="I189" s="265"/>
      <c r="J189" s="71"/>
      <c r="K189" s="266"/>
      <c r="L189" s="266"/>
      <c r="M189" s="266"/>
      <c r="N189" s="266"/>
      <c r="O189" s="266"/>
      <c r="P189" s="266"/>
      <c r="Q189" s="267"/>
      <c r="R189" s="71"/>
      <c r="S189" s="71"/>
      <c r="T189" s="222"/>
      <c r="U189" s="71"/>
      <c r="V189" s="71"/>
      <c r="W189" s="71"/>
      <c r="X189" s="71"/>
      <c r="Y189" s="71"/>
      <c r="Z189" s="71"/>
      <c r="AA189" s="71"/>
    </row>
    <row r="190" spans="1:27" ht="15.75" customHeight="1">
      <c r="A190" s="71"/>
      <c r="B190" s="263"/>
      <c r="C190" s="264"/>
      <c r="D190" s="71"/>
      <c r="E190" s="71"/>
      <c r="F190" s="265"/>
      <c r="G190" s="263"/>
      <c r="H190" s="71"/>
      <c r="I190" s="265"/>
      <c r="J190" s="71"/>
      <c r="K190" s="266"/>
      <c r="L190" s="266"/>
      <c r="M190" s="266"/>
      <c r="N190" s="266"/>
      <c r="O190" s="266"/>
      <c r="P190" s="266"/>
      <c r="Q190" s="267"/>
      <c r="R190" s="71"/>
      <c r="S190" s="71"/>
      <c r="T190" s="222"/>
      <c r="U190" s="71"/>
      <c r="V190" s="71"/>
      <c r="W190" s="71"/>
      <c r="X190" s="71"/>
      <c r="Y190" s="71"/>
      <c r="Z190" s="71"/>
      <c r="AA190" s="71"/>
    </row>
    <row r="191" spans="1:27" ht="15.75" customHeight="1">
      <c r="A191" s="71"/>
      <c r="B191" s="263"/>
      <c r="C191" s="264"/>
      <c r="D191" s="71"/>
      <c r="E191" s="71"/>
      <c r="F191" s="265"/>
      <c r="G191" s="263"/>
      <c r="H191" s="71"/>
      <c r="I191" s="265"/>
      <c r="J191" s="71"/>
      <c r="K191" s="266"/>
      <c r="L191" s="266"/>
      <c r="M191" s="266"/>
      <c r="N191" s="266"/>
      <c r="O191" s="266"/>
      <c r="P191" s="266"/>
      <c r="Q191" s="267"/>
      <c r="R191" s="71"/>
      <c r="S191" s="71"/>
      <c r="T191" s="222"/>
      <c r="U191" s="71"/>
      <c r="V191" s="71"/>
      <c r="W191" s="71"/>
      <c r="X191" s="71"/>
      <c r="Y191" s="71"/>
      <c r="Z191" s="71"/>
      <c r="AA191" s="71"/>
    </row>
    <row r="192" spans="1:27" ht="15.75" customHeight="1">
      <c r="A192" s="71"/>
      <c r="B192" s="263"/>
      <c r="C192" s="264"/>
      <c r="D192" s="71"/>
      <c r="E192" s="71"/>
      <c r="F192" s="265"/>
      <c r="G192" s="263"/>
      <c r="H192" s="71"/>
      <c r="I192" s="265"/>
      <c r="J192" s="71"/>
      <c r="K192" s="266"/>
      <c r="L192" s="266"/>
      <c r="M192" s="266"/>
      <c r="N192" s="266"/>
      <c r="O192" s="266"/>
      <c r="P192" s="266"/>
      <c r="Q192" s="267"/>
      <c r="R192" s="71"/>
      <c r="S192" s="71"/>
      <c r="T192" s="222"/>
      <c r="U192" s="71"/>
      <c r="V192" s="71"/>
      <c r="W192" s="71"/>
      <c r="X192" s="71"/>
      <c r="Y192" s="71"/>
      <c r="Z192" s="71"/>
      <c r="AA192" s="71"/>
    </row>
    <row r="193" spans="1:27" ht="15.75" customHeight="1">
      <c r="A193" s="71"/>
      <c r="B193" s="263"/>
      <c r="C193" s="264"/>
      <c r="D193" s="71"/>
      <c r="E193" s="71"/>
      <c r="F193" s="265"/>
      <c r="G193" s="263"/>
      <c r="H193" s="71"/>
      <c r="I193" s="265"/>
      <c r="J193" s="71"/>
      <c r="K193" s="266"/>
      <c r="L193" s="266"/>
      <c r="M193" s="266"/>
      <c r="N193" s="266"/>
      <c r="O193" s="266"/>
      <c r="P193" s="266"/>
      <c r="Q193" s="267"/>
      <c r="R193" s="71"/>
      <c r="S193" s="71"/>
      <c r="T193" s="222"/>
      <c r="U193" s="71"/>
      <c r="V193" s="71"/>
      <c r="W193" s="71"/>
      <c r="X193" s="71"/>
      <c r="Y193" s="71"/>
      <c r="Z193" s="71"/>
      <c r="AA193" s="71"/>
    </row>
    <row r="194" spans="1:27" ht="15.75" customHeight="1">
      <c r="A194" s="71"/>
      <c r="B194" s="263"/>
      <c r="C194" s="264"/>
      <c r="D194" s="71"/>
      <c r="E194" s="71"/>
      <c r="F194" s="265"/>
      <c r="G194" s="263"/>
      <c r="H194" s="71"/>
      <c r="I194" s="265"/>
      <c r="J194" s="71"/>
      <c r="K194" s="266"/>
      <c r="L194" s="266"/>
      <c r="M194" s="266"/>
      <c r="N194" s="266"/>
      <c r="O194" s="266"/>
      <c r="P194" s="266"/>
      <c r="Q194" s="267"/>
      <c r="R194" s="71"/>
      <c r="S194" s="71"/>
      <c r="T194" s="222"/>
      <c r="U194" s="71"/>
      <c r="V194" s="71"/>
      <c r="W194" s="71"/>
      <c r="X194" s="71"/>
      <c r="Y194" s="71"/>
      <c r="Z194" s="71"/>
      <c r="AA194" s="71"/>
    </row>
    <row r="195" spans="1:27" ht="15.75" customHeight="1">
      <c r="A195" s="71"/>
      <c r="B195" s="263"/>
      <c r="C195" s="264"/>
      <c r="D195" s="71"/>
      <c r="E195" s="71"/>
      <c r="F195" s="265"/>
      <c r="G195" s="263"/>
      <c r="H195" s="71"/>
      <c r="I195" s="265"/>
      <c r="J195" s="71"/>
      <c r="K195" s="266"/>
      <c r="L195" s="266"/>
      <c r="M195" s="266"/>
      <c r="N195" s="266"/>
      <c r="O195" s="266"/>
      <c r="P195" s="266"/>
      <c r="Q195" s="267"/>
      <c r="R195" s="71"/>
      <c r="S195" s="71"/>
      <c r="T195" s="222"/>
      <c r="U195" s="71"/>
      <c r="V195" s="71"/>
      <c r="W195" s="71"/>
      <c r="X195" s="71"/>
      <c r="Y195" s="71"/>
      <c r="Z195" s="71"/>
      <c r="AA195" s="71"/>
    </row>
    <row r="196" spans="1:27" ht="15.75" customHeight="1">
      <c r="A196" s="71"/>
      <c r="B196" s="263"/>
      <c r="C196" s="264"/>
      <c r="D196" s="71"/>
      <c r="E196" s="71"/>
      <c r="F196" s="265"/>
      <c r="G196" s="263"/>
      <c r="H196" s="71"/>
      <c r="I196" s="265"/>
      <c r="J196" s="71"/>
      <c r="K196" s="266"/>
      <c r="L196" s="266"/>
      <c r="M196" s="266"/>
      <c r="N196" s="266"/>
      <c r="O196" s="266"/>
      <c r="P196" s="266"/>
      <c r="Q196" s="267"/>
      <c r="R196" s="71"/>
      <c r="S196" s="71"/>
      <c r="T196" s="222"/>
      <c r="U196" s="71"/>
      <c r="V196" s="71"/>
      <c r="W196" s="71"/>
      <c r="X196" s="71"/>
      <c r="Y196" s="71"/>
      <c r="Z196" s="71"/>
      <c r="AA196" s="71"/>
    </row>
    <row r="197" spans="1:27" ht="15.75" customHeight="1">
      <c r="A197" s="71"/>
      <c r="B197" s="263"/>
      <c r="C197" s="264"/>
      <c r="D197" s="71"/>
      <c r="E197" s="71"/>
      <c r="F197" s="265"/>
      <c r="G197" s="263"/>
      <c r="H197" s="71"/>
      <c r="I197" s="265"/>
      <c r="J197" s="71"/>
      <c r="K197" s="266"/>
      <c r="L197" s="266"/>
      <c r="M197" s="266"/>
      <c r="N197" s="266"/>
      <c r="O197" s="266"/>
      <c r="P197" s="266"/>
      <c r="Q197" s="267"/>
      <c r="R197" s="71"/>
      <c r="S197" s="71"/>
      <c r="T197" s="222"/>
      <c r="U197" s="71"/>
      <c r="V197" s="71"/>
      <c r="W197" s="71"/>
      <c r="X197" s="71"/>
      <c r="Y197" s="71"/>
      <c r="Z197" s="71"/>
      <c r="AA197" s="71"/>
    </row>
    <row r="198" spans="1:27" ht="15.75" customHeight="1">
      <c r="A198" s="71"/>
      <c r="B198" s="263"/>
      <c r="C198" s="264"/>
      <c r="D198" s="71"/>
      <c r="E198" s="71"/>
      <c r="F198" s="265"/>
      <c r="G198" s="263"/>
      <c r="H198" s="71"/>
      <c r="I198" s="265"/>
      <c r="J198" s="71"/>
      <c r="K198" s="266"/>
      <c r="L198" s="266"/>
      <c r="M198" s="266"/>
      <c r="N198" s="266"/>
      <c r="O198" s="266"/>
      <c r="P198" s="266"/>
      <c r="Q198" s="267"/>
      <c r="R198" s="71"/>
      <c r="S198" s="71"/>
      <c r="T198" s="222"/>
      <c r="U198" s="71"/>
      <c r="V198" s="71"/>
      <c r="W198" s="71"/>
      <c r="X198" s="71"/>
      <c r="Y198" s="71"/>
      <c r="Z198" s="71"/>
      <c r="AA198" s="71"/>
    </row>
    <row r="199" spans="1:27" ht="15.75" customHeight="1">
      <c r="A199" s="71"/>
      <c r="B199" s="263"/>
      <c r="C199" s="264"/>
      <c r="D199" s="71"/>
      <c r="E199" s="71"/>
      <c r="F199" s="265"/>
      <c r="G199" s="263"/>
      <c r="H199" s="71"/>
      <c r="I199" s="265"/>
      <c r="J199" s="71"/>
      <c r="K199" s="266"/>
      <c r="L199" s="266"/>
      <c r="M199" s="266"/>
      <c r="N199" s="266"/>
      <c r="O199" s="266"/>
      <c r="P199" s="266"/>
      <c r="Q199" s="267"/>
      <c r="R199" s="71"/>
      <c r="S199" s="71"/>
      <c r="T199" s="222"/>
      <c r="U199" s="71"/>
      <c r="V199" s="71"/>
      <c r="W199" s="71"/>
      <c r="X199" s="71"/>
      <c r="Y199" s="71"/>
      <c r="Z199" s="71"/>
      <c r="AA199" s="71"/>
    </row>
    <row r="200" spans="1:27" ht="15.75" customHeight="1">
      <c r="A200" s="71"/>
      <c r="B200" s="263"/>
      <c r="C200" s="264"/>
      <c r="D200" s="71"/>
      <c r="E200" s="71"/>
      <c r="F200" s="265"/>
      <c r="G200" s="263"/>
      <c r="H200" s="71"/>
      <c r="I200" s="265"/>
      <c r="J200" s="71"/>
      <c r="K200" s="266"/>
      <c r="L200" s="266"/>
      <c r="M200" s="266"/>
      <c r="N200" s="266"/>
      <c r="O200" s="266"/>
      <c r="P200" s="266"/>
      <c r="Q200" s="267"/>
      <c r="R200" s="71"/>
      <c r="S200" s="71"/>
      <c r="T200" s="222"/>
      <c r="U200" s="71"/>
      <c r="V200" s="71"/>
      <c r="W200" s="71"/>
      <c r="X200" s="71"/>
      <c r="Y200" s="71"/>
      <c r="Z200" s="71"/>
      <c r="AA200" s="71"/>
    </row>
    <row r="201" spans="1:27" ht="15.75" customHeight="1">
      <c r="A201" s="71"/>
      <c r="B201" s="263"/>
      <c r="C201" s="264"/>
      <c r="D201" s="71"/>
      <c r="E201" s="71"/>
      <c r="F201" s="265"/>
      <c r="G201" s="263"/>
      <c r="H201" s="71"/>
      <c r="I201" s="265"/>
      <c r="J201" s="71"/>
      <c r="K201" s="266"/>
      <c r="L201" s="266"/>
      <c r="M201" s="266"/>
      <c r="N201" s="266"/>
      <c r="O201" s="266"/>
      <c r="P201" s="266"/>
      <c r="Q201" s="267"/>
      <c r="R201" s="71"/>
      <c r="S201" s="71"/>
      <c r="T201" s="222"/>
      <c r="U201" s="71"/>
      <c r="V201" s="71"/>
      <c r="W201" s="71"/>
      <c r="X201" s="71"/>
      <c r="Y201" s="71"/>
      <c r="Z201" s="71"/>
      <c r="AA201" s="71"/>
    </row>
    <row r="202" spans="1:27" ht="15.75" customHeight="1">
      <c r="A202" s="71"/>
      <c r="B202" s="263"/>
      <c r="C202" s="264"/>
      <c r="D202" s="71"/>
      <c r="E202" s="71"/>
      <c r="F202" s="265"/>
      <c r="G202" s="263"/>
      <c r="H202" s="71"/>
      <c r="I202" s="265"/>
      <c r="J202" s="71"/>
      <c r="K202" s="266"/>
      <c r="L202" s="266"/>
      <c r="M202" s="266"/>
      <c r="N202" s="266"/>
      <c r="O202" s="266"/>
      <c r="P202" s="266"/>
      <c r="Q202" s="267"/>
      <c r="R202" s="71"/>
      <c r="S202" s="71"/>
      <c r="T202" s="222"/>
      <c r="U202" s="71"/>
      <c r="V202" s="71"/>
      <c r="W202" s="71"/>
      <c r="X202" s="71"/>
      <c r="Y202" s="71"/>
      <c r="Z202" s="71"/>
      <c r="AA202" s="71"/>
    </row>
    <row r="203" spans="1:27" ht="15.75" customHeight="1">
      <c r="A203" s="71"/>
      <c r="B203" s="263"/>
      <c r="C203" s="264"/>
      <c r="D203" s="71"/>
      <c r="E203" s="71"/>
      <c r="F203" s="265"/>
      <c r="G203" s="263"/>
      <c r="H203" s="71"/>
      <c r="I203" s="265"/>
      <c r="J203" s="71"/>
      <c r="K203" s="266"/>
      <c r="L203" s="266"/>
      <c r="M203" s="266"/>
      <c r="N203" s="266"/>
      <c r="O203" s="266"/>
      <c r="P203" s="266"/>
      <c r="Q203" s="267"/>
      <c r="R203" s="71"/>
      <c r="S203" s="71"/>
      <c r="T203" s="222"/>
      <c r="U203" s="71"/>
      <c r="V203" s="71"/>
      <c r="W203" s="71"/>
      <c r="X203" s="71"/>
      <c r="Y203" s="71"/>
      <c r="Z203" s="71"/>
      <c r="AA203" s="71"/>
    </row>
    <row r="204" spans="1:27" ht="15.75" customHeight="1">
      <c r="A204" s="71"/>
      <c r="B204" s="263"/>
      <c r="C204" s="264"/>
      <c r="D204" s="71"/>
      <c r="E204" s="71"/>
      <c r="F204" s="265"/>
      <c r="G204" s="263"/>
      <c r="H204" s="71"/>
      <c r="I204" s="265"/>
      <c r="J204" s="71"/>
      <c r="K204" s="266"/>
      <c r="L204" s="266"/>
      <c r="M204" s="266"/>
      <c r="N204" s="266"/>
      <c r="O204" s="266"/>
      <c r="P204" s="266"/>
      <c r="Q204" s="267"/>
      <c r="R204" s="71"/>
      <c r="S204" s="71"/>
      <c r="T204" s="222"/>
      <c r="U204" s="71"/>
      <c r="V204" s="71"/>
      <c r="W204" s="71"/>
      <c r="X204" s="71"/>
      <c r="Y204" s="71"/>
      <c r="Z204" s="71"/>
      <c r="AA204" s="71"/>
    </row>
    <row r="205" spans="1:27" ht="15.75" customHeight="1">
      <c r="A205" s="71"/>
      <c r="B205" s="263"/>
      <c r="C205" s="264"/>
      <c r="D205" s="71"/>
      <c r="E205" s="71"/>
      <c r="F205" s="265"/>
      <c r="G205" s="263"/>
      <c r="H205" s="71"/>
      <c r="I205" s="265"/>
      <c r="J205" s="71"/>
      <c r="K205" s="266"/>
      <c r="L205" s="266"/>
      <c r="M205" s="266"/>
      <c r="N205" s="266"/>
      <c r="O205" s="266"/>
      <c r="P205" s="266"/>
      <c r="Q205" s="267"/>
      <c r="R205" s="71"/>
      <c r="S205" s="71"/>
      <c r="T205" s="222"/>
      <c r="U205" s="71"/>
      <c r="V205" s="71"/>
      <c r="W205" s="71"/>
      <c r="X205" s="71"/>
      <c r="Y205" s="71"/>
      <c r="Z205" s="71"/>
      <c r="AA205" s="71"/>
    </row>
    <row r="206" spans="1:27" ht="15.75" customHeight="1">
      <c r="A206" s="71"/>
      <c r="B206" s="263"/>
      <c r="C206" s="264"/>
      <c r="D206" s="71"/>
      <c r="E206" s="71"/>
      <c r="F206" s="265"/>
      <c r="G206" s="263"/>
      <c r="H206" s="71"/>
      <c r="I206" s="265"/>
      <c r="J206" s="71"/>
      <c r="K206" s="266"/>
      <c r="L206" s="266"/>
      <c r="M206" s="266"/>
      <c r="N206" s="266"/>
      <c r="O206" s="266"/>
      <c r="P206" s="266"/>
      <c r="Q206" s="267"/>
      <c r="R206" s="71"/>
      <c r="S206" s="71"/>
      <c r="T206" s="222"/>
      <c r="U206" s="71"/>
      <c r="V206" s="71"/>
      <c r="W206" s="71"/>
      <c r="X206" s="71"/>
      <c r="Y206" s="71"/>
      <c r="Z206" s="71"/>
      <c r="AA206" s="71"/>
    </row>
    <row r="207" spans="1:27" ht="15.75" customHeight="1">
      <c r="A207" s="71"/>
      <c r="B207" s="263"/>
      <c r="C207" s="264"/>
      <c r="D207" s="71"/>
      <c r="E207" s="71"/>
      <c r="F207" s="265"/>
      <c r="G207" s="263"/>
      <c r="H207" s="71"/>
      <c r="I207" s="265"/>
      <c r="J207" s="71"/>
      <c r="K207" s="266"/>
      <c r="L207" s="266"/>
      <c r="M207" s="266"/>
      <c r="N207" s="266"/>
      <c r="O207" s="266"/>
      <c r="P207" s="266"/>
      <c r="Q207" s="267"/>
      <c r="R207" s="71"/>
      <c r="S207" s="71"/>
      <c r="T207" s="222"/>
      <c r="U207" s="71"/>
      <c r="V207" s="71"/>
      <c r="W207" s="71"/>
      <c r="X207" s="71"/>
      <c r="Y207" s="71"/>
      <c r="Z207" s="71"/>
      <c r="AA207" s="71"/>
    </row>
    <row r="208" spans="1:27" ht="15.75" customHeight="1">
      <c r="A208" s="71"/>
      <c r="B208" s="263"/>
      <c r="C208" s="264"/>
      <c r="D208" s="71"/>
      <c r="E208" s="71"/>
      <c r="F208" s="265"/>
      <c r="G208" s="263"/>
      <c r="H208" s="71"/>
      <c r="I208" s="265"/>
      <c r="J208" s="71"/>
      <c r="K208" s="266"/>
      <c r="L208" s="266"/>
      <c r="M208" s="266"/>
      <c r="N208" s="266"/>
      <c r="O208" s="266"/>
      <c r="P208" s="266"/>
      <c r="Q208" s="267"/>
      <c r="R208" s="71"/>
      <c r="S208" s="71"/>
      <c r="T208" s="222"/>
      <c r="U208" s="71"/>
      <c r="V208" s="71"/>
      <c r="W208" s="71"/>
      <c r="X208" s="71"/>
      <c r="Y208" s="71"/>
      <c r="Z208" s="71"/>
      <c r="AA208" s="71"/>
    </row>
    <row r="209" spans="1:27" ht="15.75" customHeight="1">
      <c r="A209" s="71"/>
      <c r="B209" s="263"/>
      <c r="C209" s="264"/>
      <c r="D209" s="71"/>
      <c r="E209" s="71"/>
      <c r="F209" s="265"/>
      <c r="G209" s="263"/>
      <c r="H209" s="71"/>
      <c r="I209" s="265"/>
      <c r="J209" s="71"/>
      <c r="K209" s="266"/>
      <c r="L209" s="266"/>
      <c r="M209" s="266"/>
      <c r="N209" s="266"/>
      <c r="O209" s="266"/>
      <c r="P209" s="266"/>
      <c r="Q209" s="267"/>
      <c r="R209" s="71"/>
      <c r="S209" s="71"/>
      <c r="T209" s="222"/>
      <c r="U209" s="71"/>
      <c r="V209" s="71"/>
      <c r="W209" s="71"/>
      <c r="X209" s="71"/>
      <c r="Y209" s="71"/>
      <c r="Z209" s="71"/>
      <c r="AA209" s="71"/>
    </row>
    <row r="210" spans="1:27" ht="15.75" customHeight="1">
      <c r="A210" s="71"/>
      <c r="B210" s="263"/>
      <c r="C210" s="264"/>
      <c r="D210" s="71"/>
      <c r="E210" s="71"/>
      <c r="F210" s="265"/>
      <c r="G210" s="263"/>
      <c r="H210" s="71"/>
      <c r="I210" s="265"/>
      <c r="J210" s="71"/>
      <c r="K210" s="266"/>
      <c r="L210" s="266"/>
      <c r="M210" s="266"/>
      <c r="N210" s="266"/>
      <c r="O210" s="266"/>
      <c r="P210" s="266"/>
      <c r="Q210" s="267"/>
      <c r="R210" s="71"/>
      <c r="S210" s="71"/>
      <c r="T210" s="222"/>
      <c r="U210" s="71"/>
      <c r="V210" s="71"/>
      <c r="W210" s="71"/>
      <c r="X210" s="71"/>
      <c r="Y210" s="71"/>
      <c r="Z210" s="71"/>
      <c r="AA210" s="71"/>
    </row>
    <row r="211" spans="1:27" ht="15.75" customHeight="1">
      <c r="A211" s="71"/>
      <c r="B211" s="263"/>
      <c r="C211" s="264"/>
      <c r="D211" s="71"/>
      <c r="E211" s="71"/>
      <c r="F211" s="265"/>
      <c r="G211" s="263"/>
      <c r="H211" s="71"/>
      <c r="I211" s="265"/>
      <c r="J211" s="71"/>
      <c r="K211" s="266"/>
      <c r="L211" s="266"/>
      <c r="M211" s="266"/>
      <c r="N211" s="266"/>
      <c r="O211" s="266"/>
      <c r="P211" s="266"/>
      <c r="Q211" s="267"/>
      <c r="R211" s="71"/>
      <c r="S211" s="71"/>
      <c r="T211" s="222"/>
      <c r="U211" s="71"/>
      <c r="V211" s="71"/>
      <c r="W211" s="71"/>
      <c r="X211" s="71"/>
      <c r="Y211" s="71"/>
      <c r="Z211" s="71"/>
      <c r="AA211" s="71"/>
    </row>
    <row r="212" spans="1:27" ht="15.75" customHeight="1">
      <c r="A212" s="71"/>
      <c r="B212" s="263"/>
      <c r="C212" s="264"/>
      <c r="D212" s="71"/>
      <c r="E212" s="71"/>
      <c r="F212" s="265"/>
      <c r="G212" s="263"/>
      <c r="H212" s="71"/>
      <c r="I212" s="265"/>
      <c r="J212" s="71"/>
      <c r="K212" s="266"/>
      <c r="L212" s="266"/>
      <c r="M212" s="266"/>
      <c r="N212" s="266"/>
      <c r="O212" s="266"/>
      <c r="P212" s="266"/>
      <c r="Q212" s="267"/>
      <c r="R212" s="71"/>
      <c r="S212" s="71"/>
      <c r="T212" s="222"/>
      <c r="U212" s="71"/>
      <c r="V212" s="71"/>
      <c r="W212" s="71"/>
      <c r="X212" s="71"/>
      <c r="Y212" s="71"/>
      <c r="Z212" s="71"/>
      <c r="AA212" s="71"/>
    </row>
    <row r="213" spans="1:27" ht="15.75" customHeight="1">
      <c r="A213" s="71"/>
      <c r="B213" s="263"/>
      <c r="C213" s="264"/>
      <c r="D213" s="71"/>
      <c r="E213" s="71"/>
      <c r="F213" s="265"/>
      <c r="G213" s="263"/>
      <c r="H213" s="71"/>
      <c r="I213" s="265"/>
      <c r="J213" s="71"/>
      <c r="K213" s="266"/>
      <c r="L213" s="266"/>
      <c r="M213" s="266"/>
      <c r="N213" s="266"/>
      <c r="O213" s="266"/>
      <c r="P213" s="266"/>
      <c r="Q213" s="267"/>
      <c r="R213" s="71"/>
      <c r="S213" s="71"/>
      <c r="T213" s="222"/>
      <c r="U213" s="71"/>
      <c r="V213" s="71"/>
      <c r="W213" s="71"/>
      <c r="X213" s="71"/>
      <c r="Y213" s="71"/>
      <c r="Z213" s="71"/>
      <c r="AA213" s="71"/>
    </row>
    <row r="214" spans="1:27" ht="15.75" customHeight="1">
      <c r="A214" s="71"/>
      <c r="B214" s="263"/>
      <c r="C214" s="264"/>
      <c r="D214" s="71"/>
      <c r="E214" s="71"/>
      <c r="F214" s="265"/>
      <c r="G214" s="263"/>
      <c r="H214" s="71"/>
      <c r="I214" s="265"/>
      <c r="J214" s="71"/>
      <c r="K214" s="266"/>
      <c r="L214" s="266"/>
      <c r="M214" s="266"/>
      <c r="N214" s="266"/>
      <c r="O214" s="266"/>
      <c r="P214" s="266"/>
      <c r="Q214" s="267"/>
      <c r="R214" s="71"/>
      <c r="S214" s="71"/>
      <c r="T214" s="222"/>
      <c r="U214" s="71"/>
      <c r="V214" s="71"/>
      <c r="W214" s="71"/>
      <c r="X214" s="71"/>
      <c r="Y214" s="71"/>
      <c r="Z214" s="71"/>
      <c r="AA214" s="71"/>
    </row>
    <row r="215" spans="1:27" ht="15.75" customHeight="1">
      <c r="A215" s="71"/>
      <c r="B215" s="263"/>
      <c r="C215" s="264"/>
      <c r="D215" s="71"/>
      <c r="E215" s="71"/>
      <c r="F215" s="265"/>
      <c r="G215" s="263"/>
      <c r="H215" s="71"/>
      <c r="I215" s="265"/>
      <c r="J215" s="71"/>
      <c r="K215" s="266"/>
      <c r="L215" s="266"/>
      <c r="M215" s="266"/>
      <c r="N215" s="266"/>
      <c r="O215" s="266"/>
      <c r="P215" s="266"/>
      <c r="Q215" s="267"/>
      <c r="R215" s="71"/>
      <c r="S215" s="71"/>
      <c r="T215" s="222"/>
      <c r="U215" s="71"/>
      <c r="V215" s="71"/>
      <c r="W215" s="71"/>
      <c r="X215" s="71"/>
      <c r="Y215" s="71"/>
      <c r="Z215" s="71"/>
      <c r="AA215" s="71"/>
    </row>
    <row r="216" spans="1:27" ht="15.75" customHeight="1">
      <c r="A216" s="71"/>
      <c r="B216" s="263"/>
      <c r="C216" s="264"/>
      <c r="D216" s="71"/>
      <c r="E216" s="71"/>
      <c r="F216" s="265"/>
      <c r="G216" s="263"/>
      <c r="H216" s="71"/>
      <c r="I216" s="265"/>
      <c r="J216" s="71"/>
      <c r="K216" s="266"/>
      <c r="L216" s="266"/>
      <c r="M216" s="266"/>
      <c r="N216" s="266"/>
      <c r="O216" s="266"/>
      <c r="P216" s="266"/>
      <c r="Q216" s="267"/>
      <c r="R216" s="71"/>
      <c r="S216" s="71"/>
      <c r="T216" s="222"/>
      <c r="U216" s="71"/>
      <c r="V216" s="71"/>
      <c r="W216" s="71"/>
      <c r="X216" s="71"/>
      <c r="Y216" s="71"/>
      <c r="Z216" s="71"/>
      <c r="AA216" s="71"/>
    </row>
    <row r="217" spans="1:27" ht="15.75" customHeight="1">
      <c r="A217" s="71"/>
      <c r="B217" s="263"/>
      <c r="C217" s="264"/>
      <c r="D217" s="71"/>
      <c r="E217" s="71"/>
      <c r="F217" s="265"/>
      <c r="G217" s="263"/>
      <c r="H217" s="71"/>
      <c r="I217" s="265"/>
      <c r="J217" s="71"/>
      <c r="K217" s="266"/>
      <c r="L217" s="266"/>
      <c r="M217" s="266"/>
      <c r="N217" s="266"/>
      <c r="O217" s="266"/>
      <c r="P217" s="266"/>
      <c r="Q217" s="267"/>
      <c r="R217" s="71"/>
      <c r="S217" s="71"/>
      <c r="T217" s="222"/>
      <c r="U217" s="71"/>
      <c r="V217" s="71"/>
      <c r="W217" s="71"/>
      <c r="X217" s="71"/>
      <c r="Y217" s="71"/>
      <c r="Z217" s="71"/>
      <c r="AA217" s="71"/>
    </row>
    <row r="218" spans="1:27" ht="15.75" customHeight="1">
      <c r="A218" s="71"/>
      <c r="B218" s="263"/>
      <c r="C218" s="264"/>
      <c r="D218" s="71"/>
      <c r="E218" s="71"/>
      <c r="F218" s="265"/>
      <c r="G218" s="263"/>
      <c r="H218" s="71"/>
      <c r="I218" s="265"/>
      <c r="J218" s="71"/>
      <c r="K218" s="266"/>
      <c r="L218" s="266"/>
      <c r="M218" s="266"/>
      <c r="N218" s="266"/>
      <c r="O218" s="266"/>
      <c r="P218" s="266"/>
      <c r="Q218" s="267"/>
      <c r="R218" s="71"/>
      <c r="S218" s="71"/>
      <c r="T218" s="222"/>
      <c r="U218" s="71"/>
      <c r="V218" s="71"/>
      <c r="W218" s="71"/>
      <c r="X218" s="71"/>
      <c r="Y218" s="71"/>
      <c r="Z218" s="71"/>
      <c r="AA218" s="71"/>
    </row>
    <row r="219" spans="1:27" ht="15.75" customHeight="1">
      <c r="A219" s="71"/>
      <c r="B219" s="263"/>
      <c r="C219" s="264"/>
      <c r="D219" s="71"/>
      <c r="E219" s="71"/>
      <c r="F219" s="265"/>
      <c r="G219" s="263"/>
      <c r="H219" s="71"/>
      <c r="I219" s="265"/>
      <c r="J219" s="71"/>
      <c r="K219" s="266"/>
      <c r="L219" s="266"/>
      <c r="M219" s="266"/>
      <c r="N219" s="266"/>
      <c r="O219" s="266"/>
      <c r="P219" s="266"/>
      <c r="Q219" s="267"/>
      <c r="R219" s="71"/>
      <c r="S219" s="71"/>
      <c r="T219" s="222"/>
      <c r="U219" s="71"/>
      <c r="V219" s="71"/>
      <c r="W219" s="71"/>
      <c r="X219" s="71"/>
      <c r="Y219" s="71"/>
      <c r="Z219" s="71"/>
      <c r="AA219" s="71"/>
    </row>
    <row r="220" spans="1:27" ht="15.75" customHeight="1">
      <c r="A220" s="71"/>
      <c r="B220" s="263"/>
      <c r="C220" s="264"/>
      <c r="D220" s="71"/>
      <c r="E220" s="71"/>
      <c r="F220" s="265"/>
      <c r="G220" s="263"/>
      <c r="H220" s="71"/>
      <c r="I220" s="265"/>
      <c r="J220" s="71"/>
      <c r="K220" s="266"/>
      <c r="L220" s="266"/>
      <c r="M220" s="266"/>
      <c r="N220" s="266"/>
      <c r="O220" s="266"/>
      <c r="P220" s="266"/>
      <c r="Q220" s="267"/>
      <c r="R220" s="71"/>
      <c r="S220" s="71"/>
      <c r="T220" s="222"/>
      <c r="U220" s="71"/>
      <c r="V220" s="71"/>
      <c r="W220" s="71"/>
      <c r="X220" s="71"/>
      <c r="Y220" s="71"/>
      <c r="Z220" s="71"/>
      <c r="AA220" s="71"/>
    </row>
    <row r="221" spans="1:27" ht="15.75" customHeight="1">
      <c r="A221" s="71"/>
      <c r="B221" s="263"/>
      <c r="C221" s="264"/>
      <c r="D221" s="71"/>
      <c r="E221" s="71"/>
      <c r="F221" s="265"/>
      <c r="G221" s="263"/>
      <c r="H221" s="71"/>
      <c r="I221" s="265"/>
      <c r="J221" s="71"/>
      <c r="K221" s="266"/>
      <c r="L221" s="266"/>
      <c r="M221" s="266"/>
      <c r="N221" s="266"/>
      <c r="O221" s="266"/>
      <c r="P221" s="266"/>
      <c r="Q221" s="267"/>
      <c r="R221" s="71"/>
      <c r="S221" s="71"/>
      <c r="T221" s="222"/>
      <c r="U221" s="71"/>
      <c r="V221" s="71"/>
      <c r="W221" s="71"/>
      <c r="X221" s="71"/>
      <c r="Y221" s="71"/>
      <c r="Z221" s="71"/>
      <c r="AA221" s="71"/>
    </row>
    <row r="222" spans="1:27" ht="15.75" customHeight="1">
      <c r="A222" s="71"/>
      <c r="B222" s="263"/>
      <c r="C222" s="264"/>
      <c r="D222" s="71"/>
      <c r="E222" s="71"/>
      <c r="F222" s="265"/>
      <c r="G222" s="263"/>
      <c r="H222" s="71"/>
      <c r="I222" s="265"/>
      <c r="J222" s="71"/>
      <c r="K222" s="266"/>
      <c r="L222" s="266"/>
      <c r="M222" s="266"/>
      <c r="N222" s="266"/>
      <c r="O222" s="266"/>
      <c r="P222" s="266"/>
      <c r="Q222" s="267"/>
      <c r="R222" s="71"/>
      <c r="S222" s="71"/>
      <c r="T222" s="222"/>
      <c r="U222" s="71"/>
      <c r="V222" s="71"/>
      <c r="W222" s="71"/>
      <c r="X222" s="71"/>
      <c r="Y222" s="71"/>
      <c r="Z222" s="71"/>
      <c r="AA222" s="71"/>
    </row>
    <row r="223" spans="1:27" ht="15.75" customHeight="1">
      <c r="A223" s="71"/>
      <c r="B223" s="263"/>
      <c r="C223" s="264"/>
      <c r="D223" s="71"/>
      <c r="E223" s="71"/>
      <c r="F223" s="265"/>
      <c r="G223" s="263"/>
      <c r="H223" s="71"/>
      <c r="I223" s="265"/>
      <c r="J223" s="71"/>
      <c r="K223" s="266"/>
      <c r="L223" s="266"/>
      <c r="M223" s="266"/>
      <c r="N223" s="266"/>
      <c r="O223" s="266"/>
      <c r="P223" s="266"/>
      <c r="Q223" s="267"/>
      <c r="R223" s="71"/>
      <c r="S223" s="71"/>
      <c r="T223" s="222"/>
      <c r="U223" s="71"/>
      <c r="V223" s="71"/>
      <c r="W223" s="71"/>
      <c r="X223" s="71"/>
      <c r="Y223" s="71"/>
      <c r="Z223" s="71"/>
      <c r="AA223" s="71"/>
    </row>
    <row r="224" spans="1:27" ht="15.75" customHeight="1">
      <c r="A224" s="71"/>
      <c r="B224" s="263"/>
      <c r="C224" s="264"/>
      <c r="D224" s="71"/>
      <c r="E224" s="71"/>
      <c r="F224" s="265"/>
      <c r="G224" s="263"/>
      <c r="H224" s="71"/>
      <c r="I224" s="265"/>
      <c r="J224" s="71"/>
      <c r="K224" s="266"/>
      <c r="L224" s="266"/>
      <c r="M224" s="266"/>
      <c r="N224" s="266"/>
      <c r="O224" s="266"/>
      <c r="P224" s="266"/>
      <c r="Q224" s="267"/>
      <c r="R224" s="71"/>
      <c r="S224" s="71"/>
      <c r="T224" s="222"/>
      <c r="U224" s="71"/>
      <c r="V224" s="71"/>
      <c r="W224" s="71"/>
      <c r="X224" s="71"/>
      <c r="Y224" s="71"/>
      <c r="Z224" s="71"/>
      <c r="AA224" s="71"/>
    </row>
    <row r="225" spans="1:27" ht="15.75" customHeight="1">
      <c r="A225" s="71"/>
      <c r="B225" s="263"/>
      <c r="C225" s="264"/>
      <c r="D225" s="71"/>
      <c r="E225" s="71"/>
      <c r="F225" s="265"/>
      <c r="G225" s="263"/>
      <c r="H225" s="71"/>
      <c r="I225" s="265"/>
      <c r="J225" s="71"/>
      <c r="K225" s="266"/>
      <c r="L225" s="266"/>
      <c r="M225" s="266"/>
      <c r="N225" s="266"/>
      <c r="O225" s="266"/>
      <c r="P225" s="266"/>
      <c r="Q225" s="267"/>
      <c r="R225" s="71"/>
      <c r="S225" s="71"/>
      <c r="T225" s="222"/>
      <c r="U225" s="71"/>
      <c r="V225" s="71"/>
      <c r="W225" s="71"/>
      <c r="X225" s="71"/>
      <c r="Y225" s="71"/>
      <c r="Z225" s="71"/>
      <c r="AA225" s="71"/>
    </row>
    <row r="226" spans="1:27" ht="15.75" customHeight="1">
      <c r="A226" s="71"/>
      <c r="B226" s="263"/>
      <c r="C226" s="264"/>
      <c r="D226" s="71"/>
      <c r="E226" s="71"/>
      <c r="F226" s="265"/>
      <c r="G226" s="263"/>
      <c r="H226" s="71"/>
      <c r="I226" s="265"/>
      <c r="J226" s="71"/>
      <c r="K226" s="266"/>
      <c r="L226" s="266"/>
      <c r="M226" s="266"/>
      <c r="N226" s="266"/>
      <c r="O226" s="266"/>
      <c r="P226" s="266"/>
      <c r="Q226" s="267"/>
      <c r="R226" s="71"/>
      <c r="S226" s="71"/>
      <c r="T226" s="222"/>
      <c r="U226" s="71"/>
      <c r="V226" s="71"/>
      <c r="W226" s="71"/>
      <c r="X226" s="71"/>
      <c r="Y226" s="71"/>
      <c r="Z226" s="71"/>
      <c r="AA226" s="71"/>
    </row>
    <row r="227" spans="1:27" ht="15.75" customHeight="1">
      <c r="A227" s="71"/>
      <c r="B227" s="263"/>
      <c r="C227" s="264"/>
      <c r="D227" s="71"/>
      <c r="E227" s="71"/>
      <c r="F227" s="265"/>
      <c r="G227" s="263"/>
      <c r="H227" s="71"/>
      <c r="I227" s="265"/>
      <c r="J227" s="71"/>
      <c r="K227" s="266"/>
      <c r="L227" s="266"/>
      <c r="M227" s="266"/>
      <c r="N227" s="266"/>
      <c r="O227" s="266"/>
      <c r="P227" s="266"/>
      <c r="Q227" s="267"/>
      <c r="R227" s="71"/>
      <c r="S227" s="71"/>
      <c r="T227" s="222"/>
      <c r="U227" s="71"/>
      <c r="V227" s="71"/>
      <c r="W227" s="71"/>
      <c r="X227" s="71"/>
      <c r="Y227" s="71"/>
      <c r="Z227" s="71"/>
      <c r="AA227" s="71"/>
    </row>
    <row r="228" spans="1:27" ht="15.75" customHeight="1">
      <c r="A228" s="71"/>
      <c r="B228" s="263"/>
      <c r="C228" s="264"/>
      <c r="D228" s="71"/>
      <c r="E228" s="71"/>
      <c r="F228" s="265"/>
      <c r="G228" s="263"/>
      <c r="H228" s="71"/>
      <c r="I228" s="265"/>
      <c r="J228" s="71"/>
      <c r="K228" s="266"/>
      <c r="L228" s="266"/>
      <c r="M228" s="266"/>
      <c r="N228" s="266"/>
      <c r="O228" s="266"/>
      <c r="P228" s="266"/>
      <c r="Q228" s="267"/>
      <c r="R228" s="71"/>
      <c r="S228" s="71"/>
      <c r="T228" s="222"/>
      <c r="U228" s="71"/>
      <c r="V228" s="71"/>
      <c r="W228" s="71"/>
      <c r="X228" s="71"/>
      <c r="Y228" s="71"/>
      <c r="Z228" s="71"/>
      <c r="AA228" s="71"/>
    </row>
    <row r="229" spans="1:27" ht="15.75" customHeight="1">
      <c r="A229" s="71"/>
      <c r="B229" s="263"/>
      <c r="C229" s="264"/>
      <c r="D229" s="71"/>
      <c r="E229" s="71"/>
      <c r="F229" s="265"/>
      <c r="G229" s="263"/>
      <c r="H229" s="71"/>
      <c r="I229" s="265"/>
      <c r="J229" s="71"/>
      <c r="K229" s="266"/>
      <c r="L229" s="266"/>
      <c r="M229" s="266"/>
      <c r="N229" s="266"/>
      <c r="O229" s="266"/>
      <c r="P229" s="266"/>
      <c r="Q229" s="267"/>
      <c r="R229" s="71"/>
      <c r="S229" s="71"/>
      <c r="T229" s="222"/>
      <c r="U229" s="71"/>
      <c r="V229" s="71"/>
      <c r="W229" s="71"/>
      <c r="X229" s="71"/>
      <c r="Y229" s="71"/>
      <c r="Z229" s="71"/>
      <c r="AA229" s="71"/>
    </row>
    <row r="230" spans="1:27" ht="15.75" customHeight="1">
      <c r="A230" s="71"/>
      <c r="B230" s="263"/>
      <c r="C230" s="264"/>
      <c r="D230" s="71"/>
      <c r="E230" s="71"/>
      <c r="F230" s="265"/>
      <c r="G230" s="263"/>
      <c r="H230" s="71"/>
      <c r="I230" s="265"/>
      <c r="J230" s="71"/>
      <c r="K230" s="266"/>
      <c r="L230" s="266"/>
      <c r="M230" s="266"/>
      <c r="N230" s="266"/>
      <c r="O230" s="266"/>
      <c r="P230" s="266"/>
      <c r="Q230" s="267"/>
      <c r="R230" s="71"/>
      <c r="S230" s="71"/>
      <c r="T230" s="222"/>
      <c r="U230" s="71"/>
      <c r="V230" s="71"/>
      <c r="W230" s="71"/>
      <c r="X230" s="71"/>
      <c r="Y230" s="71"/>
      <c r="Z230" s="71"/>
      <c r="AA230" s="71"/>
    </row>
    <row r="231" spans="1:27" ht="15.75" customHeight="1">
      <c r="A231" s="71"/>
      <c r="B231" s="263"/>
      <c r="C231" s="264"/>
      <c r="D231" s="71"/>
      <c r="E231" s="71"/>
      <c r="F231" s="265"/>
      <c r="G231" s="263"/>
      <c r="H231" s="71"/>
      <c r="I231" s="265"/>
      <c r="J231" s="71"/>
      <c r="K231" s="266"/>
      <c r="L231" s="266"/>
      <c r="M231" s="266"/>
      <c r="N231" s="266"/>
      <c r="O231" s="266"/>
      <c r="P231" s="266"/>
      <c r="Q231" s="267"/>
      <c r="R231" s="71"/>
      <c r="S231" s="71"/>
      <c r="T231" s="222"/>
      <c r="U231" s="71"/>
      <c r="V231" s="71"/>
      <c r="W231" s="71"/>
      <c r="X231" s="71"/>
      <c r="Y231" s="71"/>
      <c r="Z231" s="71"/>
      <c r="AA231" s="71"/>
    </row>
    <row r="232" spans="1:27" ht="15.75" customHeight="1">
      <c r="A232" s="71"/>
      <c r="B232" s="263"/>
      <c r="C232" s="264"/>
      <c r="D232" s="71"/>
      <c r="E232" s="71"/>
      <c r="F232" s="265"/>
      <c r="G232" s="263"/>
      <c r="H232" s="71"/>
      <c r="I232" s="265"/>
      <c r="J232" s="71"/>
      <c r="K232" s="266"/>
      <c r="L232" s="266"/>
      <c r="M232" s="266"/>
      <c r="N232" s="266"/>
      <c r="O232" s="266"/>
      <c r="P232" s="266"/>
      <c r="Q232" s="267"/>
      <c r="R232" s="71"/>
      <c r="S232" s="71"/>
      <c r="T232" s="222"/>
      <c r="U232" s="71"/>
      <c r="V232" s="71"/>
      <c r="W232" s="71"/>
      <c r="X232" s="71"/>
      <c r="Y232" s="71"/>
      <c r="Z232" s="71"/>
      <c r="AA232" s="71"/>
    </row>
    <row r="233" spans="1:27" ht="15.75" customHeight="1">
      <c r="A233" s="71"/>
      <c r="B233" s="263"/>
      <c r="C233" s="264"/>
      <c r="D233" s="71"/>
      <c r="E233" s="71"/>
      <c r="F233" s="265"/>
      <c r="G233" s="263"/>
      <c r="H233" s="71"/>
      <c r="I233" s="265"/>
      <c r="J233" s="71"/>
      <c r="K233" s="266"/>
      <c r="L233" s="266"/>
      <c r="M233" s="266"/>
      <c r="N233" s="266"/>
      <c r="O233" s="266"/>
      <c r="P233" s="266"/>
      <c r="Q233" s="267"/>
      <c r="R233" s="71"/>
      <c r="S233" s="71"/>
      <c r="T233" s="222"/>
      <c r="U233" s="71"/>
      <c r="V233" s="71"/>
      <c r="W233" s="71"/>
      <c r="X233" s="71"/>
      <c r="Y233" s="71"/>
      <c r="Z233" s="71"/>
      <c r="AA233" s="71"/>
    </row>
    <row r="234" spans="1:27" ht="15.75" customHeight="1">
      <c r="A234" s="71"/>
      <c r="B234" s="263"/>
      <c r="C234" s="264"/>
      <c r="D234" s="71"/>
      <c r="E234" s="71"/>
      <c r="F234" s="265"/>
      <c r="G234" s="263"/>
      <c r="H234" s="71"/>
      <c r="I234" s="265"/>
      <c r="J234" s="71"/>
      <c r="K234" s="266"/>
      <c r="L234" s="266"/>
      <c r="M234" s="266"/>
      <c r="N234" s="266"/>
      <c r="O234" s="266"/>
      <c r="P234" s="266"/>
      <c r="Q234" s="267"/>
      <c r="R234" s="71"/>
      <c r="S234" s="71"/>
      <c r="T234" s="222"/>
      <c r="U234" s="71"/>
      <c r="V234" s="71"/>
      <c r="W234" s="71"/>
      <c r="X234" s="71"/>
      <c r="Y234" s="71"/>
      <c r="Z234" s="71"/>
      <c r="AA234" s="71"/>
    </row>
    <row r="235" spans="1:27" ht="15.75" customHeight="1">
      <c r="A235" s="71"/>
      <c r="B235" s="263"/>
      <c r="C235" s="264"/>
      <c r="D235" s="71"/>
      <c r="E235" s="71"/>
      <c r="F235" s="265"/>
      <c r="G235" s="263"/>
      <c r="H235" s="71"/>
      <c r="I235" s="265"/>
      <c r="J235" s="71"/>
      <c r="K235" s="266"/>
      <c r="L235" s="266"/>
      <c r="M235" s="266"/>
      <c r="N235" s="266"/>
      <c r="O235" s="266"/>
      <c r="P235" s="266"/>
      <c r="Q235" s="267"/>
      <c r="R235" s="71"/>
      <c r="S235" s="71"/>
      <c r="T235" s="222"/>
      <c r="U235" s="71"/>
      <c r="V235" s="71"/>
      <c r="W235" s="71"/>
      <c r="X235" s="71"/>
      <c r="Y235" s="71"/>
      <c r="Z235" s="71"/>
      <c r="AA235" s="71"/>
    </row>
    <row r="236" spans="1:27" ht="15.75" customHeight="1">
      <c r="A236" s="71"/>
      <c r="B236" s="263"/>
      <c r="C236" s="264"/>
      <c r="D236" s="71"/>
      <c r="E236" s="71"/>
      <c r="F236" s="265"/>
      <c r="G236" s="263"/>
      <c r="H236" s="71"/>
      <c r="I236" s="265"/>
      <c r="J236" s="71"/>
      <c r="K236" s="266"/>
      <c r="L236" s="266"/>
      <c r="M236" s="266"/>
      <c r="N236" s="266"/>
      <c r="O236" s="266"/>
      <c r="P236" s="266"/>
      <c r="Q236" s="267"/>
      <c r="R236" s="71"/>
      <c r="S236" s="71"/>
      <c r="T236" s="222"/>
      <c r="U236" s="71"/>
      <c r="V236" s="71"/>
      <c r="W236" s="71"/>
      <c r="X236" s="71"/>
      <c r="Y236" s="71"/>
      <c r="Z236" s="71"/>
      <c r="AA236" s="71"/>
    </row>
    <row r="237" spans="1:27" ht="15.75" customHeight="1">
      <c r="A237" s="71"/>
      <c r="B237" s="263"/>
      <c r="C237" s="264"/>
      <c r="D237" s="71"/>
      <c r="E237" s="71"/>
      <c r="F237" s="265"/>
      <c r="G237" s="263"/>
      <c r="H237" s="71"/>
      <c r="I237" s="265"/>
      <c r="J237" s="71"/>
      <c r="K237" s="266"/>
      <c r="L237" s="266"/>
      <c r="M237" s="266"/>
      <c r="N237" s="266"/>
      <c r="O237" s="266"/>
      <c r="P237" s="266"/>
      <c r="Q237" s="267"/>
      <c r="R237" s="71"/>
      <c r="S237" s="71"/>
      <c r="T237" s="222"/>
      <c r="U237" s="71"/>
      <c r="V237" s="71"/>
      <c r="W237" s="71"/>
      <c r="X237" s="71"/>
      <c r="Y237" s="71"/>
      <c r="Z237" s="71"/>
      <c r="AA237" s="71"/>
    </row>
    <row r="238" spans="1:27" ht="15.75" customHeight="1">
      <c r="A238" s="71"/>
      <c r="B238" s="263"/>
      <c r="C238" s="264"/>
      <c r="D238" s="71"/>
      <c r="E238" s="71"/>
      <c r="F238" s="265"/>
      <c r="G238" s="263"/>
      <c r="H238" s="71"/>
      <c r="I238" s="265"/>
      <c r="J238" s="71"/>
      <c r="K238" s="266"/>
      <c r="L238" s="266"/>
      <c r="M238" s="266"/>
      <c r="N238" s="266"/>
      <c r="O238" s="266"/>
      <c r="P238" s="266"/>
      <c r="Q238" s="267"/>
      <c r="R238" s="71"/>
      <c r="S238" s="71"/>
      <c r="T238" s="222"/>
      <c r="U238" s="71"/>
      <c r="V238" s="71"/>
      <c r="W238" s="71"/>
      <c r="X238" s="71"/>
      <c r="Y238" s="71"/>
      <c r="Z238" s="71"/>
      <c r="AA238" s="71"/>
    </row>
    <row r="239" spans="1:27" ht="15.75" customHeight="1">
      <c r="A239" s="71"/>
      <c r="B239" s="263"/>
      <c r="C239" s="264"/>
      <c r="D239" s="71"/>
      <c r="E239" s="71"/>
      <c r="F239" s="265"/>
      <c r="G239" s="263"/>
      <c r="H239" s="71"/>
      <c r="I239" s="265"/>
      <c r="J239" s="71"/>
      <c r="K239" s="266"/>
      <c r="L239" s="266"/>
      <c r="M239" s="266"/>
      <c r="N239" s="266"/>
      <c r="O239" s="266"/>
      <c r="P239" s="266"/>
      <c r="Q239" s="267"/>
      <c r="R239" s="71"/>
      <c r="S239" s="71"/>
      <c r="T239" s="222"/>
      <c r="U239" s="71"/>
      <c r="V239" s="71"/>
      <c r="W239" s="71"/>
      <c r="X239" s="71"/>
      <c r="Y239" s="71"/>
      <c r="Z239" s="71"/>
      <c r="AA239" s="71"/>
    </row>
    <row r="240" spans="1:27" ht="15.75" customHeight="1">
      <c r="A240" s="71"/>
      <c r="B240" s="263"/>
      <c r="C240" s="264"/>
      <c r="D240" s="71"/>
      <c r="E240" s="71"/>
      <c r="F240" s="265"/>
      <c r="G240" s="263"/>
      <c r="H240" s="71"/>
      <c r="I240" s="265"/>
      <c r="J240" s="71"/>
      <c r="K240" s="266"/>
      <c r="L240" s="266"/>
      <c r="M240" s="266"/>
      <c r="N240" s="266"/>
      <c r="O240" s="266"/>
      <c r="P240" s="266"/>
      <c r="Q240" s="267"/>
      <c r="R240" s="71"/>
      <c r="S240" s="71"/>
      <c r="T240" s="222"/>
      <c r="U240" s="71"/>
      <c r="V240" s="71"/>
      <c r="W240" s="71"/>
      <c r="X240" s="71"/>
      <c r="Y240" s="71"/>
      <c r="Z240" s="71"/>
      <c r="AA240" s="71"/>
    </row>
    <row r="241" spans="1:27" ht="15.75" customHeight="1">
      <c r="A241" s="71"/>
      <c r="B241" s="263"/>
      <c r="C241" s="264"/>
      <c r="D241" s="71"/>
      <c r="E241" s="71"/>
      <c r="F241" s="265"/>
      <c r="G241" s="263"/>
      <c r="H241" s="71"/>
      <c r="I241" s="265"/>
      <c r="J241" s="71"/>
      <c r="K241" s="266"/>
      <c r="L241" s="266"/>
      <c r="M241" s="266"/>
      <c r="N241" s="266"/>
      <c r="O241" s="266"/>
      <c r="P241" s="266"/>
      <c r="Q241" s="267"/>
      <c r="R241" s="71"/>
      <c r="S241" s="71"/>
      <c r="T241" s="222"/>
      <c r="U241" s="71"/>
      <c r="V241" s="71"/>
      <c r="W241" s="71"/>
      <c r="X241" s="71"/>
      <c r="Y241" s="71"/>
      <c r="Z241" s="71"/>
      <c r="AA241" s="71"/>
    </row>
    <row r="242" spans="1:27" ht="15.75" customHeight="1">
      <c r="A242" s="71"/>
      <c r="B242" s="263"/>
      <c r="C242" s="264"/>
      <c r="D242" s="71"/>
      <c r="E242" s="71"/>
      <c r="F242" s="265"/>
      <c r="G242" s="263"/>
      <c r="H242" s="71"/>
      <c r="I242" s="265"/>
      <c r="J242" s="71"/>
      <c r="K242" s="266"/>
      <c r="L242" s="266"/>
      <c r="M242" s="266"/>
      <c r="N242" s="266"/>
      <c r="O242" s="266"/>
      <c r="P242" s="266"/>
      <c r="Q242" s="267"/>
      <c r="R242" s="71"/>
      <c r="S242" s="71"/>
      <c r="T242" s="222"/>
      <c r="U242" s="71"/>
      <c r="V242" s="71"/>
      <c r="W242" s="71"/>
      <c r="X242" s="71"/>
      <c r="Y242" s="71"/>
      <c r="Z242" s="71"/>
      <c r="AA242" s="71"/>
    </row>
    <row r="243" spans="1:27" ht="15.75" customHeight="1">
      <c r="A243" s="71"/>
      <c r="B243" s="263"/>
      <c r="C243" s="264"/>
      <c r="D243" s="71"/>
      <c r="E243" s="71"/>
      <c r="F243" s="265"/>
      <c r="G243" s="263"/>
      <c r="H243" s="71"/>
      <c r="I243" s="265"/>
      <c r="J243" s="71"/>
      <c r="K243" s="266"/>
      <c r="L243" s="266"/>
      <c r="M243" s="266"/>
      <c r="N243" s="266"/>
      <c r="O243" s="266"/>
      <c r="P243" s="266"/>
      <c r="Q243" s="267"/>
      <c r="R243" s="71"/>
      <c r="S243" s="71"/>
      <c r="T243" s="222"/>
      <c r="U243" s="71"/>
      <c r="V243" s="71"/>
      <c r="W243" s="71"/>
      <c r="X243" s="71"/>
      <c r="Y243" s="71"/>
      <c r="Z243" s="71"/>
      <c r="AA243" s="71"/>
    </row>
    <row r="244" spans="1:27" ht="15.75" customHeight="1">
      <c r="A244" s="71"/>
      <c r="B244" s="263"/>
      <c r="C244" s="264"/>
      <c r="D244" s="71"/>
      <c r="E244" s="71"/>
      <c r="F244" s="265"/>
      <c r="G244" s="263"/>
      <c r="H244" s="71"/>
      <c r="I244" s="265"/>
      <c r="J244" s="71"/>
      <c r="K244" s="266"/>
      <c r="L244" s="266"/>
      <c r="M244" s="266"/>
      <c r="N244" s="266"/>
      <c r="O244" s="266"/>
      <c r="P244" s="266"/>
      <c r="Q244" s="267"/>
      <c r="R244" s="71"/>
      <c r="S244" s="71"/>
      <c r="T244" s="222"/>
      <c r="U244" s="71"/>
      <c r="V244" s="71"/>
      <c r="W244" s="71"/>
      <c r="X244" s="71"/>
      <c r="Y244" s="71"/>
      <c r="Z244" s="71"/>
      <c r="AA244" s="71"/>
    </row>
    <row r="245" spans="1:27" ht="15.75" customHeight="1">
      <c r="A245" s="71"/>
      <c r="B245" s="263"/>
      <c r="C245" s="264"/>
      <c r="D245" s="71"/>
      <c r="E245" s="71"/>
      <c r="F245" s="265"/>
      <c r="G245" s="263"/>
      <c r="H245" s="71"/>
      <c r="I245" s="265"/>
      <c r="J245" s="71"/>
      <c r="K245" s="266"/>
      <c r="L245" s="266"/>
      <c r="M245" s="266"/>
      <c r="N245" s="266"/>
      <c r="O245" s="266"/>
      <c r="P245" s="266"/>
      <c r="Q245" s="267"/>
      <c r="R245" s="71"/>
      <c r="S245" s="71"/>
      <c r="T245" s="222"/>
      <c r="U245" s="71"/>
      <c r="V245" s="71"/>
      <c r="W245" s="71"/>
      <c r="X245" s="71"/>
      <c r="Y245" s="71"/>
      <c r="Z245" s="71"/>
      <c r="AA245" s="71"/>
    </row>
    <row r="246" spans="1:27" ht="15.75" customHeight="1">
      <c r="A246" s="71"/>
      <c r="B246" s="263"/>
      <c r="C246" s="264"/>
      <c r="D246" s="71"/>
      <c r="E246" s="71"/>
      <c r="F246" s="265"/>
      <c r="G246" s="263"/>
      <c r="H246" s="71"/>
      <c r="I246" s="265"/>
      <c r="J246" s="71"/>
      <c r="K246" s="266"/>
      <c r="L246" s="266"/>
      <c r="M246" s="266"/>
      <c r="N246" s="266"/>
      <c r="O246" s="266"/>
      <c r="P246" s="266"/>
      <c r="Q246" s="267"/>
      <c r="R246" s="71"/>
      <c r="S246" s="71"/>
      <c r="T246" s="222"/>
      <c r="U246" s="71"/>
      <c r="V246" s="71"/>
      <c r="W246" s="71"/>
      <c r="X246" s="71"/>
      <c r="Y246" s="71"/>
      <c r="Z246" s="71"/>
      <c r="AA246" s="71"/>
    </row>
    <row r="247" spans="1:27" ht="15.75" customHeight="1">
      <c r="A247" s="71"/>
      <c r="B247" s="263"/>
      <c r="C247" s="264"/>
      <c r="D247" s="71"/>
      <c r="E247" s="71"/>
      <c r="F247" s="265"/>
      <c r="G247" s="263"/>
      <c r="H247" s="71"/>
      <c r="I247" s="265"/>
      <c r="J247" s="71"/>
      <c r="K247" s="266"/>
      <c r="L247" s="266"/>
      <c r="M247" s="266"/>
      <c r="N247" s="266"/>
      <c r="O247" s="266"/>
      <c r="P247" s="266"/>
      <c r="Q247" s="267"/>
      <c r="R247" s="71"/>
      <c r="S247" s="71"/>
      <c r="T247" s="222"/>
      <c r="U247" s="71"/>
      <c r="V247" s="71"/>
      <c r="W247" s="71"/>
      <c r="X247" s="71"/>
      <c r="Y247" s="71"/>
      <c r="Z247" s="71"/>
      <c r="AA247" s="71"/>
    </row>
    <row r="248" spans="1:27" ht="15.75" customHeight="1">
      <c r="A248" s="71"/>
      <c r="B248" s="263"/>
      <c r="C248" s="264"/>
      <c r="D248" s="71"/>
      <c r="E248" s="71"/>
      <c r="F248" s="265"/>
      <c r="G248" s="263"/>
      <c r="H248" s="71"/>
      <c r="I248" s="265"/>
      <c r="J248" s="71"/>
      <c r="K248" s="266"/>
      <c r="L248" s="266"/>
      <c r="M248" s="266"/>
      <c r="N248" s="266"/>
      <c r="O248" s="266"/>
      <c r="P248" s="266"/>
      <c r="Q248" s="267"/>
      <c r="R248" s="71"/>
      <c r="S248" s="71"/>
      <c r="T248" s="222"/>
      <c r="U248" s="71"/>
      <c r="V248" s="71"/>
      <c r="W248" s="71"/>
      <c r="X248" s="71"/>
      <c r="Y248" s="71"/>
      <c r="Z248" s="71"/>
      <c r="AA248" s="71"/>
    </row>
    <row r="249" spans="1:27" ht="15.75" customHeight="1">
      <c r="A249" s="71"/>
      <c r="B249" s="263"/>
      <c r="C249" s="264"/>
      <c r="D249" s="71"/>
      <c r="E249" s="71"/>
      <c r="F249" s="265"/>
      <c r="G249" s="263"/>
      <c r="H249" s="71"/>
      <c r="I249" s="265"/>
      <c r="J249" s="71"/>
      <c r="K249" s="266"/>
      <c r="L249" s="266"/>
      <c r="M249" s="266"/>
      <c r="N249" s="266"/>
      <c r="O249" s="266"/>
      <c r="P249" s="266"/>
      <c r="Q249" s="267"/>
      <c r="R249" s="71"/>
      <c r="S249" s="71"/>
      <c r="T249" s="222"/>
      <c r="U249" s="71"/>
      <c r="V249" s="71"/>
      <c r="W249" s="71"/>
      <c r="X249" s="71"/>
      <c r="Y249" s="71"/>
      <c r="Z249" s="71"/>
      <c r="AA249" s="71"/>
    </row>
    <row r="250" spans="1:27" ht="15.75" customHeight="1">
      <c r="A250" s="71"/>
      <c r="B250" s="263"/>
      <c r="C250" s="264"/>
      <c r="D250" s="71"/>
      <c r="E250" s="71"/>
      <c r="F250" s="265"/>
      <c r="G250" s="263"/>
      <c r="H250" s="71"/>
      <c r="I250" s="265"/>
      <c r="J250" s="71"/>
      <c r="K250" s="266"/>
      <c r="L250" s="266"/>
      <c r="M250" s="266"/>
      <c r="N250" s="266"/>
      <c r="O250" s="266"/>
      <c r="P250" s="266"/>
      <c r="Q250" s="267"/>
      <c r="R250" s="71"/>
      <c r="S250" s="71"/>
      <c r="T250" s="222"/>
      <c r="U250" s="71"/>
      <c r="V250" s="71"/>
      <c r="W250" s="71"/>
      <c r="X250" s="71"/>
      <c r="Y250" s="71"/>
      <c r="Z250" s="71"/>
      <c r="AA250" s="71"/>
    </row>
    <row r="251" spans="1:27" ht="15.75" customHeight="1">
      <c r="A251" s="71"/>
      <c r="B251" s="263"/>
      <c r="C251" s="264"/>
      <c r="D251" s="71"/>
      <c r="E251" s="71"/>
      <c r="F251" s="265"/>
      <c r="G251" s="263"/>
      <c r="H251" s="71"/>
      <c r="I251" s="265"/>
      <c r="J251" s="71"/>
      <c r="K251" s="266"/>
      <c r="L251" s="266"/>
      <c r="M251" s="266"/>
      <c r="N251" s="266"/>
      <c r="O251" s="266"/>
      <c r="P251" s="266"/>
      <c r="Q251" s="267"/>
      <c r="R251" s="71"/>
      <c r="S251" s="71"/>
      <c r="T251" s="222"/>
      <c r="U251" s="71"/>
      <c r="V251" s="71"/>
      <c r="W251" s="71"/>
      <c r="X251" s="71"/>
      <c r="Y251" s="71"/>
      <c r="Z251" s="71"/>
      <c r="AA251" s="71"/>
    </row>
    <row r="252" spans="1:27" ht="15.75" customHeight="1">
      <c r="A252" s="71"/>
      <c r="B252" s="263"/>
      <c r="C252" s="264"/>
      <c r="D252" s="71"/>
      <c r="E252" s="71"/>
      <c r="F252" s="265"/>
      <c r="G252" s="263"/>
      <c r="H252" s="71"/>
      <c r="I252" s="265"/>
      <c r="J252" s="71"/>
      <c r="K252" s="266"/>
      <c r="L252" s="266"/>
      <c r="M252" s="266"/>
      <c r="N252" s="266"/>
      <c r="O252" s="266"/>
      <c r="P252" s="266"/>
      <c r="Q252" s="267"/>
      <c r="R252" s="71"/>
      <c r="S252" s="71"/>
      <c r="T252" s="222"/>
      <c r="U252" s="71"/>
      <c r="V252" s="71"/>
      <c r="W252" s="71"/>
      <c r="X252" s="71"/>
      <c r="Y252" s="71"/>
      <c r="Z252" s="71"/>
      <c r="AA252" s="71"/>
    </row>
    <row r="253" spans="1:27" ht="15.75" customHeight="1">
      <c r="A253" s="71"/>
      <c r="B253" s="263"/>
      <c r="C253" s="264"/>
      <c r="D253" s="71"/>
      <c r="E253" s="71"/>
      <c r="F253" s="265"/>
      <c r="G253" s="263"/>
      <c r="H253" s="71"/>
      <c r="I253" s="265"/>
      <c r="J253" s="71"/>
      <c r="K253" s="266"/>
      <c r="L253" s="266"/>
      <c r="M253" s="266"/>
      <c r="N253" s="266"/>
      <c r="O253" s="266"/>
      <c r="P253" s="266"/>
      <c r="Q253" s="267"/>
      <c r="R253" s="71"/>
      <c r="S253" s="71"/>
      <c r="T253" s="222"/>
      <c r="U253" s="71"/>
      <c r="V253" s="71"/>
      <c r="W253" s="71"/>
      <c r="X253" s="71"/>
      <c r="Y253" s="71"/>
      <c r="Z253" s="71"/>
      <c r="AA253" s="71"/>
    </row>
    <row r="254" spans="1:27" ht="15.75" customHeight="1">
      <c r="A254" s="71"/>
      <c r="B254" s="263"/>
      <c r="C254" s="264"/>
      <c r="D254" s="71"/>
      <c r="E254" s="71"/>
      <c r="F254" s="265"/>
      <c r="G254" s="263"/>
      <c r="H254" s="71"/>
      <c r="I254" s="265"/>
      <c r="J254" s="71"/>
      <c r="K254" s="266"/>
      <c r="L254" s="266"/>
      <c r="M254" s="266"/>
      <c r="N254" s="266"/>
      <c r="O254" s="266"/>
      <c r="P254" s="266"/>
      <c r="Q254" s="267"/>
      <c r="R254" s="71"/>
      <c r="S254" s="71"/>
      <c r="T254" s="222"/>
      <c r="U254" s="71"/>
      <c r="V254" s="71"/>
      <c r="W254" s="71"/>
      <c r="X254" s="71"/>
      <c r="Y254" s="71"/>
      <c r="Z254" s="71"/>
      <c r="AA254" s="71"/>
    </row>
    <row r="255" spans="1:27" ht="15.75" customHeight="1">
      <c r="A255" s="71"/>
      <c r="B255" s="263"/>
      <c r="C255" s="264"/>
      <c r="D255" s="71"/>
      <c r="E255" s="71"/>
      <c r="F255" s="265"/>
      <c r="G255" s="263"/>
      <c r="H255" s="71"/>
      <c r="I255" s="265"/>
      <c r="J255" s="71"/>
      <c r="K255" s="266"/>
      <c r="L255" s="266"/>
      <c r="M255" s="266"/>
      <c r="N255" s="266"/>
      <c r="O255" s="266"/>
      <c r="P255" s="266"/>
      <c r="Q255" s="267"/>
      <c r="R255" s="71"/>
      <c r="S255" s="71"/>
      <c r="T255" s="222"/>
      <c r="U255" s="71"/>
      <c r="V255" s="71"/>
      <c r="W255" s="71"/>
      <c r="X255" s="71"/>
      <c r="Y255" s="71"/>
      <c r="Z255" s="71"/>
      <c r="AA255" s="71"/>
    </row>
    <row r="256" spans="1:27" ht="15.75" customHeight="1">
      <c r="A256" s="71"/>
      <c r="B256" s="263"/>
      <c r="C256" s="264"/>
      <c r="D256" s="71"/>
      <c r="E256" s="71"/>
      <c r="F256" s="265"/>
      <c r="G256" s="263"/>
      <c r="H256" s="71"/>
      <c r="I256" s="265"/>
      <c r="J256" s="71"/>
      <c r="K256" s="266"/>
      <c r="L256" s="266"/>
      <c r="M256" s="266"/>
      <c r="N256" s="266"/>
      <c r="O256" s="266"/>
      <c r="P256" s="266"/>
      <c r="Q256" s="267"/>
      <c r="R256" s="71"/>
      <c r="S256" s="71"/>
      <c r="T256" s="222"/>
      <c r="U256" s="71"/>
      <c r="V256" s="71"/>
      <c r="W256" s="71"/>
      <c r="X256" s="71"/>
      <c r="Y256" s="71"/>
      <c r="Z256" s="71"/>
      <c r="AA256" s="71"/>
    </row>
    <row r="257" spans="1:27" ht="15.75" customHeight="1">
      <c r="A257" s="71"/>
      <c r="B257" s="263"/>
      <c r="C257" s="264"/>
      <c r="D257" s="71"/>
      <c r="E257" s="71"/>
      <c r="F257" s="265"/>
      <c r="G257" s="263"/>
      <c r="H257" s="71"/>
      <c r="I257" s="265"/>
      <c r="J257" s="71"/>
      <c r="K257" s="266"/>
      <c r="L257" s="266"/>
      <c r="M257" s="266"/>
      <c r="N257" s="266"/>
      <c r="O257" s="266"/>
      <c r="P257" s="266"/>
      <c r="Q257" s="267"/>
      <c r="R257" s="71"/>
      <c r="S257" s="71"/>
      <c r="T257" s="222"/>
      <c r="U257" s="71"/>
      <c r="V257" s="71"/>
      <c r="W257" s="71"/>
      <c r="X257" s="71"/>
      <c r="Y257" s="71"/>
      <c r="Z257" s="71"/>
      <c r="AA257" s="71"/>
    </row>
    <row r="258" spans="1:27" ht="15.75" customHeight="1">
      <c r="A258" s="71"/>
      <c r="B258" s="263"/>
      <c r="C258" s="264"/>
      <c r="D258" s="71"/>
      <c r="E258" s="71"/>
      <c r="F258" s="265"/>
      <c r="G258" s="263"/>
      <c r="H258" s="71"/>
      <c r="I258" s="265"/>
      <c r="J258" s="71"/>
      <c r="K258" s="266"/>
      <c r="L258" s="266"/>
      <c r="M258" s="266"/>
      <c r="N258" s="266"/>
      <c r="O258" s="266"/>
      <c r="P258" s="266"/>
      <c r="Q258" s="267"/>
      <c r="R258" s="71"/>
      <c r="S258" s="71"/>
      <c r="T258" s="222"/>
      <c r="U258" s="71"/>
      <c r="V258" s="71"/>
      <c r="W258" s="71"/>
      <c r="X258" s="71"/>
      <c r="Y258" s="71"/>
      <c r="Z258" s="71"/>
      <c r="AA258" s="71"/>
    </row>
    <row r="259" spans="1:27" ht="15.75" customHeight="1">
      <c r="A259" s="71"/>
      <c r="B259" s="263"/>
      <c r="C259" s="264"/>
      <c r="D259" s="71"/>
      <c r="E259" s="71"/>
      <c r="F259" s="265"/>
      <c r="G259" s="263"/>
      <c r="H259" s="71"/>
      <c r="I259" s="265"/>
      <c r="J259" s="71"/>
      <c r="K259" s="266"/>
      <c r="L259" s="266"/>
      <c r="M259" s="266"/>
      <c r="N259" s="266"/>
      <c r="O259" s="266"/>
      <c r="P259" s="266"/>
      <c r="Q259" s="267"/>
      <c r="R259" s="71"/>
      <c r="S259" s="71"/>
      <c r="T259" s="222"/>
      <c r="U259" s="71"/>
      <c r="V259" s="71"/>
      <c r="W259" s="71"/>
      <c r="X259" s="71"/>
      <c r="Y259" s="71"/>
      <c r="Z259" s="71"/>
      <c r="AA259" s="71"/>
    </row>
    <row r="260" spans="1:27" ht="15.75" customHeight="1">
      <c r="A260" s="71"/>
      <c r="B260" s="263"/>
      <c r="C260" s="264"/>
      <c r="D260" s="71"/>
      <c r="E260" s="71"/>
      <c r="F260" s="265"/>
      <c r="G260" s="263"/>
      <c r="H260" s="71"/>
      <c r="I260" s="265"/>
      <c r="J260" s="71"/>
      <c r="K260" s="266"/>
      <c r="L260" s="266"/>
      <c r="M260" s="266"/>
      <c r="N260" s="266"/>
      <c r="O260" s="266"/>
      <c r="P260" s="266"/>
      <c r="Q260" s="267"/>
      <c r="R260" s="71"/>
      <c r="S260" s="71"/>
      <c r="T260" s="222"/>
      <c r="U260" s="71"/>
      <c r="V260" s="71"/>
      <c r="W260" s="71"/>
      <c r="X260" s="71"/>
      <c r="Y260" s="71"/>
      <c r="Z260" s="71"/>
      <c r="AA260" s="71"/>
    </row>
    <row r="261" spans="1:27" ht="15.75" customHeight="1">
      <c r="A261" s="71"/>
      <c r="B261" s="263"/>
      <c r="C261" s="264"/>
      <c r="D261" s="71"/>
      <c r="E261" s="71"/>
      <c r="F261" s="265"/>
      <c r="G261" s="263"/>
      <c r="H261" s="71"/>
      <c r="I261" s="265"/>
      <c r="J261" s="71"/>
      <c r="K261" s="266"/>
      <c r="L261" s="266"/>
      <c r="M261" s="266"/>
      <c r="N261" s="266"/>
      <c r="O261" s="266"/>
      <c r="P261" s="266"/>
      <c r="Q261" s="267"/>
      <c r="R261" s="71"/>
      <c r="S261" s="71"/>
      <c r="T261" s="222"/>
      <c r="U261" s="71"/>
      <c r="V261" s="71"/>
      <c r="W261" s="71"/>
      <c r="X261" s="71"/>
      <c r="Y261" s="71"/>
      <c r="Z261" s="71"/>
      <c r="AA261" s="71"/>
    </row>
    <row r="262" spans="1:27" ht="15.75" customHeight="1">
      <c r="A262" s="71"/>
      <c r="B262" s="263"/>
      <c r="C262" s="264"/>
      <c r="D262" s="71"/>
      <c r="E262" s="71"/>
      <c r="F262" s="265"/>
      <c r="G262" s="263"/>
      <c r="H262" s="71"/>
      <c r="I262" s="265"/>
      <c r="J262" s="71"/>
      <c r="K262" s="266"/>
      <c r="L262" s="266"/>
      <c r="M262" s="266"/>
      <c r="N262" s="266"/>
      <c r="O262" s="266"/>
      <c r="P262" s="266"/>
      <c r="Q262" s="267"/>
      <c r="R262" s="71"/>
      <c r="S262" s="71"/>
      <c r="T262" s="222"/>
      <c r="U262" s="71"/>
      <c r="V262" s="71"/>
      <c r="W262" s="71"/>
      <c r="X262" s="71"/>
      <c r="Y262" s="71"/>
      <c r="Z262" s="71"/>
      <c r="AA262" s="71"/>
    </row>
    <row r="263" spans="1:27" ht="15.75" customHeight="1">
      <c r="A263" s="71"/>
      <c r="B263" s="263"/>
      <c r="C263" s="264"/>
      <c r="D263" s="71"/>
      <c r="E263" s="71"/>
      <c r="F263" s="265"/>
      <c r="G263" s="263"/>
      <c r="H263" s="71"/>
      <c r="I263" s="265"/>
      <c r="J263" s="71"/>
      <c r="K263" s="266"/>
      <c r="L263" s="266"/>
      <c r="M263" s="266"/>
      <c r="N263" s="266"/>
      <c r="O263" s="266"/>
      <c r="P263" s="266"/>
      <c r="Q263" s="267"/>
      <c r="R263" s="71"/>
      <c r="S263" s="71"/>
      <c r="T263" s="222"/>
      <c r="U263" s="71"/>
      <c r="V263" s="71"/>
      <c r="W263" s="71"/>
      <c r="X263" s="71"/>
      <c r="Y263" s="71"/>
      <c r="Z263" s="71"/>
      <c r="AA263" s="71"/>
    </row>
    <row r="264" spans="1:27" ht="15.75" customHeight="1">
      <c r="A264" s="71"/>
      <c r="B264" s="263"/>
      <c r="C264" s="264"/>
      <c r="D264" s="71"/>
      <c r="E264" s="71"/>
      <c r="F264" s="265"/>
      <c r="G264" s="263"/>
      <c r="H264" s="71"/>
      <c r="I264" s="265"/>
      <c r="J264" s="71"/>
      <c r="K264" s="266"/>
      <c r="L264" s="266"/>
      <c r="M264" s="266"/>
      <c r="N264" s="266"/>
      <c r="O264" s="266"/>
      <c r="P264" s="266"/>
      <c r="Q264" s="267"/>
      <c r="R264" s="71"/>
      <c r="S264" s="71"/>
      <c r="T264" s="222"/>
      <c r="U264" s="71"/>
      <c r="V264" s="71"/>
      <c r="W264" s="71"/>
      <c r="X264" s="71"/>
      <c r="Y264" s="71"/>
      <c r="Z264" s="71"/>
      <c r="AA264" s="71"/>
    </row>
    <row r="265" spans="1:27" ht="15.75" customHeight="1">
      <c r="A265" s="71"/>
      <c r="B265" s="263"/>
      <c r="C265" s="264"/>
      <c r="D265" s="71"/>
      <c r="E265" s="71"/>
      <c r="F265" s="265"/>
      <c r="G265" s="263"/>
      <c r="H265" s="71"/>
      <c r="I265" s="265"/>
      <c r="J265" s="71"/>
      <c r="K265" s="266"/>
      <c r="L265" s="266"/>
      <c r="M265" s="266"/>
      <c r="N265" s="266"/>
      <c r="O265" s="266"/>
      <c r="P265" s="266"/>
      <c r="Q265" s="267"/>
      <c r="R265" s="71"/>
      <c r="S265" s="71"/>
      <c r="T265" s="222"/>
      <c r="U265" s="71"/>
      <c r="V265" s="71"/>
      <c r="W265" s="71"/>
      <c r="X265" s="71"/>
      <c r="Y265" s="71"/>
      <c r="Z265" s="71"/>
      <c r="AA265" s="71"/>
    </row>
    <row r="266" spans="1:27" ht="15.75" customHeight="1">
      <c r="A266" s="71"/>
      <c r="B266" s="263"/>
      <c r="C266" s="264"/>
      <c r="D266" s="71"/>
      <c r="E266" s="71"/>
      <c r="F266" s="265"/>
      <c r="G266" s="263"/>
      <c r="H266" s="71"/>
      <c r="I266" s="265"/>
      <c r="J266" s="71"/>
      <c r="K266" s="266"/>
      <c r="L266" s="266"/>
      <c r="M266" s="266"/>
      <c r="N266" s="266"/>
      <c r="O266" s="266"/>
      <c r="P266" s="266"/>
      <c r="Q266" s="267"/>
      <c r="R266" s="71"/>
      <c r="S266" s="71"/>
      <c r="T266" s="222"/>
      <c r="U266" s="71"/>
      <c r="V266" s="71"/>
      <c r="W266" s="71"/>
      <c r="X266" s="71"/>
      <c r="Y266" s="71"/>
      <c r="Z266" s="71"/>
      <c r="AA266" s="71"/>
    </row>
    <row r="267" spans="1:27" ht="15.75" customHeight="1">
      <c r="A267" s="71"/>
      <c r="B267" s="263"/>
      <c r="C267" s="264"/>
      <c r="D267" s="71"/>
      <c r="E267" s="71"/>
      <c r="F267" s="265"/>
      <c r="G267" s="263"/>
      <c r="H267" s="71"/>
      <c r="I267" s="265"/>
      <c r="J267" s="71"/>
      <c r="K267" s="266"/>
      <c r="L267" s="266"/>
      <c r="M267" s="266"/>
      <c r="N267" s="266"/>
      <c r="O267" s="266"/>
      <c r="P267" s="266"/>
      <c r="Q267" s="267"/>
      <c r="R267" s="71"/>
      <c r="S267" s="71"/>
      <c r="T267" s="222"/>
      <c r="U267" s="71"/>
      <c r="V267" s="71"/>
      <c r="W267" s="71"/>
      <c r="X267" s="71"/>
      <c r="Y267" s="71"/>
      <c r="Z267" s="71"/>
      <c r="AA267" s="71"/>
    </row>
    <row r="268" spans="1:27" ht="15.75" customHeight="1">
      <c r="A268" s="71"/>
      <c r="B268" s="263"/>
      <c r="C268" s="264"/>
      <c r="D268" s="71"/>
      <c r="E268" s="71"/>
      <c r="F268" s="265"/>
      <c r="G268" s="263"/>
      <c r="H268" s="71"/>
      <c r="I268" s="265"/>
      <c r="J268" s="71"/>
      <c r="K268" s="266"/>
      <c r="L268" s="266"/>
      <c r="M268" s="266"/>
      <c r="N268" s="266"/>
      <c r="O268" s="266"/>
      <c r="P268" s="266"/>
      <c r="Q268" s="267"/>
      <c r="R268" s="71"/>
      <c r="S268" s="71"/>
      <c r="T268" s="222"/>
      <c r="U268" s="71"/>
      <c r="V268" s="71"/>
      <c r="W268" s="71"/>
      <c r="X268" s="71"/>
      <c r="Y268" s="71"/>
      <c r="Z268" s="71"/>
      <c r="AA268" s="71"/>
    </row>
    <row r="269" spans="1:27" ht="15.75" customHeight="1">
      <c r="A269" s="71"/>
      <c r="B269" s="263"/>
      <c r="C269" s="264"/>
      <c r="D269" s="71"/>
      <c r="E269" s="71"/>
      <c r="F269" s="265"/>
      <c r="G269" s="263"/>
      <c r="H269" s="71"/>
      <c r="I269" s="265"/>
      <c r="J269" s="71"/>
      <c r="K269" s="266"/>
      <c r="L269" s="266"/>
      <c r="M269" s="266"/>
      <c r="N269" s="266"/>
      <c r="O269" s="266"/>
      <c r="P269" s="266"/>
      <c r="Q269" s="267"/>
      <c r="R269" s="71"/>
      <c r="S269" s="71"/>
      <c r="T269" s="222"/>
      <c r="U269" s="71"/>
      <c r="V269" s="71"/>
      <c r="W269" s="71"/>
      <c r="X269" s="71"/>
      <c r="Y269" s="71"/>
      <c r="Z269" s="71"/>
      <c r="AA269" s="71"/>
    </row>
    <row r="270" spans="1:27" ht="15.75" customHeight="1">
      <c r="A270" s="71"/>
      <c r="B270" s="263"/>
      <c r="C270" s="264"/>
      <c r="D270" s="71"/>
      <c r="E270" s="71"/>
      <c r="F270" s="265"/>
      <c r="G270" s="263"/>
      <c r="H270" s="71"/>
      <c r="I270" s="265"/>
      <c r="J270" s="71"/>
      <c r="K270" s="266"/>
      <c r="L270" s="266"/>
      <c r="M270" s="266"/>
      <c r="N270" s="266"/>
      <c r="O270" s="266"/>
      <c r="P270" s="266"/>
      <c r="Q270" s="267"/>
      <c r="R270" s="71"/>
      <c r="S270" s="71"/>
      <c r="T270" s="222"/>
      <c r="U270" s="71"/>
      <c r="V270" s="71"/>
      <c r="W270" s="71"/>
      <c r="X270" s="71"/>
      <c r="Y270" s="71"/>
      <c r="Z270" s="71"/>
      <c r="AA270" s="71"/>
    </row>
    <row r="271" spans="1:27" ht="15.75" customHeight="1">
      <c r="A271" s="71"/>
      <c r="B271" s="263"/>
      <c r="C271" s="264"/>
      <c r="D271" s="71"/>
      <c r="E271" s="71"/>
      <c r="F271" s="265"/>
      <c r="G271" s="263"/>
      <c r="H271" s="71"/>
      <c r="I271" s="265"/>
      <c r="J271" s="71"/>
      <c r="K271" s="266"/>
      <c r="L271" s="266"/>
      <c r="M271" s="266"/>
      <c r="N271" s="266"/>
      <c r="O271" s="266"/>
      <c r="P271" s="266"/>
      <c r="Q271" s="267"/>
      <c r="R271" s="71"/>
      <c r="S271" s="71"/>
      <c r="T271" s="222"/>
      <c r="U271" s="71"/>
      <c r="V271" s="71"/>
      <c r="W271" s="71"/>
      <c r="X271" s="71"/>
      <c r="Y271" s="71"/>
      <c r="Z271" s="71"/>
      <c r="AA271" s="71"/>
    </row>
    <row r="272" spans="1:27" ht="15.75" customHeight="1">
      <c r="A272" s="71"/>
      <c r="B272" s="263"/>
      <c r="C272" s="264"/>
      <c r="D272" s="71"/>
      <c r="E272" s="71"/>
      <c r="F272" s="265"/>
      <c r="G272" s="263"/>
      <c r="H272" s="71"/>
      <c r="I272" s="265"/>
      <c r="J272" s="71"/>
      <c r="K272" s="266"/>
      <c r="L272" s="266"/>
      <c r="M272" s="266"/>
      <c r="N272" s="266"/>
      <c r="O272" s="266"/>
      <c r="P272" s="266"/>
      <c r="Q272" s="267"/>
      <c r="R272" s="71"/>
      <c r="S272" s="71"/>
      <c r="T272" s="222"/>
      <c r="U272" s="71"/>
      <c r="V272" s="71"/>
      <c r="W272" s="71"/>
      <c r="X272" s="71"/>
      <c r="Y272" s="71"/>
      <c r="Z272" s="71"/>
      <c r="AA272" s="71"/>
    </row>
    <row r="273" spans="1:27" ht="15.75" customHeight="1">
      <c r="A273" s="71"/>
      <c r="B273" s="263"/>
      <c r="C273" s="264"/>
      <c r="D273" s="71"/>
      <c r="E273" s="71"/>
      <c r="F273" s="265"/>
      <c r="G273" s="263"/>
      <c r="H273" s="71"/>
      <c r="I273" s="265"/>
      <c r="J273" s="71"/>
      <c r="K273" s="266"/>
      <c r="L273" s="266"/>
      <c r="M273" s="266"/>
      <c r="N273" s="266"/>
      <c r="O273" s="266"/>
      <c r="P273" s="266"/>
      <c r="Q273" s="267"/>
      <c r="R273" s="71"/>
      <c r="S273" s="71"/>
      <c r="T273" s="222"/>
      <c r="U273" s="71"/>
      <c r="V273" s="71"/>
      <c r="W273" s="71"/>
      <c r="X273" s="71"/>
      <c r="Y273" s="71"/>
      <c r="Z273" s="71"/>
      <c r="AA273" s="71"/>
    </row>
    <row r="274" spans="1:27" ht="15.75" customHeight="1">
      <c r="A274" s="71"/>
      <c r="B274" s="263"/>
      <c r="C274" s="264"/>
      <c r="D274" s="71"/>
      <c r="E274" s="71"/>
      <c r="F274" s="265"/>
      <c r="G274" s="263"/>
      <c r="H274" s="71"/>
      <c r="I274" s="265"/>
      <c r="J274" s="71"/>
      <c r="K274" s="266"/>
      <c r="L274" s="266"/>
      <c r="M274" s="266"/>
      <c r="N274" s="266"/>
      <c r="O274" s="266"/>
      <c r="P274" s="266"/>
      <c r="Q274" s="267"/>
      <c r="R274" s="71"/>
      <c r="S274" s="71"/>
      <c r="T274" s="222"/>
      <c r="U274" s="71"/>
      <c r="V274" s="71"/>
      <c r="W274" s="71"/>
      <c r="X274" s="71"/>
      <c r="Y274" s="71"/>
      <c r="Z274" s="71"/>
      <c r="AA274" s="71"/>
    </row>
    <row r="275" spans="1:27" ht="15.75" customHeight="1">
      <c r="A275" s="71"/>
      <c r="B275" s="263"/>
      <c r="C275" s="264"/>
      <c r="D275" s="71"/>
      <c r="E275" s="71"/>
      <c r="F275" s="265"/>
      <c r="G275" s="263"/>
      <c r="H275" s="71"/>
      <c r="I275" s="265"/>
      <c r="J275" s="71"/>
      <c r="K275" s="266"/>
      <c r="L275" s="266"/>
      <c r="M275" s="266"/>
      <c r="N275" s="266"/>
      <c r="O275" s="266"/>
      <c r="P275" s="266"/>
      <c r="Q275" s="267"/>
      <c r="R275" s="71"/>
      <c r="S275" s="71"/>
      <c r="T275" s="222"/>
      <c r="U275" s="71"/>
      <c r="V275" s="71"/>
      <c r="W275" s="71"/>
      <c r="X275" s="71"/>
      <c r="Y275" s="71"/>
      <c r="Z275" s="71"/>
      <c r="AA275" s="71"/>
    </row>
    <row r="276" spans="1:27" ht="15.75" customHeight="1">
      <c r="A276" s="71"/>
      <c r="B276" s="263"/>
      <c r="C276" s="264"/>
      <c r="D276" s="71"/>
      <c r="E276" s="71"/>
      <c r="F276" s="265"/>
      <c r="G276" s="263"/>
      <c r="H276" s="71"/>
      <c r="I276" s="265"/>
      <c r="J276" s="71"/>
      <c r="K276" s="266"/>
      <c r="L276" s="266"/>
      <c r="M276" s="266"/>
      <c r="N276" s="266"/>
      <c r="O276" s="266"/>
      <c r="P276" s="266"/>
      <c r="Q276" s="267"/>
      <c r="R276" s="71"/>
      <c r="S276" s="71"/>
      <c r="T276" s="222"/>
      <c r="U276" s="71"/>
      <c r="V276" s="71"/>
      <c r="W276" s="71"/>
      <c r="X276" s="71"/>
      <c r="Y276" s="71"/>
      <c r="Z276" s="71"/>
      <c r="AA276" s="71"/>
    </row>
    <row r="277" spans="1:27" ht="15.75" customHeight="1">
      <c r="A277" s="71"/>
      <c r="B277" s="263"/>
      <c r="C277" s="264"/>
      <c r="D277" s="71"/>
      <c r="E277" s="71"/>
      <c r="F277" s="265"/>
      <c r="G277" s="263"/>
      <c r="H277" s="71"/>
      <c r="I277" s="265"/>
      <c r="J277" s="71"/>
      <c r="K277" s="266"/>
      <c r="L277" s="266"/>
      <c r="M277" s="266"/>
      <c r="N277" s="266"/>
      <c r="O277" s="266"/>
      <c r="P277" s="266"/>
      <c r="Q277" s="267"/>
      <c r="R277" s="71"/>
      <c r="S277" s="71"/>
      <c r="T277" s="222"/>
      <c r="U277" s="71"/>
      <c r="V277" s="71"/>
      <c r="W277" s="71"/>
      <c r="X277" s="71"/>
      <c r="Y277" s="71"/>
      <c r="Z277" s="71"/>
      <c r="AA277" s="71"/>
    </row>
    <row r="278" spans="1:27" ht="15.75" customHeight="1">
      <c r="A278" s="71"/>
      <c r="B278" s="263"/>
      <c r="C278" s="264"/>
      <c r="D278" s="71"/>
      <c r="E278" s="71"/>
      <c r="F278" s="265"/>
      <c r="G278" s="263"/>
      <c r="H278" s="71"/>
      <c r="I278" s="265"/>
      <c r="J278" s="71"/>
      <c r="K278" s="266"/>
      <c r="L278" s="266"/>
      <c r="M278" s="266"/>
      <c r="N278" s="266"/>
      <c r="O278" s="266"/>
      <c r="P278" s="266"/>
      <c r="Q278" s="267"/>
      <c r="R278" s="71"/>
      <c r="S278" s="71"/>
      <c r="T278" s="222"/>
      <c r="U278" s="71"/>
      <c r="V278" s="71"/>
      <c r="W278" s="71"/>
      <c r="X278" s="71"/>
      <c r="Y278" s="71"/>
      <c r="Z278" s="71"/>
      <c r="AA278" s="71"/>
    </row>
    <row r="279" spans="1:27" ht="15.75" customHeight="1">
      <c r="A279" s="71"/>
      <c r="B279" s="263"/>
      <c r="C279" s="264"/>
      <c r="D279" s="71"/>
      <c r="E279" s="71"/>
      <c r="F279" s="265"/>
      <c r="G279" s="263"/>
      <c r="H279" s="71"/>
      <c r="I279" s="265"/>
      <c r="J279" s="71"/>
      <c r="K279" s="266"/>
      <c r="L279" s="266"/>
      <c r="M279" s="266"/>
      <c r="N279" s="266"/>
      <c r="O279" s="266"/>
      <c r="P279" s="266"/>
      <c r="Q279" s="267"/>
      <c r="R279" s="71"/>
      <c r="S279" s="71"/>
      <c r="T279" s="222"/>
      <c r="U279" s="71"/>
      <c r="V279" s="71"/>
      <c r="W279" s="71"/>
      <c r="X279" s="71"/>
      <c r="Y279" s="71"/>
      <c r="Z279" s="71"/>
      <c r="AA279" s="71"/>
    </row>
    <row r="280" spans="1:27" ht="15.75" customHeight="1">
      <c r="A280" s="71"/>
      <c r="B280" s="263"/>
      <c r="C280" s="264"/>
      <c r="D280" s="71"/>
      <c r="E280" s="71"/>
      <c r="F280" s="265"/>
      <c r="G280" s="263"/>
      <c r="H280" s="71"/>
      <c r="I280" s="265"/>
      <c r="J280" s="71"/>
      <c r="K280" s="266"/>
      <c r="L280" s="266"/>
      <c r="M280" s="266"/>
      <c r="N280" s="266"/>
      <c r="O280" s="266"/>
      <c r="P280" s="266"/>
      <c r="Q280" s="267"/>
      <c r="R280" s="71"/>
      <c r="S280" s="71"/>
      <c r="T280" s="222"/>
      <c r="U280" s="71"/>
      <c r="V280" s="71"/>
      <c r="W280" s="71"/>
      <c r="X280" s="71"/>
      <c r="Y280" s="71"/>
      <c r="Z280" s="71"/>
      <c r="AA280" s="71"/>
    </row>
    <row r="281" spans="1:27" ht="15.75" customHeight="1">
      <c r="A281" s="71"/>
      <c r="B281" s="263"/>
      <c r="C281" s="264"/>
      <c r="D281" s="71"/>
      <c r="E281" s="71"/>
      <c r="F281" s="265"/>
      <c r="G281" s="263"/>
      <c r="H281" s="71"/>
      <c r="I281" s="265"/>
      <c r="J281" s="71"/>
      <c r="K281" s="266"/>
      <c r="L281" s="266"/>
      <c r="M281" s="266"/>
      <c r="N281" s="266"/>
      <c r="O281" s="266"/>
      <c r="P281" s="266"/>
      <c r="Q281" s="267"/>
      <c r="R281" s="71"/>
      <c r="S281" s="71"/>
      <c r="T281" s="222"/>
      <c r="U281" s="71"/>
      <c r="V281" s="71"/>
      <c r="W281" s="71"/>
      <c r="X281" s="71"/>
      <c r="Y281" s="71"/>
      <c r="Z281" s="71"/>
      <c r="AA281" s="71"/>
    </row>
    <row r="282" spans="1:27" ht="15.75" customHeight="1">
      <c r="A282" s="71"/>
      <c r="B282" s="263"/>
      <c r="C282" s="264"/>
      <c r="D282" s="71"/>
      <c r="E282" s="71"/>
      <c r="F282" s="265"/>
      <c r="G282" s="263"/>
      <c r="H282" s="71"/>
      <c r="I282" s="265"/>
      <c r="J282" s="71"/>
      <c r="K282" s="266"/>
      <c r="L282" s="266"/>
      <c r="M282" s="266"/>
      <c r="N282" s="266"/>
      <c r="O282" s="266"/>
      <c r="P282" s="266"/>
      <c r="Q282" s="267"/>
      <c r="R282" s="71"/>
      <c r="S282" s="71"/>
      <c r="T282" s="222"/>
      <c r="U282" s="71"/>
      <c r="V282" s="71"/>
      <c r="W282" s="71"/>
      <c r="X282" s="71"/>
      <c r="Y282" s="71"/>
      <c r="Z282" s="71"/>
      <c r="AA282" s="71"/>
    </row>
    <row r="283" spans="1:27" ht="15.75" customHeight="1">
      <c r="A283" s="71"/>
      <c r="B283" s="263"/>
      <c r="C283" s="264"/>
      <c r="D283" s="71"/>
      <c r="E283" s="71"/>
      <c r="F283" s="265"/>
      <c r="G283" s="263"/>
      <c r="H283" s="71"/>
      <c r="I283" s="265"/>
      <c r="J283" s="71"/>
      <c r="K283" s="266"/>
      <c r="L283" s="266"/>
      <c r="M283" s="266"/>
      <c r="N283" s="266"/>
      <c r="O283" s="266"/>
      <c r="P283" s="266"/>
      <c r="Q283" s="267"/>
      <c r="R283" s="71"/>
      <c r="S283" s="71"/>
      <c r="T283" s="222"/>
      <c r="U283" s="71"/>
      <c r="V283" s="71"/>
      <c r="W283" s="71"/>
      <c r="X283" s="71"/>
      <c r="Y283" s="71"/>
      <c r="Z283" s="71"/>
      <c r="AA283" s="71"/>
    </row>
    <row r="284" spans="1:27" ht="15.75" customHeight="1">
      <c r="A284" s="71"/>
      <c r="B284" s="263"/>
      <c r="C284" s="264"/>
      <c r="D284" s="71"/>
      <c r="E284" s="71"/>
      <c r="F284" s="265"/>
      <c r="G284" s="263"/>
      <c r="H284" s="71"/>
      <c r="I284" s="265"/>
      <c r="J284" s="71"/>
      <c r="K284" s="266"/>
      <c r="L284" s="266"/>
      <c r="M284" s="266"/>
      <c r="N284" s="266"/>
      <c r="O284" s="266"/>
      <c r="P284" s="266"/>
      <c r="Q284" s="267"/>
      <c r="R284" s="71"/>
      <c r="S284" s="71"/>
      <c r="T284" s="222"/>
      <c r="U284" s="71"/>
      <c r="V284" s="71"/>
      <c r="W284" s="71"/>
      <c r="X284" s="71"/>
      <c r="Y284" s="71"/>
      <c r="Z284" s="71"/>
      <c r="AA284" s="71"/>
    </row>
    <row r="285" spans="1:27" ht="15.75" customHeight="1">
      <c r="A285" s="71"/>
      <c r="B285" s="263"/>
      <c r="C285" s="264"/>
      <c r="D285" s="71"/>
      <c r="E285" s="71"/>
      <c r="F285" s="265"/>
      <c r="G285" s="263"/>
      <c r="H285" s="71"/>
      <c r="I285" s="265"/>
      <c r="J285" s="71"/>
      <c r="K285" s="266"/>
      <c r="L285" s="266"/>
      <c r="M285" s="266"/>
      <c r="N285" s="266"/>
      <c r="O285" s="266"/>
      <c r="P285" s="266"/>
      <c r="Q285" s="267"/>
      <c r="R285" s="71"/>
      <c r="S285" s="71"/>
      <c r="T285" s="222"/>
      <c r="U285" s="71"/>
      <c r="V285" s="71"/>
      <c r="W285" s="71"/>
      <c r="X285" s="71"/>
      <c r="Y285" s="71"/>
      <c r="Z285" s="71"/>
      <c r="AA285" s="71"/>
    </row>
    <row r="286" spans="1:27" ht="15.75" customHeight="1">
      <c r="A286" s="71"/>
      <c r="B286" s="263"/>
      <c r="C286" s="264"/>
      <c r="D286" s="71"/>
      <c r="E286" s="71"/>
      <c r="F286" s="265"/>
      <c r="G286" s="263"/>
      <c r="H286" s="71"/>
      <c r="I286" s="265"/>
      <c r="J286" s="71"/>
      <c r="K286" s="266"/>
      <c r="L286" s="266"/>
      <c r="M286" s="266"/>
      <c r="N286" s="266"/>
      <c r="O286" s="266"/>
      <c r="P286" s="266"/>
      <c r="Q286" s="267"/>
      <c r="R286" s="71"/>
      <c r="S286" s="71"/>
      <c r="T286" s="222"/>
      <c r="U286" s="71"/>
      <c r="V286" s="71"/>
      <c r="W286" s="71"/>
      <c r="X286" s="71"/>
      <c r="Y286" s="71"/>
      <c r="Z286" s="71"/>
      <c r="AA286" s="71"/>
    </row>
    <row r="287" spans="1:27" ht="15.75" customHeight="1">
      <c r="A287" s="71"/>
      <c r="B287" s="263"/>
      <c r="C287" s="264"/>
      <c r="D287" s="71"/>
      <c r="E287" s="71"/>
      <c r="F287" s="265"/>
      <c r="G287" s="263"/>
      <c r="H287" s="71"/>
      <c r="I287" s="265"/>
      <c r="J287" s="71"/>
      <c r="K287" s="266"/>
      <c r="L287" s="266"/>
      <c r="M287" s="266"/>
      <c r="N287" s="266"/>
      <c r="O287" s="266"/>
      <c r="P287" s="266"/>
      <c r="Q287" s="267"/>
      <c r="R287" s="71"/>
      <c r="S287" s="71"/>
      <c r="T287" s="222"/>
      <c r="U287" s="71"/>
      <c r="V287" s="71"/>
      <c r="W287" s="71"/>
      <c r="X287" s="71"/>
      <c r="Y287" s="71"/>
      <c r="Z287" s="71"/>
      <c r="AA287" s="71"/>
    </row>
    <row r="288" spans="1:27" ht="15.75" customHeight="1">
      <c r="A288" s="71"/>
      <c r="B288" s="263"/>
      <c r="C288" s="264"/>
      <c r="D288" s="71"/>
      <c r="E288" s="71"/>
      <c r="F288" s="265"/>
      <c r="G288" s="263"/>
      <c r="H288" s="71"/>
      <c r="I288" s="265"/>
      <c r="J288" s="71"/>
      <c r="K288" s="266"/>
      <c r="L288" s="266"/>
      <c r="M288" s="266"/>
      <c r="N288" s="266"/>
      <c r="O288" s="266"/>
      <c r="P288" s="266"/>
      <c r="Q288" s="267"/>
      <c r="R288" s="71"/>
      <c r="S288" s="71"/>
      <c r="T288" s="222"/>
      <c r="U288" s="71"/>
      <c r="V288" s="71"/>
      <c r="W288" s="71"/>
      <c r="X288" s="71"/>
      <c r="Y288" s="71"/>
      <c r="Z288" s="71"/>
      <c r="AA288" s="71"/>
    </row>
    <row r="289" spans="1:27" ht="15.75" customHeight="1">
      <c r="A289" s="71"/>
      <c r="B289" s="263"/>
      <c r="C289" s="264"/>
      <c r="D289" s="71"/>
      <c r="E289" s="71"/>
      <c r="F289" s="265"/>
      <c r="G289" s="263"/>
      <c r="H289" s="71"/>
      <c r="I289" s="265"/>
      <c r="J289" s="71"/>
      <c r="K289" s="266"/>
      <c r="L289" s="266"/>
      <c r="M289" s="266"/>
      <c r="N289" s="266"/>
      <c r="O289" s="266"/>
      <c r="P289" s="266"/>
      <c r="Q289" s="267"/>
      <c r="R289" s="71"/>
      <c r="S289" s="71"/>
      <c r="T289" s="222"/>
      <c r="U289" s="71"/>
      <c r="V289" s="71"/>
      <c r="W289" s="71"/>
      <c r="X289" s="71"/>
      <c r="Y289" s="71"/>
      <c r="Z289" s="71"/>
      <c r="AA289" s="71"/>
    </row>
    <row r="290" spans="1:27" ht="15.75" customHeight="1">
      <c r="A290" s="71"/>
      <c r="B290" s="263"/>
      <c r="C290" s="264"/>
      <c r="D290" s="71"/>
      <c r="E290" s="71"/>
      <c r="F290" s="265"/>
      <c r="G290" s="263"/>
      <c r="H290" s="71"/>
      <c r="I290" s="265"/>
      <c r="J290" s="71"/>
      <c r="K290" s="266"/>
      <c r="L290" s="266"/>
      <c r="M290" s="266"/>
      <c r="N290" s="266"/>
      <c r="O290" s="266"/>
      <c r="P290" s="266"/>
      <c r="Q290" s="267"/>
      <c r="R290" s="71"/>
      <c r="S290" s="71"/>
      <c r="T290" s="222"/>
      <c r="U290" s="71"/>
      <c r="V290" s="71"/>
      <c r="W290" s="71"/>
      <c r="X290" s="71"/>
      <c r="Y290" s="71"/>
      <c r="Z290" s="71"/>
      <c r="AA290" s="71"/>
    </row>
    <row r="291" spans="1:27" ht="15.75" customHeight="1">
      <c r="A291" s="71"/>
      <c r="B291" s="263"/>
      <c r="C291" s="264"/>
      <c r="D291" s="71"/>
      <c r="E291" s="71"/>
      <c r="F291" s="265"/>
      <c r="G291" s="263"/>
      <c r="H291" s="71"/>
      <c r="I291" s="265"/>
      <c r="J291" s="71"/>
      <c r="K291" s="266"/>
      <c r="L291" s="266"/>
      <c r="M291" s="266"/>
      <c r="N291" s="266"/>
      <c r="O291" s="266"/>
      <c r="P291" s="266"/>
      <c r="Q291" s="267"/>
      <c r="R291" s="71"/>
      <c r="S291" s="71"/>
      <c r="T291" s="222"/>
      <c r="U291" s="71"/>
      <c r="V291" s="71"/>
      <c r="W291" s="71"/>
      <c r="X291" s="71"/>
      <c r="Y291" s="71"/>
      <c r="Z291" s="71"/>
      <c r="AA291" s="71"/>
    </row>
    <row r="292" spans="1:27" ht="15.75" customHeight="1">
      <c r="A292" s="71"/>
      <c r="B292" s="263"/>
      <c r="C292" s="264"/>
      <c r="D292" s="71"/>
      <c r="E292" s="71"/>
      <c r="F292" s="265"/>
      <c r="G292" s="263"/>
      <c r="H292" s="71"/>
      <c r="I292" s="265"/>
      <c r="J292" s="71"/>
      <c r="K292" s="266"/>
      <c r="L292" s="266"/>
      <c r="M292" s="266"/>
      <c r="N292" s="266"/>
      <c r="O292" s="266"/>
      <c r="P292" s="266"/>
      <c r="Q292" s="267"/>
      <c r="R292" s="71"/>
      <c r="S292" s="71"/>
      <c r="T292" s="222"/>
      <c r="U292" s="71"/>
      <c r="V292" s="71"/>
      <c r="W292" s="71"/>
      <c r="X292" s="71"/>
      <c r="Y292" s="71"/>
      <c r="Z292" s="71"/>
      <c r="AA292" s="71"/>
    </row>
    <row r="293" spans="1:27" ht="15.75" customHeight="1">
      <c r="A293" s="71"/>
      <c r="B293" s="263"/>
      <c r="C293" s="264"/>
      <c r="D293" s="71"/>
      <c r="E293" s="71"/>
      <c r="F293" s="265"/>
      <c r="G293" s="263"/>
      <c r="H293" s="71"/>
      <c r="I293" s="265"/>
      <c r="J293" s="71"/>
      <c r="K293" s="266"/>
      <c r="L293" s="266"/>
      <c r="M293" s="266"/>
      <c r="N293" s="266"/>
      <c r="O293" s="266"/>
      <c r="P293" s="266"/>
      <c r="Q293" s="267"/>
      <c r="R293" s="71"/>
      <c r="S293" s="71"/>
      <c r="T293" s="222"/>
      <c r="U293" s="71"/>
      <c r="V293" s="71"/>
      <c r="W293" s="71"/>
      <c r="X293" s="71"/>
      <c r="Y293" s="71"/>
      <c r="Z293" s="71"/>
      <c r="AA293" s="71"/>
    </row>
    <row r="294" spans="1:27" ht="15.75" customHeight="1">
      <c r="A294" s="71"/>
      <c r="B294" s="263"/>
      <c r="C294" s="264"/>
      <c r="D294" s="71"/>
      <c r="E294" s="71"/>
      <c r="F294" s="265"/>
      <c r="G294" s="263"/>
      <c r="H294" s="71"/>
      <c r="I294" s="265"/>
      <c r="J294" s="71"/>
      <c r="K294" s="266"/>
      <c r="L294" s="266"/>
      <c r="M294" s="266"/>
      <c r="N294" s="266"/>
      <c r="O294" s="266"/>
      <c r="P294" s="266"/>
      <c r="Q294" s="267"/>
      <c r="R294" s="71"/>
      <c r="S294" s="71"/>
      <c r="T294" s="222"/>
      <c r="U294" s="71"/>
      <c r="V294" s="71"/>
      <c r="W294" s="71"/>
      <c r="X294" s="71"/>
      <c r="Y294" s="71"/>
      <c r="Z294" s="71"/>
      <c r="AA294" s="71"/>
    </row>
    <row r="295" spans="1:27" ht="15.75" customHeight="1">
      <c r="A295" s="71"/>
      <c r="B295" s="263"/>
      <c r="C295" s="264"/>
      <c r="D295" s="71"/>
      <c r="E295" s="71"/>
      <c r="F295" s="265"/>
      <c r="G295" s="263"/>
      <c r="H295" s="71"/>
      <c r="I295" s="265"/>
      <c r="J295" s="71"/>
      <c r="K295" s="266"/>
      <c r="L295" s="266"/>
      <c r="M295" s="266"/>
      <c r="N295" s="266"/>
      <c r="O295" s="266"/>
      <c r="P295" s="266"/>
      <c r="Q295" s="267"/>
      <c r="R295" s="71"/>
      <c r="S295" s="71"/>
      <c r="T295" s="222"/>
      <c r="U295" s="71"/>
      <c r="V295" s="71"/>
      <c r="W295" s="71"/>
      <c r="X295" s="71"/>
      <c r="Y295" s="71"/>
      <c r="Z295" s="71"/>
      <c r="AA295" s="71"/>
    </row>
    <row r="296" spans="1:27" ht="15.75" customHeight="1">
      <c r="A296" s="71"/>
      <c r="B296" s="263"/>
      <c r="C296" s="264"/>
      <c r="D296" s="71"/>
      <c r="E296" s="71"/>
      <c r="F296" s="265"/>
      <c r="G296" s="263"/>
      <c r="H296" s="71"/>
      <c r="I296" s="265"/>
      <c r="J296" s="71"/>
      <c r="K296" s="266"/>
      <c r="L296" s="266"/>
      <c r="M296" s="266"/>
      <c r="N296" s="266"/>
      <c r="O296" s="266"/>
      <c r="P296" s="266"/>
      <c r="Q296" s="267"/>
      <c r="R296" s="71"/>
      <c r="S296" s="71"/>
      <c r="T296" s="222"/>
      <c r="U296" s="71"/>
      <c r="V296" s="71"/>
      <c r="W296" s="71"/>
      <c r="X296" s="71"/>
      <c r="Y296" s="71"/>
      <c r="Z296" s="71"/>
      <c r="AA296" s="71"/>
    </row>
    <row r="297" spans="1:27" ht="15.75" customHeight="1">
      <c r="A297" s="71"/>
      <c r="B297" s="263"/>
      <c r="C297" s="264"/>
      <c r="D297" s="71"/>
      <c r="E297" s="71"/>
      <c r="F297" s="265"/>
      <c r="G297" s="263"/>
      <c r="H297" s="71"/>
      <c r="I297" s="265"/>
      <c r="J297" s="71"/>
      <c r="K297" s="266"/>
      <c r="L297" s="266"/>
      <c r="M297" s="266"/>
      <c r="N297" s="266"/>
      <c r="O297" s="266"/>
      <c r="P297" s="266"/>
      <c r="Q297" s="267"/>
      <c r="R297" s="71"/>
      <c r="S297" s="71"/>
      <c r="T297" s="222"/>
      <c r="U297" s="71"/>
      <c r="V297" s="71"/>
      <c r="W297" s="71"/>
      <c r="X297" s="71"/>
      <c r="Y297" s="71"/>
      <c r="Z297" s="71"/>
      <c r="AA297" s="71"/>
    </row>
    <row r="298" spans="1:27" ht="15.75" customHeight="1">
      <c r="A298" s="71"/>
      <c r="B298" s="263"/>
      <c r="C298" s="264"/>
      <c r="D298" s="71"/>
      <c r="E298" s="71"/>
      <c r="F298" s="265"/>
      <c r="G298" s="263"/>
      <c r="H298" s="71"/>
      <c r="I298" s="265"/>
      <c r="J298" s="71"/>
      <c r="K298" s="266"/>
      <c r="L298" s="266"/>
      <c r="M298" s="266"/>
      <c r="N298" s="266"/>
      <c r="O298" s="266"/>
      <c r="P298" s="266"/>
      <c r="Q298" s="267"/>
      <c r="R298" s="71"/>
      <c r="S298" s="71"/>
      <c r="T298" s="222"/>
      <c r="U298" s="71"/>
      <c r="V298" s="71"/>
      <c r="W298" s="71"/>
      <c r="X298" s="71"/>
      <c r="Y298" s="71"/>
      <c r="Z298" s="71"/>
      <c r="AA298" s="71"/>
    </row>
    <row r="299" spans="1:27" ht="15.75" customHeight="1">
      <c r="A299" s="71"/>
      <c r="B299" s="263"/>
      <c r="C299" s="264"/>
      <c r="D299" s="71"/>
      <c r="E299" s="71"/>
      <c r="F299" s="265"/>
      <c r="G299" s="263"/>
      <c r="H299" s="71"/>
      <c r="I299" s="265"/>
      <c r="J299" s="71"/>
      <c r="K299" s="266"/>
      <c r="L299" s="266"/>
      <c r="M299" s="266"/>
      <c r="N299" s="266"/>
      <c r="O299" s="266"/>
      <c r="P299" s="266"/>
      <c r="Q299" s="267"/>
      <c r="R299" s="71"/>
      <c r="S299" s="71"/>
      <c r="T299" s="222"/>
      <c r="U299" s="71"/>
      <c r="V299" s="71"/>
      <c r="W299" s="71"/>
      <c r="X299" s="71"/>
      <c r="Y299" s="71"/>
      <c r="Z299" s="71"/>
      <c r="AA299" s="71"/>
    </row>
    <row r="300" spans="1:27" ht="15.75" customHeight="1">
      <c r="A300" s="71"/>
      <c r="B300" s="263"/>
      <c r="C300" s="264"/>
      <c r="D300" s="71"/>
      <c r="E300" s="71"/>
      <c r="F300" s="265"/>
      <c r="G300" s="263"/>
      <c r="H300" s="71"/>
      <c r="I300" s="265"/>
      <c r="J300" s="71"/>
      <c r="K300" s="266"/>
      <c r="L300" s="266"/>
      <c r="M300" s="266"/>
      <c r="N300" s="266"/>
      <c r="O300" s="266"/>
      <c r="P300" s="266"/>
      <c r="Q300" s="267"/>
      <c r="R300" s="71"/>
      <c r="S300" s="71"/>
      <c r="T300" s="222"/>
      <c r="U300" s="71"/>
      <c r="V300" s="71"/>
      <c r="W300" s="71"/>
      <c r="X300" s="71"/>
      <c r="Y300" s="71"/>
      <c r="Z300" s="71"/>
      <c r="AA300" s="71"/>
    </row>
    <row r="301" spans="1:27" ht="15.75" customHeight="1">
      <c r="A301" s="71"/>
      <c r="B301" s="263"/>
      <c r="C301" s="264"/>
      <c r="D301" s="71"/>
      <c r="E301" s="71"/>
      <c r="F301" s="265"/>
      <c r="G301" s="263"/>
      <c r="H301" s="71"/>
      <c r="I301" s="265"/>
      <c r="J301" s="71"/>
      <c r="K301" s="266"/>
      <c r="L301" s="266"/>
      <c r="M301" s="266"/>
      <c r="N301" s="266"/>
      <c r="O301" s="266"/>
      <c r="P301" s="266"/>
      <c r="Q301" s="267"/>
      <c r="R301" s="71"/>
      <c r="S301" s="71"/>
      <c r="T301" s="222"/>
      <c r="U301" s="71"/>
      <c r="V301" s="71"/>
      <c r="W301" s="71"/>
      <c r="X301" s="71"/>
      <c r="Y301" s="71"/>
      <c r="Z301" s="71"/>
      <c r="AA301" s="71"/>
    </row>
    <row r="302" spans="1:27" ht="15.75" customHeight="1">
      <c r="A302" s="71"/>
      <c r="B302" s="263"/>
      <c r="C302" s="264"/>
      <c r="D302" s="71"/>
      <c r="E302" s="71"/>
      <c r="F302" s="265"/>
      <c r="G302" s="263"/>
      <c r="H302" s="71"/>
      <c r="I302" s="265"/>
      <c r="J302" s="71"/>
      <c r="K302" s="266"/>
      <c r="L302" s="266"/>
      <c r="M302" s="266"/>
      <c r="N302" s="266"/>
      <c r="O302" s="266"/>
      <c r="P302" s="266"/>
      <c r="Q302" s="267"/>
      <c r="R302" s="71"/>
      <c r="S302" s="71"/>
      <c r="T302" s="222"/>
      <c r="U302" s="71"/>
      <c r="V302" s="71"/>
      <c r="W302" s="71"/>
      <c r="X302" s="71"/>
      <c r="Y302" s="71"/>
      <c r="Z302" s="71"/>
      <c r="AA302" s="71"/>
    </row>
    <row r="303" spans="1:27" ht="15.75" customHeight="1">
      <c r="A303" s="71"/>
      <c r="B303" s="263"/>
      <c r="C303" s="264"/>
      <c r="D303" s="71"/>
      <c r="E303" s="71"/>
      <c r="F303" s="265"/>
      <c r="G303" s="263"/>
      <c r="H303" s="71"/>
      <c r="I303" s="265"/>
      <c r="J303" s="71"/>
      <c r="K303" s="266"/>
      <c r="L303" s="266"/>
      <c r="M303" s="266"/>
      <c r="N303" s="266"/>
      <c r="O303" s="266"/>
      <c r="P303" s="266"/>
      <c r="Q303" s="267"/>
      <c r="R303" s="71"/>
      <c r="S303" s="71"/>
      <c r="T303" s="222"/>
      <c r="U303" s="71"/>
      <c r="V303" s="71"/>
      <c r="W303" s="71"/>
      <c r="X303" s="71"/>
      <c r="Y303" s="71"/>
      <c r="Z303" s="71"/>
      <c r="AA303" s="71"/>
    </row>
    <row r="304" spans="1:27" ht="15.75" customHeight="1">
      <c r="A304" s="71"/>
      <c r="B304" s="263"/>
      <c r="C304" s="264"/>
      <c r="D304" s="71"/>
      <c r="E304" s="71"/>
      <c r="F304" s="265"/>
      <c r="G304" s="263"/>
      <c r="H304" s="71"/>
      <c r="I304" s="265"/>
      <c r="J304" s="71"/>
      <c r="K304" s="266"/>
      <c r="L304" s="266"/>
      <c r="M304" s="266"/>
      <c r="N304" s="266"/>
      <c r="O304" s="266"/>
      <c r="P304" s="266"/>
      <c r="Q304" s="267"/>
      <c r="R304" s="71"/>
      <c r="S304" s="71"/>
      <c r="T304" s="222"/>
      <c r="U304" s="71"/>
      <c r="V304" s="71"/>
      <c r="W304" s="71"/>
      <c r="X304" s="71"/>
      <c r="Y304" s="71"/>
      <c r="Z304" s="71"/>
      <c r="AA304" s="71"/>
    </row>
    <row r="305" spans="1:27" ht="15.75" customHeight="1">
      <c r="A305" s="71"/>
      <c r="B305" s="263"/>
      <c r="C305" s="264"/>
      <c r="D305" s="71"/>
      <c r="E305" s="71"/>
      <c r="F305" s="265"/>
      <c r="G305" s="263"/>
      <c r="H305" s="71"/>
      <c r="I305" s="265"/>
      <c r="J305" s="71"/>
      <c r="K305" s="266"/>
      <c r="L305" s="266"/>
      <c r="M305" s="266"/>
      <c r="N305" s="266"/>
      <c r="O305" s="266"/>
      <c r="P305" s="266"/>
      <c r="Q305" s="267"/>
      <c r="R305" s="71"/>
      <c r="S305" s="71"/>
      <c r="T305" s="222"/>
      <c r="U305" s="71"/>
      <c r="V305" s="71"/>
      <c r="W305" s="71"/>
      <c r="X305" s="71"/>
      <c r="Y305" s="71"/>
      <c r="Z305" s="71"/>
      <c r="AA305" s="71"/>
    </row>
    <row r="306" spans="1:27" ht="15.75" customHeight="1">
      <c r="A306" s="71"/>
      <c r="B306" s="263"/>
      <c r="C306" s="264"/>
      <c r="D306" s="71"/>
      <c r="E306" s="71"/>
      <c r="F306" s="265"/>
      <c r="G306" s="263"/>
      <c r="H306" s="71"/>
      <c r="I306" s="265"/>
      <c r="J306" s="71"/>
      <c r="K306" s="266"/>
      <c r="L306" s="266"/>
      <c r="M306" s="266"/>
      <c r="N306" s="266"/>
      <c r="O306" s="266"/>
      <c r="P306" s="266"/>
      <c r="Q306" s="267"/>
      <c r="R306" s="71"/>
      <c r="S306" s="71"/>
      <c r="T306" s="222"/>
      <c r="U306" s="71"/>
      <c r="V306" s="71"/>
      <c r="W306" s="71"/>
      <c r="X306" s="71"/>
      <c r="Y306" s="71"/>
      <c r="Z306" s="71"/>
      <c r="AA306" s="71"/>
    </row>
    <row r="307" spans="1:27" ht="15.75" customHeight="1">
      <c r="A307" s="71"/>
      <c r="B307" s="263"/>
      <c r="C307" s="264"/>
      <c r="D307" s="71"/>
      <c r="E307" s="71"/>
      <c r="F307" s="265"/>
      <c r="G307" s="263"/>
      <c r="H307" s="71"/>
      <c r="I307" s="265"/>
      <c r="J307" s="71"/>
      <c r="K307" s="266"/>
      <c r="L307" s="266"/>
      <c r="M307" s="266"/>
      <c r="N307" s="266"/>
      <c r="O307" s="266"/>
      <c r="P307" s="266"/>
      <c r="Q307" s="267"/>
      <c r="R307" s="71"/>
      <c r="S307" s="71"/>
      <c r="T307" s="222"/>
      <c r="U307" s="71"/>
      <c r="V307" s="71"/>
      <c r="W307" s="71"/>
      <c r="X307" s="71"/>
      <c r="Y307" s="71"/>
      <c r="Z307" s="71"/>
      <c r="AA307" s="71"/>
    </row>
    <row r="308" spans="1:27" ht="15.75" customHeight="1">
      <c r="A308" s="71"/>
      <c r="B308" s="263"/>
      <c r="C308" s="264"/>
      <c r="D308" s="71"/>
      <c r="E308" s="71"/>
      <c r="F308" s="265"/>
      <c r="G308" s="263"/>
      <c r="H308" s="71"/>
      <c r="I308" s="265"/>
      <c r="J308" s="71"/>
      <c r="K308" s="266"/>
      <c r="L308" s="266"/>
      <c r="M308" s="266"/>
      <c r="N308" s="266"/>
      <c r="O308" s="266"/>
      <c r="P308" s="266"/>
      <c r="Q308" s="267"/>
      <c r="R308" s="71"/>
      <c r="S308" s="71"/>
      <c r="T308" s="222"/>
      <c r="U308" s="71"/>
      <c r="V308" s="71"/>
      <c r="W308" s="71"/>
      <c r="X308" s="71"/>
      <c r="Y308" s="71"/>
      <c r="Z308" s="71"/>
      <c r="AA308" s="71"/>
    </row>
    <row r="309" spans="1:27" ht="15.75" customHeight="1">
      <c r="A309" s="71"/>
      <c r="B309" s="263"/>
      <c r="C309" s="264"/>
      <c r="D309" s="71"/>
      <c r="E309" s="71"/>
      <c r="F309" s="265"/>
      <c r="G309" s="263"/>
      <c r="H309" s="71"/>
      <c r="I309" s="265"/>
      <c r="J309" s="71"/>
      <c r="K309" s="266"/>
      <c r="L309" s="266"/>
      <c r="M309" s="266"/>
      <c r="N309" s="266"/>
      <c r="O309" s="266"/>
      <c r="P309" s="266"/>
      <c r="Q309" s="267"/>
      <c r="R309" s="71"/>
      <c r="S309" s="71"/>
      <c r="T309" s="222"/>
      <c r="U309" s="71"/>
      <c r="V309" s="71"/>
      <c r="W309" s="71"/>
      <c r="X309" s="71"/>
      <c r="Y309" s="71"/>
      <c r="Z309" s="71"/>
      <c r="AA309" s="71"/>
    </row>
    <row r="310" spans="1:27" ht="15.75" customHeight="1">
      <c r="A310" s="71"/>
      <c r="B310" s="263"/>
      <c r="C310" s="264"/>
      <c r="D310" s="71"/>
      <c r="E310" s="71"/>
      <c r="F310" s="265"/>
      <c r="G310" s="263"/>
      <c r="H310" s="71"/>
      <c r="I310" s="265"/>
      <c r="J310" s="71"/>
      <c r="K310" s="266"/>
      <c r="L310" s="266"/>
      <c r="M310" s="266"/>
      <c r="N310" s="266"/>
      <c r="O310" s="266"/>
      <c r="P310" s="266"/>
      <c r="Q310" s="267"/>
      <c r="R310" s="71"/>
      <c r="S310" s="71"/>
      <c r="T310" s="222"/>
      <c r="U310" s="71"/>
      <c r="V310" s="71"/>
      <c r="W310" s="71"/>
      <c r="X310" s="71"/>
      <c r="Y310" s="71"/>
      <c r="Z310" s="71"/>
      <c r="AA310" s="71"/>
    </row>
    <row r="311" spans="1:27" ht="15.75" customHeight="1">
      <c r="A311" s="71"/>
      <c r="B311" s="263"/>
      <c r="C311" s="264"/>
      <c r="D311" s="71"/>
      <c r="E311" s="71"/>
      <c r="F311" s="265"/>
      <c r="G311" s="263"/>
      <c r="H311" s="71"/>
      <c r="I311" s="265"/>
      <c r="J311" s="71"/>
      <c r="K311" s="266"/>
      <c r="L311" s="266"/>
      <c r="M311" s="266"/>
      <c r="N311" s="266"/>
      <c r="O311" s="266"/>
      <c r="P311" s="266"/>
      <c r="Q311" s="267"/>
      <c r="R311" s="71"/>
      <c r="S311" s="71"/>
      <c r="T311" s="222"/>
      <c r="U311" s="71"/>
      <c r="V311" s="71"/>
      <c r="W311" s="71"/>
      <c r="X311" s="71"/>
      <c r="Y311" s="71"/>
      <c r="Z311" s="71"/>
      <c r="AA311" s="71"/>
    </row>
    <row r="312" spans="1:27" ht="15.75" customHeight="1">
      <c r="A312" s="71"/>
      <c r="B312" s="263"/>
      <c r="C312" s="264"/>
      <c r="D312" s="71"/>
      <c r="E312" s="71"/>
      <c r="F312" s="265"/>
      <c r="G312" s="263"/>
      <c r="H312" s="71"/>
      <c r="I312" s="265"/>
      <c r="J312" s="71"/>
      <c r="K312" s="266"/>
      <c r="L312" s="266"/>
      <c r="M312" s="266"/>
      <c r="N312" s="266"/>
      <c r="O312" s="266"/>
      <c r="P312" s="266"/>
      <c r="Q312" s="267"/>
      <c r="R312" s="71"/>
      <c r="S312" s="71"/>
      <c r="T312" s="222"/>
      <c r="U312" s="71"/>
      <c r="V312" s="71"/>
      <c r="W312" s="71"/>
      <c r="X312" s="71"/>
      <c r="Y312" s="71"/>
      <c r="Z312" s="71"/>
      <c r="AA312" s="71"/>
    </row>
    <row r="313" spans="1:27" ht="15.75" customHeight="1">
      <c r="A313" s="71"/>
      <c r="B313" s="263"/>
      <c r="C313" s="264"/>
      <c r="D313" s="71"/>
      <c r="E313" s="71"/>
      <c r="F313" s="265"/>
      <c r="G313" s="263"/>
      <c r="H313" s="71"/>
      <c r="I313" s="265"/>
      <c r="J313" s="71"/>
      <c r="K313" s="266"/>
      <c r="L313" s="266"/>
      <c r="M313" s="266"/>
      <c r="N313" s="266"/>
      <c r="O313" s="266"/>
      <c r="P313" s="266"/>
      <c r="Q313" s="267"/>
      <c r="R313" s="71"/>
      <c r="S313" s="71"/>
      <c r="T313" s="222"/>
      <c r="U313" s="71"/>
      <c r="V313" s="71"/>
      <c r="W313" s="71"/>
      <c r="X313" s="71"/>
      <c r="Y313" s="71"/>
      <c r="Z313" s="71"/>
      <c r="AA313" s="71"/>
    </row>
    <row r="314" spans="1:27" ht="15.75" customHeight="1">
      <c r="A314" s="71"/>
      <c r="B314" s="263"/>
      <c r="C314" s="264"/>
      <c r="D314" s="71"/>
      <c r="E314" s="71"/>
      <c r="F314" s="265"/>
      <c r="G314" s="263"/>
      <c r="H314" s="71"/>
      <c r="I314" s="265"/>
      <c r="J314" s="71"/>
      <c r="K314" s="266"/>
      <c r="L314" s="266"/>
      <c r="M314" s="266"/>
      <c r="N314" s="266"/>
      <c r="O314" s="266"/>
      <c r="P314" s="266"/>
      <c r="Q314" s="267"/>
      <c r="R314" s="71"/>
      <c r="S314" s="71"/>
      <c r="T314" s="222"/>
      <c r="U314" s="71"/>
      <c r="V314" s="71"/>
      <c r="W314" s="71"/>
      <c r="X314" s="71"/>
      <c r="Y314" s="71"/>
      <c r="Z314" s="71"/>
      <c r="AA314" s="71"/>
    </row>
    <row r="315" spans="1:27" ht="15.75" customHeight="1">
      <c r="A315" s="71"/>
      <c r="B315" s="263"/>
      <c r="C315" s="264"/>
      <c r="D315" s="71"/>
      <c r="E315" s="71"/>
      <c r="F315" s="265"/>
      <c r="G315" s="263"/>
      <c r="H315" s="71"/>
      <c r="I315" s="265"/>
      <c r="J315" s="71"/>
      <c r="K315" s="266"/>
      <c r="L315" s="266"/>
      <c r="M315" s="266"/>
      <c r="N315" s="266"/>
      <c r="O315" s="266"/>
      <c r="P315" s="266"/>
      <c r="Q315" s="267"/>
      <c r="R315" s="71"/>
      <c r="S315" s="71"/>
      <c r="T315" s="222"/>
      <c r="U315" s="71"/>
      <c r="V315" s="71"/>
      <c r="W315" s="71"/>
      <c r="X315" s="71"/>
      <c r="Y315" s="71"/>
      <c r="Z315" s="71"/>
      <c r="AA315" s="71"/>
    </row>
    <row r="316" spans="1:27" ht="15.75" customHeight="1">
      <c r="A316" s="71"/>
      <c r="B316" s="263"/>
      <c r="C316" s="264"/>
      <c r="D316" s="71"/>
      <c r="E316" s="71"/>
      <c r="F316" s="265"/>
      <c r="G316" s="263"/>
      <c r="H316" s="71"/>
      <c r="I316" s="265"/>
      <c r="J316" s="71"/>
      <c r="K316" s="266"/>
      <c r="L316" s="266"/>
      <c r="M316" s="266"/>
      <c r="N316" s="266"/>
      <c r="O316" s="266"/>
      <c r="P316" s="266"/>
      <c r="Q316" s="267"/>
      <c r="R316" s="71"/>
      <c r="S316" s="71"/>
      <c r="T316" s="222"/>
      <c r="U316" s="71"/>
      <c r="V316" s="71"/>
      <c r="W316" s="71"/>
      <c r="X316" s="71"/>
      <c r="Y316" s="71"/>
      <c r="Z316" s="71"/>
      <c r="AA316" s="71"/>
    </row>
    <row r="317" spans="1:27" ht="15.75" customHeight="1">
      <c r="A317" s="71"/>
      <c r="B317" s="263"/>
      <c r="C317" s="264"/>
      <c r="D317" s="71"/>
      <c r="E317" s="71"/>
      <c r="F317" s="265"/>
      <c r="G317" s="263"/>
      <c r="H317" s="71"/>
      <c r="I317" s="265"/>
      <c r="J317" s="71"/>
      <c r="K317" s="266"/>
      <c r="L317" s="266"/>
      <c r="M317" s="266"/>
      <c r="N317" s="266"/>
      <c r="O317" s="266"/>
      <c r="P317" s="266"/>
      <c r="Q317" s="267"/>
      <c r="R317" s="71"/>
      <c r="S317" s="71"/>
      <c r="T317" s="222"/>
      <c r="U317" s="71"/>
      <c r="V317" s="71"/>
      <c r="W317" s="71"/>
      <c r="X317" s="71"/>
      <c r="Y317" s="71"/>
      <c r="Z317" s="71"/>
      <c r="AA317" s="71"/>
    </row>
    <row r="318" spans="1:27" ht="15.75" customHeight="1">
      <c r="A318" s="71"/>
      <c r="B318" s="263"/>
      <c r="C318" s="264"/>
      <c r="D318" s="71"/>
      <c r="E318" s="71"/>
      <c r="F318" s="265"/>
      <c r="G318" s="263"/>
      <c r="H318" s="71"/>
      <c r="I318" s="265"/>
      <c r="J318" s="71"/>
      <c r="K318" s="266"/>
      <c r="L318" s="266"/>
      <c r="M318" s="266"/>
      <c r="N318" s="266"/>
      <c r="O318" s="266"/>
      <c r="P318" s="266"/>
      <c r="Q318" s="267"/>
      <c r="R318" s="71"/>
      <c r="S318" s="71"/>
      <c r="T318" s="222"/>
      <c r="U318" s="71"/>
      <c r="V318" s="71"/>
      <c r="W318" s="71"/>
      <c r="X318" s="71"/>
      <c r="Y318" s="71"/>
      <c r="Z318" s="71"/>
      <c r="AA318" s="71"/>
    </row>
    <row r="319" spans="1:27" ht="15.75" customHeight="1">
      <c r="A319" s="71"/>
      <c r="B319" s="263"/>
      <c r="C319" s="264"/>
      <c r="D319" s="71"/>
      <c r="E319" s="71"/>
      <c r="F319" s="265"/>
      <c r="G319" s="263"/>
      <c r="H319" s="71"/>
      <c r="I319" s="265"/>
      <c r="J319" s="71"/>
      <c r="K319" s="266"/>
      <c r="L319" s="266"/>
      <c r="M319" s="266"/>
      <c r="N319" s="266"/>
      <c r="O319" s="266"/>
      <c r="P319" s="266"/>
      <c r="Q319" s="267"/>
      <c r="R319" s="71"/>
      <c r="S319" s="71"/>
      <c r="T319" s="222"/>
      <c r="U319" s="71"/>
      <c r="V319" s="71"/>
      <c r="W319" s="71"/>
      <c r="X319" s="71"/>
      <c r="Y319" s="71"/>
      <c r="Z319" s="71"/>
      <c r="AA319" s="71"/>
    </row>
    <row r="320" spans="1:27" ht="15.75" customHeight="1">
      <c r="A320" s="71"/>
      <c r="B320" s="263"/>
      <c r="C320" s="264"/>
      <c r="D320" s="71"/>
      <c r="E320" s="71"/>
      <c r="F320" s="265"/>
      <c r="G320" s="263"/>
      <c r="H320" s="71"/>
      <c r="I320" s="265"/>
      <c r="J320" s="71"/>
      <c r="K320" s="266"/>
      <c r="L320" s="266"/>
      <c r="M320" s="266"/>
      <c r="N320" s="266"/>
      <c r="O320" s="266"/>
      <c r="P320" s="266"/>
      <c r="Q320" s="267"/>
      <c r="R320" s="71"/>
      <c r="S320" s="71"/>
      <c r="T320" s="222"/>
      <c r="U320" s="71"/>
      <c r="V320" s="71"/>
      <c r="W320" s="71"/>
      <c r="X320" s="71"/>
      <c r="Y320" s="71"/>
      <c r="Z320" s="71"/>
      <c r="AA320" s="71"/>
    </row>
    <row r="321" spans="1:27" ht="15.75" customHeight="1">
      <c r="A321" s="71"/>
      <c r="B321" s="263"/>
      <c r="C321" s="264"/>
      <c r="D321" s="71"/>
      <c r="E321" s="71"/>
      <c r="F321" s="265"/>
      <c r="G321" s="263"/>
      <c r="H321" s="71"/>
      <c r="I321" s="265"/>
      <c r="J321" s="71"/>
      <c r="K321" s="266"/>
      <c r="L321" s="266"/>
      <c r="M321" s="266"/>
      <c r="N321" s="266"/>
      <c r="O321" s="266"/>
      <c r="P321" s="266"/>
      <c r="Q321" s="267"/>
      <c r="R321" s="71"/>
      <c r="S321" s="71"/>
      <c r="T321" s="222"/>
      <c r="U321" s="71"/>
      <c r="V321" s="71"/>
      <c r="W321" s="71"/>
      <c r="X321" s="71"/>
      <c r="Y321" s="71"/>
      <c r="Z321" s="71"/>
      <c r="AA321" s="71"/>
    </row>
    <row r="322" spans="1:27" ht="15.75" customHeight="1">
      <c r="A322" s="71"/>
      <c r="B322" s="263"/>
      <c r="C322" s="264"/>
      <c r="D322" s="71"/>
      <c r="E322" s="71"/>
      <c r="F322" s="265"/>
      <c r="G322" s="263"/>
      <c r="H322" s="71"/>
      <c r="I322" s="265"/>
      <c r="J322" s="71"/>
      <c r="K322" s="266"/>
      <c r="L322" s="266"/>
      <c r="M322" s="266"/>
      <c r="N322" s="266"/>
      <c r="O322" s="266"/>
      <c r="P322" s="266"/>
      <c r="Q322" s="267"/>
      <c r="R322" s="71"/>
      <c r="S322" s="71"/>
      <c r="T322" s="222"/>
      <c r="U322" s="71"/>
      <c r="V322" s="71"/>
      <c r="W322" s="71"/>
      <c r="X322" s="71"/>
      <c r="Y322" s="71"/>
      <c r="Z322" s="71"/>
      <c r="AA322" s="71"/>
    </row>
    <row r="323" spans="1:27" ht="15.75" customHeight="1">
      <c r="A323" s="71"/>
      <c r="B323" s="263"/>
      <c r="C323" s="264"/>
      <c r="D323" s="71"/>
      <c r="E323" s="71"/>
      <c r="F323" s="265"/>
      <c r="G323" s="263"/>
      <c r="H323" s="71"/>
      <c r="I323" s="265"/>
      <c r="J323" s="71"/>
      <c r="K323" s="266"/>
      <c r="L323" s="266"/>
      <c r="M323" s="266"/>
      <c r="N323" s="266"/>
      <c r="O323" s="266"/>
      <c r="P323" s="266"/>
      <c r="Q323" s="267"/>
      <c r="R323" s="71"/>
      <c r="S323" s="71"/>
      <c r="T323" s="222"/>
      <c r="U323" s="71"/>
      <c r="V323" s="71"/>
      <c r="W323" s="71"/>
      <c r="X323" s="71"/>
      <c r="Y323" s="71"/>
      <c r="Z323" s="71"/>
      <c r="AA323" s="71"/>
    </row>
    <row r="324" spans="1:27" ht="15.75" customHeight="1">
      <c r="A324" s="71"/>
      <c r="B324" s="263"/>
      <c r="C324" s="264"/>
      <c r="D324" s="71"/>
      <c r="E324" s="71"/>
      <c r="F324" s="265"/>
      <c r="G324" s="263"/>
      <c r="H324" s="71"/>
      <c r="I324" s="265"/>
      <c r="J324" s="71"/>
      <c r="K324" s="266"/>
      <c r="L324" s="266"/>
      <c r="M324" s="266"/>
      <c r="N324" s="266"/>
      <c r="O324" s="266"/>
      <c r="P324" s="266"/>
      <c r="Q324" s="267"/>
      <c r="R324" s="71"/>
      <c r="S324" s="71"/>
      <c r="T324" s="222"/>
      <c r="U324" s="71"/>
      <c r="V324" s="71"/>
      <c r="W324" s="71"/>
      <c r="X324" s="71"/>
      <c r="Y324" s="71"/>
      <c r="Z324" s="71"/>
      <c r="AA324" s="71"/>
    </row>
    <row r="325" spans="1:27" ht="15.75" customHeight="1">
      <c r="A325" s="71"/>
      <c r="B325" s="263"/>
      <c r="C325" s="264"/>
      <c r="D325" s="71"/>
      <c r="E325" s="71"/>
      <c r="F325" s="265"/>
      <c r="G325" s="263"/>
      <c r="H325" s="71"/>
      <c r="I325" s="265"/>
      <c r="J325" s="71"/>
      <c r="K325" s="266"/>
      <c r="L325" s="266"/>
      <c r="M325" s="266"/>
      <c r="N325" s="266"/>
      <c r="O325" s="266"/>
      <c r="P325" s="266"/>
      <c r="Q325" s="267"/>
      <c r="R325" s="71"/>
      <c r="S325" s="71"/>
      <c r="T325" s="222"/>
      <c r="U325" s="71"/>
      <c r="V325" s="71"/>
      <c r="W325" s="71"/>
      <c r="X325" s="71"/>
      <c r="Y325" s="71"/>
      <c r="Z325" s="71"/>
      <c r="AA325" s="71"/>
    </row>
    <row r="326" spans="1:27" ht="15.75" customHeight="1">
      <c r="A326" s="71"/>
      <c r="B326" s="263"/>
      <c r="C326" s="264"/>
      <c r="D326" s="71"/>
      <c r="E326" s="71"/>
      <c r="F326" s="265"/>
      <c r="G326" s="263"/>
      <c r="H326" s="71"/>
      <c r="I326" s="265"/>
      <c r="J326" s="71"/>
      <c r="K326" s="266"/>
      <c r="L326" s="266"/>
      <c r="M326" s="266"/>
      <c r="N326" s="266"/>
      <c r="O326" s="266"/>
      <c r="P326" s="266"/>
      <c r="Q326" s="267"/>
      <c r="R326" s="71"/>
      <c r="S326" s="71"/>
      <c r="T326" s="222"/>
      <c r="U326" s="71"/>
      <c r="V326" s="71"/>
      <c r="W326" s="71"/>
      <c r="X326" s="71"/>
      <c r="Y326" s="71"/>
      <c r="Z326" s="71"/>
      <c r="AA326" s="71"/>
    </row>
    <row r="327" spans="1:27" ht="15.75" customHeight="1">
      <c r="A327" s="71"/>
      <c r="B327" s="263"/>
      <c r="C327" s="264"/>
      <c r="D327" s="71"/>
      <c r="E327" s="71"/>
      <c r="F327" s="265"/>
      <c r="G327" s="263"/>
      <c r="H327" s="71"/>
      <c r="I327" s="265"/>
      <c r="J327" s="71"/>
      <c r="K327" s="266"/>
      <c r="L327" s="266"/>
      <c r="M327" s="266"/>
      <c r="N327" s="266"/>
      <c r="O327" s="266"/>
      <c r="P327" s="266"/>
      <c r="Q327" s="267"/>
      <c r="R327" s="71"/>
      <c r="S327" s="71"/>
      <c r="T327" s="222"/>
      <c r="U327" s="71"/>
      <c r="V327" s="71"/>
      <c r="W327" s="71"/>
      <c r="X327" s="71"/>
      <c r="Y327" s="71"/>
      <c r="Z327" s="71"/>
      <c r="AA327" s="71"/>
    </row>
    <row r="328" spans="1:27" ht="15.75" customHeight="1">
      <c r="A328" s="71"/>
      <c r="B328" s="263"/>
      <c r="C328" s="264"/>
      <c r="D328" s="71"/>
      <c r="E328" s="71"/>
      <c r="F328" s="265"/>
      <c r="G328" s="263"/>
      <c r="H328" s="71"/>
      <c r="I328" s="265"/>
      <c r="J328" s="71"/>
      <c r="K328" s="266"/>
      <c r="L328" s="266"/>
      <c r="M328" s="266"/>
      <c r="N328" s="266"/>
      <c r="O328" s="266"/>
      <c r="P328" s="266"/>
      <c r="Q328" s="267"/>
      <c r="R328" s="71"/>
      <c r="S328" s="71"/>
      <c r="T328" s="222"/>
      <c r="U328" s="71"/>
      <c r="V328" s="71"/>
      <c r="W328" s="71"/>
      <c r="X328" s="71"/>
      <c r="Y328" s="71"/>
      <c r="Z328" s="71"/>
      <c r="AA328" s="71"/>
    </row>
    <row r="329" spans="1:27" ht="15.75" customHeight="1">
      <c r="A329" s="71"/>
      <c r="B329" s="263"/>
      <c r="C329" s="264"/>
      <c r="D329" s="71"/>
      <c r="E329" s="71"/>
      <c r="F329" s="265"/>
      <c r="G329" s="263"/>
      <c r="H329" s="71"/>
      <c r="I329" s="265"/>
      <c r="J329" s="71"/>
      <c r="K329" s="266"/>
      <c r="L329" s="266"/>
      <c r="M329" s="266"/>
      <c r="N329" s="266"/>
      <c r="O329" s="266"/>
      <c r="P329" s="266"/>
      <c r="Q329" s="267"/>
      <c r="R329" s="71"/>
      <c r="S329" s="71"/>
      <c r="T329" s="222"/>
      <c r="U329" s="71"/>
      <c r="V329" s="71"/>
      <c r="W329" s="71"/>
      <c r="X329" s="71"/>
      <c r="Y329" s="71"/>
      <c r="Z329" s="71"/>
      <c r="AA329" s="71"/>
    </row>
    <row r="330" spans="1:27" ht="15.75" customHeight="1">
      <c r="A330" s="71"/>
      <c r="B330" s="263"/>
      <c r="C330" s="264"/>
      <c r="D330" s="71"/>
      <c r="E330" s="71"/>
      <c r="F330" s="265"/>
      <c r="G330" s="263"/>
      <c r="H330" s="71"/>
      <c r="I330" s="265"/>
      <c r="J330" s="71"/>
      <c r="K330" s="266"/>
      <c r="L330" s="266"/>
      <c r="M330" s="266"/>
      <c r="N330" s="266"/>
      <c r="O330" s="266"/>
      <c r="P330" s="266"/>
      <c r="Q330" s="267"/>
      <c r="R330" s="71"/>
      <c r="S330" s="71"/>
      <c r="T330" s="222"/>
      <c r="U330" s="71"/>
      <c r="V330" s="71"/>
      <c r="W330" s="71"/>
      <c r="X330" s="71"/>
      <c r="Y330" s="71"/>
      <c r="Z330" s="71"/>
      <c r="AA330" s="71"/>
    </row>
    <row r="331" spans="1:27" ht="15.75" customHeight="1">
      <c r="A331" s="71"/>
      <c r="B331" s="263"/>
      <c r="C331" s="264"/>
      <c r="D331" s="71"/>
      <c r="E331" s="71"/>
      <c r="F331" s="265"/>
      <c r="G331" s="263"/>
      <c r="H331" s="71"/>
      <c r="I331" s="265"/>
      <c r="J331" s="71"/>
      <c r="K331" s="266"/>
      <c r="L331" s="266"/>
      <c r="M331" s="266"/>
      <c r="N331" s="266"/>
      <c r="O331" s="266"/>
      <c r="P331" s="266"/>
      <c r="Q331" s="267"/>
      <c r="R331" s="71"/>
      <c r="S331" s="71"/>
      <c r="T331" s="222"/>
      <c r="U331" s="71"/>
      <c r="V331" s="71"/>
      <c r="W331" s="71"/>
      <c r="X331" s="71"/>
      <c r="Y331" s="71"/>
      <c r="Z331" s="71"/>
      <c r="AA331" s="71"/>
    </row>
    <row r="332" spans="1:27" ht="15.75" customHeight="1">
      <c r="A332" s="71"/>
      <c r="B332" s="263"/>
      <c r="C332" s="264"/>
      <c r="D332" s="71"/>
      <c r="E332" s="71"/>
      <c r="F332" s="265"/>
      <c r="G332" s="263"/>
      <c r="H332" s="71"/>
      <c r="I332" s="265"/>
      <c r="J332" s="71"/>
      <c r="K332" s="266"/>
      <c r="L332" s="266"/>
      <c r="M332" s="266"/>
      <c r="N332" s="266"/>
      <c r="O332" s="266"/>
      <c r="P332" s="266"/>
      <c r="Q332" s="267"/>
      <c r="R332" s="71"/>
      <c r="S332" s="71"/>
      <c r="T332" s="222"/>
      <c r="U332" s="71"/>
      <c r="V332" s="71"/>
      <c r="W332" s="71"/>
      <c r="X332" s="71"/>
      <c r="Y332" s="71"/>
      <c r="Z332" s="71"/>
      <c r="AA332" s="71"/>
    </row>
    <row r="333" spans="1:27" ht="15.75" customHeight="1">
      <c r="A333" s="71"/>
      <c r="B333" s="263"/>
      <c r="C333" s="264"/>
      <c r="D333" s="71"/>
      <c r="E333" s="71"/>
      <c r="F333" s="265"/>
      <c r="G333" s="263"/>
      <c r="H333" s="71"/>
      <c r="I333" s="265"/>
      <c r="J333" s="71"/>
      <c r="K333" s="266"/>
      <c r="L333" s="266"/>
      <c r="M333" s="266"/>
      <c r="N333" s="266"/>
      <c r="O333" s="266"/>
      <c r="P333" s="266"/>
      <c r="Q333" s="267"/>
      <c r="R333" s="71"/>
      <c r="S333" s="71"/>
      <c r="T333" s="222"/>
      <c r="U333" s="71"/>
      <c r="V333" s="71"/>
      <c r="W333" s="71"/>
      <c r="X333" s="71"/>
      <c r="Y333" s="71"/>
      <c r="Z333" s="71"/>
      <c r="AA333" s="71"/>
    </row>
    <row r="334" spans="1:27" ht="15.75" customHeight="1">
      <c r="A334" s="71"/>
      <c r="B334" s="263"/>
      <c r="C334" s="264"/>
      <c r="D334" s="71"/>
      <c r="E334" s="71"/>
      <c r="F334" s="265"/>
      <c r="G334" s="263"/>
      <c r="H334" s="71"/>
      <c r="I334" s="265"/>
      <c r="J334" s="71"/>
      <c r="K334" s="266"/>
      <c r="L334" s="266"/>
      <c r="M334" s="266"/>
      <c r="N334" s="266"/>
      <c r="O334" s="266"/>
      <c r="P334" s="266"/>
      <c r="Q334" s="267"/>
      <c r="R334" s="71"/>
      <c r="S334" s="71"/>
      <c r="T334" s="222"/>
      <c r="U334" s="71"/>
      <c r="V334" s="71"/>
      <c r="W334" s="71"/>
      <c r="X334" s="71"/>
      <c r="Y334" s="71"/>
      <c r="Z334" s="71"/>
      <c r="AA334" s="71"/>
    </row>
    <row r="335" spans="1:27" ht="15.75" customHeight="1">
      <c r="A335" s="71"/>
      <c r="B335" s="263"/>
      <c r="C335" s="264"/>
      <c r="D335" s="71"/>
      <c r="E335" s="71"/>
      <c r="F335" s="265"/>
      <c r="G335" s="263"/>
      <c r="H335" s="71"/>
      <c r="I335" s="265"/>
      <c r="J335" s="71"/>
      <c r="K335" s="266"/>
      <c r="L335" s="266"/>
      <c r="M335" s="266"/>
      <c r="N335" s="266"/>
      <c r="O335" s="266"/>
      <c r="P335" s="266"/>
      <c r="Q335" s="267"/>
      <c r="R335" s="71"/>
      <c r="S335" s="71"/>
      <c r="T335" s="222"/>
      <c r="U335" s="71"/>
      <c r="V335" s="71"/>
      <c r="W335" s="71"/>
      <c r="X335" s="71"/>
      <c r="Y335" s="71"/>
      <c r="Z335" s="71"/>
      <c r="AA335" s="71"/>
    </row>
    <row r="336" spans="1:27" ht="15.75" customHeight="1">
      <c r="A336" s="71"/>
      <c r="B336" s="263"/>
      <c r="C336" s="264"/>
      <c r="D336" s="71"/>
      <c r="E336" s="71"/>
      <c r="F336" s="265"/>
      <c r="G336" s="263"/>
      <c r="H336" s="71"/>
      <c r="I336" s="265"/>
      <c r="J336" s="71"/>
      <c r="K336" s="266"/>
      <c r="L336" s="266"/>
      <c r="M336" s="266"/>
      <c r="N336" s="266"/>
      <c r="O336" s="266"/>
      <c r="P336" s="266"/>
      <c r="Q336" s="267"/>
      <c r="R336" s="71"/>
      <c r="S336" s="71"/>
      <c r="T336" s="222"/>
      <c r="U336" s="71"/>
      <c r="V336" s="71"/>
      <c r="W336" s="71"/>
      <c r="X336" s="71"/>
      <c r="Y336" s="71"/>
      <c r="Z336" s="71"/>
      <c r="AA336" s="71"/>
    </row>
    <row r="337" spans="1:27" ht="15.75" customHeight="1">
      <c r="A337" s="71"/>
      <c r="B337" s="263"/>
      <c r="C337" s="264"/>
      <c r="D337" s="71"/>
      <c r="E337" s="71"/>
      <c r="F337" s="265"/>
      <c r="G337" s="263"/>
      <c r="H337" s="71"/>
      <c r="I337" s="265"/>
      <c r="J337" s="71"/>
      <c r="K337" s="266"/>
      <c r="L337" s="266"/>
      <c r="M337" s="266"/>
      <c r="N337" s="266"/>
      <c r="O337" s="266"/>
      <c r="P337" s="266"/>
      <c r="Q337" s="267"/>
      <c r="R337" s="71"/>
      <c r="S337" s="71"/>
      <c r="T337" s="222"/>
      <c r="U337" s="71"/>
      <c r="V337" s="71"/>
      <c r="W337" s="71"/>
      <c r="X337" s="71"/>
      <c r="Y337" s="71"/>
      <c r="Z337" s="71"/>
      <c r="AA337" s="71"/>
    </row>
    <row r="338" spans="1:27" ht="15.75" customHeight="1">
      <c r="A338" s="71"/>
      <c r="B338" s="263"/>
      <c r="C338" s="264"/>
      <c r="D338" s="71"/>
      <c r="E338" s="71"/>
      <c r="F338" s="265"/>
      <c r="G338" s="263"/>
      <c r="H338" s="71"/>
      <c r="I338" s="265"/>
      <c r="J338" s="71"/>
      <c r="K338" s="266"/>
      <c r="L338" s="266"/>
      <c r="M338" s="266"/>
      <c r="N338" s="266"/>
      <c r="O338" s="266"/>
      <c r="P338" s="266"/>
      <c r="Q338" s="267"/>
      <c r="R338" s="71"/>
      <c r="S338" s="71"/>
      <c r="T338" s="222"/>
      <c r="U338" s="71"/>
      <c r="V338" s="71"/>
      <c r="W338" s="71"/>
      <c r="X338" s="71"/>
      <c r="Y338" s="71"/>
      <c r="Z338" s="71"/>
      <c r="AA338" s="71"/>
    </row>
    <row r="339" spans="1:27" ht="15.75" customHeight="1">
      <c r="A339" s="71"/>
      <c r="B339" s="263"/>
      <c r="C339" s="264"/>
      <c r="D339" s="71"/>
      <c r="E339" s="71"/>
      <c r="F339" s="265"/>
      <c r="G339" s="263"/>
      <c r="H339" s="71"/>
      <c r="I339" s="265"/>
      <c r="J339" s="71"/>
      <c r="K339" s="266"/>
      <c r="L339" s="266"/>
      <c r="M339" s="266"/>
      <c r="N339" s="266"/>
      <c r="O339" s="266"/>
      <c r="P339" s="266"/>
      <c r="Q339" s="267"/>
      <c r="R339" s="71"/>
      <c r="S339" s="71"/>
      <c r="T339" s="222"/>
      <c r="U339" s="71"/>
      <c r="V339" s="71"/>
      <c r="W339" s="71"/>
      <c r="X339" s="71"/>
      <c r="Y339" s="71"/>
      <c r="Z339" s="71"/>
      <c r="AA339" s="71"/>
    </row>
    <row r="340" spans="1:27" ht="15.75" customHeight="1">
      <c r="A340" s="71"/>
      <c r="B340" s="263"/>
      <c r="C340" s="264"/>
      <c r="D340" s="71"/>
      <c r="E340" s="71"/>
      <c r="F340" s="265"/>
      <c r="G340" s="263"/>
      <c r="H340" s="71"/>
      <c r="I340" s="265"/>
      <c r="J340" s="71"/>
      <c r="K340" s="266"/>
      <c r="L340" s="266"/>
      <c r="M340" s="266"/>
      <c r="N340" s="266"/>
      <c r="O340" s="266"/>
      <c r="P340" s="266"/>
      <c r="Q340" s="267"/>
      <c r="R340" s="71"/>
      <c r="S340" s="71"/>
      <c r="T340" s="222"/>
      <c r="U340" s="71"/>
      <c r="V340" s="71"/>
      <c r="W340" s="71"/>
      <c r="X340" s="71"/>
      <c r="Y340" s="71"/>
      <c r="Z340" s="71"/>
      <c r="AA340" s="71"/>
    </row>
    <row r="341" spans="1:27" ht="15.75" customHeight="1">
      <c r="A341" s="71"/>
      <c r="B341" s="263"/>
      <c r="C341" s="264"/>
      <c r="D341" s="71"/>
      <c r="E341" s="71"/>
      <c r="F341" s="265"/>
      <c r="G341" s="263"/>
      <c r="H341" s="71"/>
      <c r="I341" s="265"/>
      <c r="J341" s="71"/>
      <c r="K341" s="266"/>
      <c r="L341" s="266"/>
      <c r="M341" s="266"/>
      <c r="N341" s="266"/>
      <c r="O341" s="266"/>
      <c r="P341" s="266"/>
      <c r="Q341" s="267"/>
      <c r="R341" s="71"/>
      <c r="S341" s="71"/>
      <c r="T341" s="222"/>
      <c r="U341" s="71"/>
      <c r="V341" s="71"/>
      <c r="W341" s="71"/>
      <c r="X341" s="71"/>
      <c r="Y341" s="71"/>
      <c r="Z341" s="71"/>
      <c r="AA341" s="71"/>
    </row>
    <row r="342" spans="1:27" ht="15.75" customHeight="1">
      <c r="A342" s="71"/>
      <c r="B342" s="263"/>
      <c r="C342" s="264"/>
      <c r="D342" s="71"/>
      <c r="E342" s="71"/>
      <c r="F342" s="265"/>
      <c r="G342" s="263"/>
      <c r="H342" s="71"/>
      <c r="I342" s="265"/>
      <c r="J342" s="71"/>
      <c r="K342" s="266"/>
      <c r="L342" s="266"/>
      <c r="M342" s="266"/>
      <c r="N342" s="266"/>
      <c r="O342" s="266"/>
      <c r="P342" s="266"/>
      <c r="Q342" s="267"/>
      <c r="R342" s="71"/>
      <c r="S342" s="71"/>
      <c r="T342" s="222"/>
      <c r="U342" s="71"/>
      <c r="V342" s="71"/>
      <c r="W342" s="71"/>
      <c r="X342" s="71"/>
      <c r="Y342" s="71"/>
      <c r="Z342" s="71"/>
      <c r="AA342" s="71"/>
    </row>
    <row r="343" spans="1:27" ht="15.75" customHeight="1">
      <c r="A343" s="71"/>
      <c r="B343" s="263"/>
      <c r="C343" s="264"/>
      <c r="D343" s="71"/>
      <c r="E343" s="71"/>
      <c r="F343" s="265"/>
      <c r="G343" s="263"/>
      <c r="H343" s="71"/>
      <c r="I343" s="265"/>
      <c r="J343" s="71"/>
      <c r="K343" s="266"/>
      <c r="L343" s="266"/>
      <c r="M343" s="266"/>
      <c r="N343" s="266"/>
      <c r="O343" s="266"/>
      <c r="P343" s="266"/>
      <c r="Q343" s="267"/>
      <c r="R343" s="71"/>
      <c r="S343" s="71"/>
      <c r="T343" s="222"/>
      <c r="U343" s="71"/>
      <c r="V343" s="71"/>
      <c r="W343" s="71"/>
      <c r="X343" s="71"/>
      <c r="Y343" s="71"/>
      <c r="Z343" s="71"/>
      <c r="AA343" s="71"/>
    </row>
    <row r="344" spans="1:27" ht="15.75" customHeight="1">
      <c r="A344" s="71"/>
      <c r="B344" s="263"/>
      <c r="C344" s="264"/>
      <c r="D344" s="71"/>
      <c r="E344" s="71"/>
      <c r="F344" s="265"/>
      <c r="G344" s="263"/>
      <c r="H344" s="71"/>
      <c r="I344" s="265"/>
      <c r="J344" s="71"/>
      <c r="K344" s="266"/>
      <c r="L344" s="266"/>
      <c r="M344" s="266"/>
      <c r="N344" s="266"/>
      <c r="O344" s="266"/>
      <c r="P344" s="266"/>
      <c r="Q344" s="267"/>
      <c r="R344" s="71"/>
      <c r="S344" s="71"/>
      <c r="T344" s="222"/>
      <c r="U344" s="71"/>
      <c r="V344" s="71"/>
      <c r="W344" s="71"/>
      <c r="X344" s="71"/>
      <c r="Y344" s="71"/>
      <c r="Z344" s="71"/>
      <c r="AA344" s="71"/>
    </row>
    <row r="345" spans="1:27" ht="15.75" customHeight="1">
      <c r="A345" s="71"/>
      <c r="B345" s="263"/>
      <c r="C345" s="264"/>
      <c r="D345" s="71"/>
      <c r="E345" s="71"/>
      <c r="F345" s="265"/>
      <c r="G345" s="263"/>
      <c r="H345" s="71"/>
      <c r="I345" s="265"/>
      <c r="J345" s="71"/>
      <c r="K345" s="266"/>
      <c r="L345" s="266"/>
      <c r="M345" s="266"/>
      <c r="N345" s="266"/>
      <c r="O345" s="266"/>
      <c r="P345" s="266"/>
      <c r="Q345" s="267"/>
      <c r="R345" s="71"/>
      <c r="S345" s="71"/>
      <c r="T345" s="222"/>
      <c r="U345" s="71"/>
      <c r="V345" s="71"/>
      <c r="W345" s="71"/>
      <c r="X345" s="71"/>
      <c r="Y345" s="71"/>
      <c r="Z345" s="71"/>
      <c r="AA345" s="71"/>
    </row>
    <row r="346" spans="1:27" ht="15.75" customHeight="1">
      <c r="A346" s="71"/>
      <c r="B346" s="263"/>
      <c r="C346" s="264"/>
      <c r="D346" s="71"/>
      <c r="E346" s="71"/>
      <c r="F346" s="265"/>
      <c r="G346" s="263"/>
      <c r="H346" s="71"/>
      <c r="I346" s="265"/>
      <c r="J346" s="71"/>
      <c r="K346" s="266"/>
      <c r="L346" s="266"/>
      <c r="M346" s="266"/>
      <c r="N346" s="266"/>
      <c r="O346" s="266"/>
      <c r="P346" s="266"/>
      <c r="Q346" s="267"/>
      <c r="R346" s="71"/>
      <c r="S346" s="71"/>
      <c r="T346" s="222"/>
      <c r="U346" s="71"/>
      <c r="V346" s="71"/>
      <c r="W346" s="71"/>
      <c r="X346" s="71"/>
      <c r="Y346" s="71"/>
      <c r="Z346" s="71"/>
      <c r="AA346" s="71"/>
    </row>
    <row r="347" spans="1:27" ht="15.75" customHeight="1">
      <c r="A347" s="71"/>
      <c r="B347" s="263"/>
      <c r="C347" s="264"/>
      <c r="D347" s="71"/>
      <c r="E347" s="71"/>
      <c r="F347" s="265"/>
      <c r="G347" s="263"/>
      <c r="H347" s="71"/>
      <c r="I347" s="265"/>
      <c r="J347" s="71"/>
      <c r="K347" s="266"/>
      <c r="L347" s="266"/>
      <c r="M347" s="266"/>
      <c r="N347" s="266"/>
      <c r="O347" s="266"/>
      <c r="P347" s="266"/>
      <c r="Q347" s="267"/>
      <c r="R347" s="71"/>
      <c r="S347" s="71"/>
      <c r="T347" s="222"/>
      <c r="U347" s="71"/>
      <c r="V347" s="71"/>
      <c r="W347" s="71"/>
      <c r="X347" s="71"/>
      <c r="Y347" s="71"/>
      <c r="Z347" s="71"/>
      <c r="AA347" s="71"/>
    </row>
    <row r="348" spans="1:27" ht="15.75" customHeight="1">
      <c r="A348" s="71"/>
      <c r="B348" s="263"/>
      <c r="C348" s="264"/>
      <c r="D348" s="71"/>
      <c r="E348" s="71"/>
      <c r="F348" s="265"/>
      <c r="G348" s="263"/>
      <c r="H348" s="71"/>
      <c r="I348" s="265"/>
      <c r="J348" s="71"/>
      <c r="K348" s="266"/>
      <c r="L348" s="266"/>
      <c r="M348" s="266"/>
      <c r="N348" s="266"/>
      <c r="O348" s="266"/>
      <c r="P348" s="266"/>
      <c r="Q348" s="267"/>
      <c r="R348" s="71"/>
      <c r="S348" s="71"/>
      <c r="T348" s="222"/>
      <c r="U348" s="71"/>
      <c r="V348" s="71"/>
      <c r="W348" s="71"/>
      <c r="X348" s="71"/>
      <c r="Y348" s="71"/>
      <c r="Z348" s="71"/>
      <c r="AA348" s="71"/>
    </row>
    <row r="349" spans="1:27" ht="15.75" customHeight="1">
      <c r="A349" s="71"/>
      <c r="B349" s="263"/>
      <c r="C349" s="264"/>
      <c r="D349" s="71"/>
      <c r="E349" s="71"/>
      <c r="F349" s="265"/>
      <c r="G349" s="263"/>
      <c r="H349" s="71"/>
      <c r="I349" s="265"/>
      <c r="J349" s="71"/>
      <c r="K349" s="266"/>
      <c r="L349" s="266"/>
      <c r="M349" s="266"/>
      <c r="N349" s="266"/>
      <c r="O349" s="266"/>
      <c r="P349" s="266"/>
      <c r="Q349" s="267"/>
      <c r="R349" s="71"/>
      <c r="S349" s="71"/>
      <c r="T349" s="222"/>
      <c r="U349" s="71"/>
      <c r="V349" s="71"/>
      <c r="W349" s="71"/>
      <c r="X349" s="71"/>
      <c r="Y349" s="71"/>
      <c r="Z349" s="71"/>
      <c r="AA349" s="71"/>
    </row>
    <row r="350" spans="1:27" ht="15.75" customHeight="1">
      <c r="A350" s="71"/>
      <c r="B350" s="263"/>
      <c r="C350" s="264"/>
      <c r="D350" s="71"/>
      <c r="E350" s="71"/>
      <c r="F350" s="265"/>
      <c r="G350" s="263"/>
      <c r="H350" s="71"/>
      <c r="I350" s="265"/>
      <c r="J350" s="71"/>
      <c r="K350" s="266"/>
      <c r="L350" s="266"/>
      <c r="M350" s="266"/>
      <c r="N350" s="266"/>
      <c r="O350" s="266"/>
      <c r="P350" s="266"/>
      <c r="Q350" s="267"/>
      <c r="R350" s="71"/>
      <c r="S350" s="71"/>
      <c r="T350" s="222"/>
      <c r="U350" s="71"/>
      <c r="V350" s="71"/>
      <c r="W350" s="71"/>
      <c r="X350" s="71"/>
      <c r="Y350" s="71"/>
      <c r="Z350" s="71"/>
      <c r="AA350" s="71"/>
    </row>
    <row r="351" spans="1:27" ht="15.75" customHeight="1">
      <c r="A351" s="71"/>
      <c r="B351" s="263"/>
      <c r="C351" s="264"/>
      <c r="D351" s="71"/>
      <c r="E351" s="71"/>
      <c r="F351" s="265"/>
      <c r="G351" s="263"/>
      <c r="H351" s="71"/>
      <c r="I351" s="265"/>
      <c r="J351" s="71"/>
      <c r="K351" s="266"/>
      <c r="L351" s="266"/>
      <c r="M351" s="266"/>
      <c r="N351" s="266"/>
      <c r="O351" s="266"/>
      <c r="P351" s="266"/>
      <c r="Q351" s="267"/>
      <c r="R351" s="71"/>
      <c r="S351" s="71"/>
      <c r="T351" s="222"/>
      <c r="U351" s="71"/>
      <c r="V351" s="71"/>
      <c r="W351" s="71"/>
      <c r="X351" s="71"/>
      <c r="Y351" s="71"/>
      <c r="Z351" s="71"/>
      <c r="AA351" s="71"/>
    </row>
    <row r="352" spans="1:27" ht="15.75" customHeight="1">
      <c r="A352" s="71"/>
      <c r="B352" s="263"/>
      <c r="C352" s="264"/>
      <c r="D352" s="71"/>
      <c r="E352" s="71"/>
      <c r="F352" s="265"/>
      <c r="G352" s="263"/>
      <c r="H352" s="71"/>
      <c r="I352" s="265"/>
      <c r="J352" s="71"/>
      <c r="K352" s="266"/>
      <c r="L352" s="266"/>
      <c r="M352" s="266"/>
      <c r="N352" s="266"/>
      <c r="O352" s="266"/>
      <c r="P352" s="266"/>
      <c r="Q352" s="267"/>
      <c r="R352" s="71"/>
      <c r="S352" s="71"/>
      <c r="T352" s="222"/>
      <c r="U352" s="71"/>
      <c r="V352" s="71"/>
      <c r="W352" s="71"/>
      <c r="X352" s="71"/>
      <c r="Y352" s="71"/>
      <c r="Z352" s="71"/>
      <c r="AA352" s="71"/>
    </row>
    <row r="353" spans="1:27" ht="15.75" customHeight="1">
      <c r="A353" s="71"/>
      <c r="B353" s="263"/>
      <c r="C353" s="264"/>
      <c r="D353" s="71"/>
      <c r="E353" s="71"/>
      <c r="F353" s="265"/>
      <c r="G353" s="263"/>
      <c r="H353" s="71"/>
      <c r="I353" s="265"/>
      <c r="J353" s="71"/>
      <c r="K353" s="266"/>
      <c r="L353" s="266"/>
      <c r="M353" s="266"/>
      <c r="N353" s="266"/>
      <c r="O353" s="266"/>
      <c r="P353" s="266"/>
      <c r="Q353" s="267"/>
      <c r="R353" s="71"/>
      <c r="S353" s="71"/>
      <c r="T353" s="222"/>
      <c r="U353" s="71"/>
      <c r="V353" s="71"/>
      <c r="W353" s="71"/>
      <c r="X353" s="71"/>
      <c r="Y353" s="71"/>
      <c r="Z353" s="71"/>
      <c r="AA353" s="71"/>
    </row>
    <row r="354" spans="1:27" ht="15.75" customHeight="1">
      <c r="A354" s="71"/>
      <c r="B354" s="263"/>
      <c r="C354" s="264"/>
      <c r="D354" s="71"/>
      <c r="E354" s="71"/>
      <c r="F354" s="265"/>
      <c r="G354" s="263"/>
      <c r="H354" s="71"/>
      <c r="I354" s="265"/>
      <c r="J354" s="71"/>
      <c r="K354" s="266"/>
      <c r="L354" s="266"/>
      <c r="M354" s="266"/>
      <c r="N354" s="266"/>
      <c r="O354" s="266"/>
      <c r="P354" s="266"/>
      <c r="Q354" s="267"/>
      <c r="R354" s="71"/>
      <c r="S354" s="71"/>
      <c r="T354" s="222"/>
      <c r="U354" s="71"/>
      <c r="V354" s="71"/>
      <c r="W354" s="71"/>
      <c r="X354" s="71"/>
      <c r="Y354" s="71"/>
      <c r="Z354" s="71"/>
      <c r="AA354" s="71"/>
    </row>
    <row r="355" spans="1:27" ht="15.75" customHeight="1">
      <c r="A355" s="71"/>
      <c r="B355" s="263"/>
      <c r="C355" s="264"/>
      <c r="D355" s="71"/>
      <c r="E355" s="71"/>
      <c r="F355" s="265"/>
      <c r="G355" s="263"/>
      <c r="H355" s="71"/>
      <c r="I355" s="265"/>
      <c r="J355" s="71"/>
      <c r="K355" s="266"/>
      <c r="L355" s="266"/>
      <c r="M355" s="266"/>
      <c r="N355" s="266"/>
      <c r="O355" s="266"/>
      <c r="P355" s="266"/>
      <c r="Q355" s="267"/>
      <c r="R355" s="71"/>
      <c r="S355" s="71"/>
      <c r="T355" s="222"/>
      <c r="U355" s="71"/>
      <c r="V355" s="71"/>
      <c r="W355" s="71"/>
      <c r="X355" s="71"/>
      <c r="Y355" s="71"/>
      <c r="Z355" s="71"/>
      <c r="AA355" s="71"/>
    </row>
    <row r="356" spans="1:27" ht="15.75" customHeight="1">
      <c r="A356" s="71"/>
      <c r="B356" s="263"/>
      <c r="C356" s="264"/>
      <c r="D356" s="71"/>
      <c r="E356" s="71"/>
      <c r="F356" s="265"/>
      <c r="G356" s="263"/>
      <c r="H356" s="71"/>
      <c r="I356" s="265"/>
      <c r="J356" s="71"/>
      <c r="K356" s="266"/>
      <c r="L356" s="266"/>
      <c r="M356" s="266"/>
      <c r="N356" s="266"/>
      <c r="O356" s="266"/>
      <c r="P356" s="266"/>
      <c r="Q356" s="267"/>
      <c r="R356" s="71"/>
      <c r="S356" s="71"/>
      <c r="T356" s="222"/>
      <c r="U356" s="71"/>
      <c r="V356" s="71"/>
      <c r="W356" s="71"/>
      <c r="X356" s="71"/>
      <c r="Y356" s="71"/>
      <c r="Z356" s="71"/>
      <c r="AA356" s="71"/>
    </row>
    <row r="357" spans="1:27" ht="15.75" customHeight="1">
      <c r="A357" s="71"/>
      <c r="B357" s="263"/>
      <c r="C357" s="264"/>
      <c r="D357" s="71"/>
      <c r="E357" s="71"/>
      <c r="F357" s="265"/>
      <c r="G357" s="263"/>
      <c r="H357" s="71"/>
      <c r="I357" s="265"/>
      <c r="J357" s="71"/>
      <c r="K357" s="266"/>
      <c r="L357" s="266"/>
      <c r="M357" s="266"/>
      <c r="N357" s="266"/>
      <c r="O357" s="266"/>
      <c r="P357" s="266"/>
      <c r="Q357" s="267"/>
      <c r="R357" s="71"/>
      <c r="S357" s="71"/>
      <c r="T357" s="222"/>
      <c r="U357" s="71"/>
      <c r="V357" s="71"/>
      <c r="W357" s="71"/>
      <c r="X357" s="71"/>
      <c r="Y357" s="71"/>
      <c r="Z357" s="71"/>
      <c r="AA357" s="71"/>
    </row>
    <row r="358" spans="1:27" ht="15.75" customHeight="1">
      <c r="A358" s="71"/>
      <c r="B358" s="263"/>
      <c r="C358" s="264"/>
      <c r="D358" s="71"/>
      <c r="E358" s="71"/>
      <c r="F358" s="265"/>
      <c r="G358" s="263"/>
      <c r="H358" s="71"/>
      <c r="I358" s="265"/>
      <c r="J358" s="71"/>
      <c r="K358" s="266"/>
      <c r="L358" s="266"/>
      <c r="M358" s="266"/>
      <c r="N358" s="266"/>
      <c r="O358" s="266"/>
      <c r="P358" s="266"/>
      <c r="Q358" s="267"/>
      <c r="R358" s="71"/>
      <c r="S358" s="71"/>
      <c r="T358" s="222"/>
      <c r="U358" s="71"/>
      <c r="V358" s="71"/>
      <c r="W358" s="71"/>
      <c r="X358" s="71"/>
      <c r="Y358" s="71"/>
      <c r="Z358" s="71"/>
      <c r="AA358" s="71"/>
    </row>
    <row r="359" spans="1:27" ht="15.75" customHeight="1">
      <c r="A359" s="71"/>
      <c r="B359" s="263"/>
      <c r="C359" s="264"/>
      <c r="D359" s="71"/>
      <c r="E359" s="71"/>
      <c r="F359" s="265"/>
      <c r="G359" s="263"/>
      <c r="H359" s="71"/>
      <c r="I359" s="265"/>
      <c r="J359" s="71"/>
      <c r="K359" s="266"/>
      <c r="L359" s="266"/>
      <c r="M359" s="266"/>
      <c r="N359" s="266"/>
      <c r="O359" s="266"/>
      <c r="P359" s="266"/>
      <c r="Q359" s="267"/>
      <c r="R359" s="71"/>
      <c r="S359" s="71"/>
      <c r="T359" s="222"/>
      <c r="U359" s="71"/>
      <c r="V359" s="71"/>
      <c r="W359" s="71"/>
      <c r="X359" s="71"/>
      <c r="Y359" s="71"/>
      <c r="Z359" s="71"/>
      <c r="AA359" s="71"/>
    </row>
    <row r="360" spans="1:27" ht="15.75" customHeight="1">
      <c r="A360" s="71"/>
      <c r="B360" s="263"/>
      <c r="C360" s="264"/>
      <c r="D360" s="71"/>
      <c r="E360" s="71"/>
      <c r="F360" s="265"/>
      <c r="G360" s="263"/>
      <c r="H360" s="71"/>
      <c r="I360" s="265"/>
      <c r="J360" s="71"/>
      <c r="K360" s="266"/>
      <c r="L360" s="266"/>
      <c r="M360" s="266"/>
      <c r="N360" s="266"/>
      <c r="O360" s="266"/>
      <c r="P360" s="266"/>
      <c r="Q360" s="267"/>
      <c r="R360" s="71"/>
      <c r="S360" s="71"/>
      <c r="T360" s="222"/>
      <c r="U360" s="71"/>
      <c r="V360" s="71"/>
      <c r="W360" s="71"/>
      <c r="X360" s="71"/>
      <c r="Y360" s="71"/>
      <c r="Z360" s="71"/>
      <c r="AA360" s="71"/>
    </row>
    <row r="361" spans="1:27" ht="15.75" customHeight="1">
      <c r="A361" s="71"/>
      <c r="B361" s="263"/>
      <c r="C361" s="264"/>
      <c r="D361" s="71"/>
      <c r="E361" s="71"/>
      <c r="F361" s="265"/>
      <c r="G361" s="263"/>
      <c r="H361" s="71"/>
      <c r="I361" s="265"/>
      <c r="J361" s="71"/>
      <c r="K361" s="266"/>
      <c r="L361" s="266"/>
      <c r="M361" s="266"/>
      <c r="N361" s="266"/>
      <c r="O361" s="266"/>
      <c r="P361" s="266"/>
      <c r="Q361" s="267"/>
      <c r="R361" s="71"/>
      <c r="S361" s="71"/>
      <c r="T361" s="222"/>
      <c r="U361" s="71"/>
      <c r="V361" s="71"/>
      <c r="W361" s="71"/>
      <c r="X361" s="71"/>
      <c r="Y361" s="71"/>
      <c r="Z361" s="71"/>
      <c r="AA361" s="71"/>
    </row>
    <row r="362" spans="1:27" ht="15.75" customHeight="1">
      <c r="A362" s="71"/>
      <c r="B362" s="263"/>
      <c r="C362" s="264"/>
      <c r="D362" s="71"/>
      <c r="E362" s="71"/>
      <c r="F362" s="265"/>
      <c r="G362" s="263"/>
      <c r="H362" s="71"/>
      <c r="I362" s="265"/>
      <c r="J362" s="71"/>
      <c r="K362" s="266"/>
      <c r="L362" s="266"/>
      <c r="M362" s="266"/>
      <c r="N362" s="266"/>
      <c r="O362" s="266"/>
      <c r="P362" s="266"/>
      <c r="Q362" s="267"/>
      <c r="R362" s="71"/>
      <c r="S362" s="71"/>
      <c r="T362" s="222"/>
      <c r="U362" s="71"/>
      <c r="V362" s="71"/>
      <c r="W362" s="71"/>
      <c r="X362" s="71"/>
      <c r="Y362" s="71"/>
      <c r="Z362" s="71"/>
      <c r="AA362" s="71"/>
    </row>
    <row r="363" spans="1:27" ht="15.75" customHeight="1">
      <c r="A363" s="71"/>
      <c r="B363" s="263"/>
      <c r="C363" s="264"/>
      <c r="D363" s="71"/>
      <c r="E363" s="71"/>
      <c r="F363" s="265"/>
      <c r="G363" s="263"/>
      <c r="H363" s="71"/>
      <c r="I363" s="265"/>
      <c r="J363" s="71"/>
      <c r="K363" s="266"/>
      <c r="L363" s="266"/>
      <c r="M363" s="266"/>
      <c r="N363" s="266"/>
      <c r="O363" s="266"/>
      <c r="P363" s="266"/>
      <c r="Q363" s="267"/>
      <c r="R363" s="71"/>
      <c r="S363" s="71"/>
      <c r="T363" s="222"/>
      <c r="U363" s="71"/>
      <c r="V363" s="71"/>
      <c r="W363" s="71"/>
      <c r="X363" s="71"/>
      <c r="Y363" s="71"/>
      <c r="Z363" s="71"/>
      <c r="AA363" s="71"/>
    </row>
    <row r="364" spans="1:27" ht="15.75" customHeight="1">
      <c r="A364" s="71"/>
      <c r="B364" s="263"/>
      <c r="C364" s="264"/>
      <c r="D364" s="71"/>
      <c r="E364" s="71"/>
      <c r="F364" s="265"/>
      <c r="G364" s="263"/>
      <c r="H364" s="71"/>
      <c r="I364" s="265"/>
      <c r="J364" s="71"/>
      <c r="K364" s="266"/>
      <c r="L364" s="266"/>
      <c r="M364" s="266"/>
      <c r="N364" s="266"/>
      <c r="O364" s="266"/>
      <c r="P364" s="266"/>
      <c r="Q364" s="267"/>
      <c r="R364" s="71"/>
      <c r="S364" s="71"/>
      <c r="T364" s="222"/>
      <c r="U364" s="71"/>
      <c r="V364" s="71"/>
      <c r="W364" s="71"/>
      <c r="X364" s="71"/>
      <c r="Y364" s="71"/>
      <c r="Z364" s="71"/>
      <c r="AA364" s="71"/>
    </row>
    <row r="365" spans="1:27" ht="15.75" customHeight="1">
      <c r="A365" s="71"/>
      <c r="B365" s="263"/>
      <c r="C365" s="264"/>
      <c r="D365" s="71"/>
      <c r="E365" s="71"/>
      <c r="F365" s="265"/>
      <c r="G365" s="263"/>
      <c r="H365" s="71"/>
      <c r="I365" s="265"/>
      <c r="J365" s="71"/>
      <c r="K365" s="266"/>
      <c r="L365" s="266"/>
      <c r="M365" s="266"/>
      <c r="N365" s="266"/>
      <c r="O365" s="266"/>
      <c r="P365" s="266"/>
      <c r="Q365" s="267"/>
      <c r="R365" s="71"/>
      <c r="S365" s="71"/>
      <c r="T365" s="222"/>
      <c r="U365" s="71"/>
      <c r="V365" s="71"/>
      <c r="W365" s="71"/>
      <c r="X365" s="71"/>
      <c r="Y365" s="71"/>
      <c r="Z365" s="71"/>
      <c r="AA365" s="71"/>
    </row>
    <row r="366" spans="1:27" ht="15.75" customHeight="1">
      <c r="A366" s="71"/>
      <c r="B366" s="263"/>
      <c r="C366" s="264"/>
      <c r="D366" s="71"/>
      <c r="E366" s="71"/>
      <c r="F366" s="265"/>
      <c r="G366" s="263"/>
      <c r="H366" s="71"/>
      <c r="I366" s="265"/>
      <c r="J366" s="71"/>
      <c r="K366" s="266"/>
      <c r="L366" s="266"/>
      <c r="M366" s="266"/>
      <c r="N366" s="266"/>
      <c r="O366" s="266"/>
      <c r="P366" s="266"/>
      <c r="Q366" s="267"/>
      <c r="R366" s="71"/>
      <c r="S366" s="71"/>
      <c r="T366" s="222"/>
      <c r="U366" s="71"/>
      <c r="V366" s="71"/>
      <c r="W366" s="71"/>
      <c r="X366" s="71"/>
      <c r="Y366" s="71"/>
      <c r="Z366" s="71"/>
      <c r="AA366" s="71"/>
    </row>
    <row r="367" spans="1:27" ht="15.75" customHeight="1">
      <c r="A367" s="71"/>
      <c r="B367" s="263"/>
      <c r="C367" s="264"/>
      <c r="D367" s="71"/>
      <c r="E367" s="71"/>
      <c r="F367" s="265"/>
      <c r="G367" s="263"/>
      <c r="H367" s="71"/>
      <c r="I367" s="265"/>
      <c r="J367" s="71"/>
      <c r="K367" s="266"/>
      <c r="L367" s="266"/>
      <c r="M367" s="266"/>
      <c r="N367" s="266"/>
      <c r="O367" s="266"/>
      <c r="P367" s="266"/>
      <c r="Q367" s="267"/>
      <c r="R367" s="71"/>
      <c r="S367" s="71"/>
      <c r="T367" s="222"/>
      <c r="U367" s="71"/>
      <c r="V367" s="71"/>
      <c r="W367" s="71"/>
      <c r="X367" s="71"/>
      <c r="Y367" s="71"/>
      <c r="Z367" s="71"/>
      <c r="AA367" s="71"/>
    </row>
    <row r="368" spans="1:27" ht="15.75" customHeight="1">
      <c r="A368" s="71"/>
      <c r="B368" s="263"/>
      <c r="C368" s="264"/>
      <c r="D368" s="71"/>
      <c r="E368" s="71"/>
      <c r="F368" s="265"/>
      <c r="G368" s="263"/>
      <c r="H368" s="71"/>
      <c r="I368" s="265"/>
      <c r="J368" s="71"/>
      <c r="K368" s="266"/>
      <c r="L368" s="266"/>
      <c r="M368" s="266"/>
      <c r="N368" s="266"/>
      <c r="O368" s="266"/>
      <c r="P368" s="266"/>
      <c r="Q368" s="267"/>
      <c r="R368" s="71"/>
      <c r="S368" s="71"/>
      <c r="T368" s="222"/>
      <c r="U368" s="71"/>
      <c r="V368" s="71"/>
      <c r="W368" s="71"/>
      <c r="X368" s="71"/>
      <c r="Y368" s="71"/>
      <c r="Z368" s="71"/>
      <c r="AA368" s="71"/>
    </row>
    <row r="369" spans="1:27" ht="15.75" customHeight="1">
      <c r="A369" s="71"/>
      <c r="B369" s="263"/>
      <c r="C369" s="264"/>
      <c r="D369" s="71"/>
      <c r="E369" s="71"/>
      <c r="F369" s="265"/>
      <c r="G369" s="263"/>
      <c r="H369" s="71"/>
      <c r="I369" s="265"/>
      <c r="J369" s="71"/>
      <c r="K369" s="266"/>
      <c r="L369" s="266"/>
      <c r="M369" s="266"/>
      <c r="N369" s="266"/>
      <c r="O369" s="266"/>
      <c r="P369" s="266"/>
      <c r="Q369" s="267"/>
      <c r="R369" s="71"/>
      <c r="S369" s="71"/>
      <c r="T369" s="222"/>
      <c r="U369" s="71"/>
      <c r="V369" s="71"/>
      <c r="W369" s="71"/>
      <c r="X369" s="71"/>
      <c r="Y369" s="71"/>
      <c r="Z369" s="71"/>
      <c r="AA369" s="71"/>
    </row>
    <row r="370" spans="1:27" ht="15.75" customHeight="1">
      <c r="A370" s="71"/>
      <c r="B370" s="263"/>
      <c r="C370" s="264"/>
      <c r="D370" s="71"/>
      <c r="E370" s="71"/>
      <c r="F370" s="265"/>
      <c r="G370" s="263"/>
      <c r="H370" s="71"/>
      <c r="I370" s="265"/>
      <c r="J370" s="71"/>
      <c r="K370" s="266"/>
      <c r="L370" s="266"/>
      <c r="M370" s="266"/>
      <c r="N370" s="266"/>
      <c r="O370" s="266"/>
      <c r="P370" s="266"/>
      <c r="Q370" s="267"/>
      <c r="R370" s="71"/>
      <c r="S370" s="71"/>
      <c r="T370" s="222"/>
      <c r="U370" s="71"/>
      <c r="V370" s="71"/>
      <c r="W370" s="71"/>
      <c r="X370" s="71"/>
      <c r="Y370" s="71"/>
      <c r="Z370" s="71"/>
      <c r="AA370" s="71"/>
    </row>
    <row r="371" spans="1:27" ht="15.75" customHeight="1">
      <c r="A371" s="71"/>
      <c r="B371" s="263"/>
      <c r="C371" s="264"/>
      <c r="D371" s="71"/>
      <c r="E371" s="71"/>
      <c r="F371" s="265"/>
      <c r="G371" s="263"/>
      <c r="H371" s="71"/>
      <c r="I371" s="265"/>
      <c r="J371" s="71"/>
      <c r="K371" s="266"/>
      <c r="L371" s="266"/>
      <c r="M371" s="266"/>
      <c r="N371" s="266"/>
      <c r="O371" s="266"/>
      <c r="P371" s="266"/>
      <c r="Q371" s="267"/>
      <c r="R371" s="71"/>
      <c r="S371" s="71"/>
      <c r="T371" s="222"/>
      <c r="U371" s="71"/>
      <c r="V371" s="71"/>
      <c r="W371" s="71"/>
      <c r="X371" s="71"/>
      <c r="Y371" s="71"/>
      <c r="Z371" s="71"/>
      <c r="AA371" s="71"/>
    </row>
    <row r="372" spans="1:27" ht="15.75" customHeight="1">
      <c r="A372" s="71"/>
      <c r="B372" s="263"/>
      <c r="C372" s="264"/>
      <c r="D372" s="71"/>
      <c r="E372" s="71"/>
      <c r="F372" s="265"/>
      <c r="G372" s="263"/>
      <c r="H372" s="71"/>
      <c r="I372" s="265"/>
      <c r="J372" s="71"/>
      <c r="K372" s="266"/>
      <c r="L372" s="266"/>
      <c r="M372" s="266"/>
      <c r="N372" s="266"/>
      <c r="O372" s="266"/>
      <c r="P372" s="266"/>
      <c r="Q372" s="267"/>
      <c r="R372" s="71"/>
      <c r="S372" s="71"/>
      <c r="T372" s="222"/>
      <c r="U372" s="71"/>
      <c r="V372" s="71"/>
      <c r="W372" s="71"/>
      <c r="X372" s="71"/>
      <c r="Y372" s="71"/>
      <c r="Z372" s="71"/>
      <c r="AA372" s="71"/>
    </row>
    <row r="373" spans="1:27" ht="15.75" customHeight="1">
      <c r="A373" s="71"/>
      <c r="B373" s="263"/>
      <c r="C373" s="264"/>
      <c r="D373" s="71"/>
      <c r="E373" s="71"/>
      <c r="F373" s="265"/>
      <c r="G373" s="263"/>
      <c r="H373" s="71"/>
      <c r="I373" s="265"/>
      <c r="J373" s="71"/>
      <c r="K373" s="266"/>
      <c r="L373" s="266"/>
      <c r="M373" s="266"/>
      <c r="N373" s="266"/>
      <c r="O373" s="266"/>
      <c r="P373" s="266"/>
      <c r="Q373" s="267"/>
      <c r="R373" s="71"/>
      <c r="S373" s="71"/>
      <c r="T373" s="222"/>
      <c r="U373" s="71"/>
      <c r="V373" s="71"/>
      <c r="W373" s="71"/>
      <c r="X373" s="71"/>
      <c r="Y373" s="71"/>
      <c r="Z373" s="71"/>
      <c r="AA373" s="71"/>
    </row>
    <row r="374" spans="1:27" ht="15.75" customHeight="1">
      <c r="A374" s="71"/>
      <c r="B374" s="263"/>
      <c r="C374" s="264"/>
      <c r="D374" s="71"/>
      <c r="E374" s="71"/>
      <c r="F374" s="265"/>
      <c r="G374" s="263"/>
      <c r="H374" s="71"/>
      <c r="I374" s="265"/>
      <c r="J374" s="71"/>
      <c r="K374" s="266"/>
      <c r="L374" s="266"/>
      <c r="M374" s="266"/>
      <c r="N374" s="266"/>
      <c r="O374" s="266"/>
      <c r="P374" s="266"/>
      <c r="Q374" s="267"/>
      <c r="R374" s="71"/>
      <c r="S374" s="71"/>
      <c r="T374" s="222"/>
      <c r="U374" s="71"/>
      <c r="V374" s="71"/>
      <c r="W374" s="71"/>
      <c r="X374" s="71"/>
      <c r="Y374" s="71"/>
      <c r="Z374" s="71"/>
      <c r="AA374" s="71"/>
    </row>
    <row r="375" spans="1:27" ht="15.75" customHeight="1">
      <c r="A375" s="71"/>
      <c r="B375" s="263"/>
      <c r="C375" s="264"/>
      <c r="D375" s="71"/>
      <c r="E375" s="71"/>
      <c r="F375" s="265"/>
      <c r="G375" s="263"/>
      <c r="H375" s="71"/>
      <c r="I375" s="265"/>
      <c r="J375" s="71"/>
      <c r="K375" s="266"/>
      <c r="L375" s="266"/>
      <c r="M375" s="266"/>
      <c r="N375" s="266"/>
      <c r="O375" s="266"/>
      <c r="P375" s="266"/>
      <c r="Q375" s="267"/>
      <c r="R375" s="71"/>
      <c r="S375" s="71"/>
      <c r="T375" s="222"/>
      <c r="U375" s="71"/>
      <c r="V375" s="71"/>
      <c r="W375" s="71"/>
      <c r="X375" s="71"/>
      <c r="Y375" s="71"/>
      <c r="Z375" s="71"/>
      <c r="AA375" s="71"/>
    </row>
    <row r="376" spans="1:27" ht="15.75" customHeight="1">
      <c r="A376" s="71"/>
      <c r="B376" s="263"/>
      <c r="C376" s="264"/>
      <c r="D376" s="71"/>
      <c r="E376" s="71"/>
      <c r="F376" s="265"/>
      <c r="G376" s="263"/>
      <c r="H376" s="71"/>
      <c r="I376" s="265"/>
      <c r="J376" s="71"/>
      <c r="K376" s="266"/>
      <c r="L376" s="266"/>
      <c r="M376" s="266"/>
      <c r="N376" s="266"/>
      <c r="O376" s="266"/>
      <c r="P376" s="266"/>
      <c r="Q376" s="267"/>
      <c r="R376" s="71"/>
      <c r="S376" s="71"/>
      <c r="T376" s="222"/>
      <c r="U376" s="71"/>
      <c r="V376" s="71"/>
      <c r="W376" s="71"/>
      <c r="X376" s="71"/>
      <c r="Y376" s="71"/>
      <c r="Z376" s="71"/>
      <c r="AA376" s="71"/>
    </row>
    <row r="377" spans="1:27" ht="15.75" customHeight="1">
      <c r="A377" s="71"/>
      <c r="B377" s="263"/>
      <c r="C377" s="264"/>
      <c r="D377" s="71"/>
      <c r="E377" s="71"/>
      <c r="F377" s="265"/>
      <c r="G377" s="263"/>
      <c r="H377" s="71"/>
      <c r="I377" s="265"/>
      <c r="J377" s="71"/>
      <c r="K377" s="266"/>
      <c r="L377" s="266"/>
      <c r="M377" s="266"/>
      <c r="N377" s="266"/>
      <c r="O377" s="266"/>
      <c r="P377" s="266"/>
      <c r="Q377" s="267"/>
      <c r="R377" s="71"/>
      <c r="S377" s="71"/>
      <c r="T377" s="222"/>
      <c r="U377" s="71"/>
      <c r="V377" s="71"/>
      <c r="W377" s="71"/>
      <c r="X377" s="71"/>
      <c r="Y377" s="71"/>
      <c r="Z377" s="71"/>
      <c r="AA377" s="71"/>
    </row>
    <row r="378" spans="1:27" ht="15.75" customHeight="1">
      <c r="A378" s="71"/>
      <c r="B378" s="263"/>
      <c r="C378" s="264"/>
      <c r="D378" s="71"/>
      <c r="E378" s="71"/>
      <c r="F378" s="265"/>
      <c r="G378" s="263"/>
      <c r="H378" s="71"/>
      <c r="I378" s="265"/>
      <c r="J378" s="71"/>
      <c r="K378" s="266"/>
      <c r="L378" s="266"/>
      <c r="M378" s="266"/>
      <c r="N378" s="266"/>
      <c r="O378" s="266"/>
      <c r="P378" s="266"/>
      <c r="Q378" s="267"/>
      <c r="R378" s="71"/>
      <c r="S378" s="71"/>
      <c r="T378" s="222"/>
      <c r="U378" s="71"/>
      <c r="V378" s="71"/>
      <c r="W378" s="71"/>
      <c r="X378" s="71"/>
      <c r="Y378" s="71"/>
      <c r="Z378" s="71"/>
      <c r="AA378" s="71"/>
    </row>
    <row r="379" spans="1:27" ht="15.75" customHeight="1">
      <c r="A379" s="71"/>
      <c r="B379" s="263"/>
      <c r="C379" s="264"/>
      <c r="D379" s="71"/>
      <c r="E379" s="71"/>
      <c r="F379" s="265"/>
      <c r="G379" s="263"/>
      <c r="H379" s="71"/>
      <c r="I379" s="265"/>
      <c r="J379" s="71"/>
      <c r="K379" s="266"/>
      <c r="L379" s="266"/>
      <c r="M379" s="266"/>
      <c r="N379" s="266"/>
      <c r="O379" s="266"/>
      <c r="P379" s="266"/>
      <c r="Q379" s="267"/>
      <c r="R379" s="71"/>
      <c r="S379" s="71"/>
      <c r="T379" s="222"/>
      <c r="U379" s="71"/>
      <c r="V379" s="71"/>
      <c r="W379" s="71"/>
      <c r="X379" s="71"/>
      <c r="Y379" s="71"/>
      <c r="Z379" s="71"/>
      <c r="AA379" s="71"/>
    </row>
    <row r="380" spans="1:27" ht="15.75" customHeight="1">
      <c r="A380" s="71"/>
      <c r="B380" s="263"/>
      <c r="C380" s="264"/>
      <c r="D380" s="71"/>
      <c r="E380" s="71"/>
      <c r="F380" s="265"/>
      <c r="G380" s="263"/>
      <c r="H380" s="71"/>
      <c r="I380" s="265"/>
      <c r="J380" s="71"/>
      <c r="K380" s="266"/>
      <c r="L380" s="266"/>
      <c r="M380" s="266"/>
      <c r="N380" s="266"/>
      <c r="O380" s="266"/>
      <c r="P380" s="266"/>
      <c r="Q380" s="267"/>
      <c r="R380" s="71"/>
      <c r="S380" s="71"/>
      <c r="T380" s="222"/>
      <c r="U380" s="71"/>
      <c r="V380" s="71"/>
      <c r="W380" s="71"/>
      <c r="X380" s="71"/>
      <c r="Y380" s="71"/>
      <c r="Z380" s="71"/>
      <c r="AA380" s="71"/>
    </row>
    <row r="381" spans="1:27" ht="15.75" customHeight="1">
      <c r="A381" s="71"/>
      <c r="B381" s="263"/>
      <c r="C381" s="264"/>
      <c r="D381" s="71"/>
      <c r="E381" s="71"/>
      <c r="F381" s="265"/>
      <c r="G381" s="263"/>
      <c r="H381" s="71"/>
      <c r="I381" s="265"/>
      <c r="J381" s="71"/>
      <c r="K381" s="266"/>
      <c r="L381" s="266"/>
      <c r="M381" s="266"/>
      <c r="N381" s="266"/>
      <c r="O381" s="266"/>
      <c r="P381" s="266"/>
      <c r="Q381" s="267"/>
      <c r="R381" s="71"/>
      <c r="S381" s="71"/>
      <c r="T381" s="222"/>
      <c r="U381" s="71"/>
      <c r="V381" s="71"/>
      <c r="W381" s="71"/>
      <c r="X381" s="71"/>
      <c r="Y381" s="71"/>
      <c r="Z381" s="71"/>
      <c r="AA381" s="71"/>
    </row>
    <row r="382" spans="1:27" ht="15.75" customHeight="1">
      <c r="A382" s="71"/>
      <c r="B382" s="263"/>
      <c r="C382" s="264"/>
      <c r="D382" s="71"/>
      <c r="E382" s="71"/>
      <c r="F382" s="265"/>
      <c r="G382" s="263"/>
      <c r="H382" s="71"/>
      <c r="I382" s="265"/>
      <c r="J382" s="71"/>
      <c r="K382" s="266"/>
      <c r="L382" s="266"/>
      <c r="M382" s="266"/>
      <c r="N382" s="266"/>
      <c r="O382" s="266"/>
      <c r="P382" s="266"/>
      <c r="Q382" s="267"/>
      <c r="R382" s="71"/>
      <c r="S382" s="71"/>
      <c r="T382" s="222"/>
      <c r="U382" s="71"/>
      <c r="V382" s="71"/>
      <c r="W382" s="71"/>
      <c r="X382" s="71"/>
      <c r="Y382" s="71"/>
      <c r="Z382" s="71"/>
      <c r="AA382" s="71"/>
    </row>
    <row r="383" spans="1:27" ht="15.75" customHeight="1">
      <c r="A383" s="71"/>
      <c r="B383" s="263"/>
      <c r="C383" s="264"/>
      <c r="D383" s="71"/>
      <c r="E383" s="71"/>
      <c r="F383" s="265"/>
      <c r="G383" s="263"/>
      <c r="H383" s="71"/>
      <c r="I383" s="265"/>
      <c r="J383" s="71"/>
      <c r="K383" s="266"/>
      <c r="L383" s="266"/>
      <c r="M383" s="266"/>
      <c r="N383" s="266"/>
      <c r="O383" s="266"/>
      <c r="P383" s="266"/>
      <c r="Q383" s="267"/>
      <c r="R383" s="71"/>
      <c r="S383" s="71"/>
      <c r="T383" s="222"/>
      <c r="U383" s="71"/>
      <c r="V383" s="71"/>
      <c r="W383" s="71"/>
      <c r="X383" s="71"/>
      <c r="Y383" s="71"/>
      <c r="Z383" s="71"/>
      <c r="AA383" s="71"/>
    </row>
    <row r="384" spans="1:27" ht="15.75" customHeight="1">
      <c r="A384" s="71"/>
      <c r="B384" s="263"/>
      <c r="C384" s="264"/>
      <c r="D384" s="71"/>
      <c r="E384" s="71"/>
      <c r="F384" s="265"/>
      <c r="G384" s="263"/>
      <c r="H384" s="71"/>
      <c r="I384" s="265"/>
      <c r="J384" s="71"/>
      <c r="K384" s="266"/>
      <c r="L384" s="266"/>
      <c r="M384" s="266"/>
      <c r="N384" s="266"/>
      <c r="O384" s="266"/>
      <c r="P384" s="266"/>
      <c r="Q384" s="267"/>
      <c r="R384" s="71"/>
      <c r="S384" s="71"/>
      <c r="T384" s="222"/>
      <c r="U384" s="71"/>
      <c r="V384" s="71"/>
      <c r="W384" s="71"/>
      <c r="X384" s="71"/>
      <c r="Y384" s="71"/>
      <c r="Z384" s="71"/>
      <c r="AA384" s="71"/>
    </row>
    <row r="385" spans="1:27" ht="15.75" customHeight="1">
      <c r="A385" s="71"/>
      <c r="B385" s="263"/>
      <c r="C385" s="264"/>
      <c r="D385" s="71"/>
      <c r="E385" s="71"/>
      <c r="F385" s="265"/>
      <c r="G385" s="263"/>
      <c r="H385" s="71"/>
      <c r="I385" s="265"/>
      <c r="J385" s="71"/>
      <c r="K385" s="266"/>
      <c r="L385" s="266"/>
      <c r="M385" s="266"/>
      <c r="N385" s="266"/>
      <c r="O385" s="266"/>
      <c r="P385" s="266"/>
      <c r="Q385" s="267"/>
      <c r="R385" s="71"/>
      <c r="S385" s="71"/>
      <c r="T385" s="222"/>
      <c r="U385" s="71"/>
      <c r="V385" s="71"/>
      <c r="W385" s="71"/>
      <c r="X385" s="71"/>
      <c r="Y385" s="71"/>
      <c r="Z385" s="71"/>
      <c r="AA385" s="71"/>
    </row>
    <row r="386" spans="1:27" ht="15.75" customHeight="1">
      <c r="A386" s="71"/>
      <c r="B386" s="263"/>
      <c r="C386" s="264"/>
      <c r="D386" s="71"/>
      <c r="E386" s="71"/>
      <c r="F386" s="265"/>
      <c r="G386" s="263"/>
      <c r="H386" s="71"/>
      <c r="I386" s="265"/>
      <c r="J386" s="71"/>
      <c r="K386" s="266"/>
      <c r="L386" s="266"/>
      <c r="M386" s="266"/>
      <c r="N386" s="266"/>
      <c r="O386" s="266"/>
      <c r="P386" s="266"/>
      <c r="Q386" s="267"/>
      <c r="R386" s="71"/>
      <c r="S386" s="71"/>
      <c r="T386" s="222"/>
      <c r="U386" s="71"/>
      <c r="V386" s="71"/>
      <c r="W386" s="71"/>
      <c r="X386" s="71"/>
      <c r="Y386" s="71"/>
      <c r="Z386" s="71"/>
      <c r="AA386" s="71"/>
    </row>
    <row r="387" spans="1:27" ht="15.75" customHeight="1">
      <c r="A387" s="71"/>
      <c r="B387" s="263"/>
      <c r="C387" s="264"/>
      <c r="D387" s="71"/>
      <c r="E387" s="71"/>
      <c r="F387" s="265"/>
      <c r="G387" s="263"/>
      <c r="H387" s="71"/>
      <c r="I387" s="265"/>
      <c r="J387" s="71"/>
      <c r="K387" s="266"/>
      <c r="L387" s="266"/>
      <c r="M387" s="266"/>
      <c r="N387" s="266"/>
      <c r="O387" s="266"/>
      <c r="P387" s="266"/>
      <c r="Q387" s="267"/>
      <c r="R387" s="71"/>
      <c r="S387" s="71"/>
      <c r="T387" s="222"/>
      <c r="U387" s="71"/>
      <c r="V387" s="71"/>
      <c r="W387" s="71"/>
      <c r="X387" s="71"/>
      <c r="Y387" s="71"/>
      <c r="Z387" s="71"/>
      <c r="AA387" s="71"/>
    </row>
    <row r="388" spans="1:27" ht="15.75" customHeight="1">
      <c r="A388" s="71"/>
      <c r="B388" s="263"/>
      <c r="C388" s="264"/>
      <c r="D388" s="71"/>
      <c r="E388" s="71"/>
      <c r="F388" s="265"/>
      <c r="G388" s="263"/>
      <c r="H388" s="71"/>
      <c r="I388" s="265"/>
      <c r="J388" s="71"/>
      <c r="K388" s="266"/>
      <c r="L388" s="266"/>
      <c r="M388" s="266"/>
      <c r="N388" s="266"/>
      <c r="O388" s="266"/>
      <c r="P388" s="266"/>
      <c r="Q388" s="267"/>
      <c r="R388" s="71"/>
      <c r="S388" s="71"/>
      <c r="T388" s="222"/>
      <c r="U388" s="71"/>
      <c r="V388" s="71"/>
      <c r="W388" s="71"/>
      <c r="X388" s="71"/>
      <c r="Y388" s="71"/>
      <c r="Z388" s="71"/>
      <c r="AA388" s="71"/>
    </row>
    <row r="389" spans="1:27" ht="15.75" customHeight="1">
      <c r="A389" s="71"/>
      <c r="B389" s="263"/>
      <c r="C389" s="264"/>
      <c r="D389" s="71"/>
      <c r="E389" s="71"/>
      <c r="F389" s="265"/>
      <c r="G389" s="263"/>
      <c r="H389" s="71"/>
      <c r="I389" s="265"/>
      <c r="J389" s="71"/>
      <c r="K389" s="266"/>
      <c r="L389" s="266"/>
      <c r="M389" s="266"/>
      <c r="N389" s="266"/>
      <c r="O389" s="266"/>
      <c r="P389" s="266"/>
      <c r="Q389" s="267"/>
      <c r="R389" s="71"/>
      <c r="S389" s="71"/>
      <c r="T389" s="222"/>
      <c r="U389" s="71"/>
      <c r="V389" s="71"/>
      <c r="W389" s="71"/>
      <c r="X389" s="71"/>
      <c r="Y389" s="71"/>
      <c r="Z389" s="71"/>
      <c r="AA389" s="71"/>
    </row>
    <row r="390" spans="1:27" ht="15.75" customHeight="1">
      <c r="A390" s="71"/>
      <c r="B390" s="263"/>
      <c r="C390" s="264"/>
      <c r="D390" s="71"/>
      <c r="E390" s="71"/>
      <c r="F390" s="265"/>
      <c r="G390" s="263"/>
      <c r="H390" s="71"/>
      <c r="I390" s="265"/>
      <c r="J390" s="71"/>
      <c r="K390" s="266"/>
      <c r="L390" s="266"/>
      <c r="M390" s="266"/>
      <c r="N390" s="266"/>
      <c r="O390" s="266"/>
      <c r="P390" s="266"/>
      <c r="Q390" s="267"/>
      <c r="R390" s="71"/>
      <c r="S390" s="71"/>
      <c r="T390" s="222"/>
      <c r="U390" s="71"/>
      <c r="V390" s="71"/>
      <c r="W390" s="71"/>
      <c r="X390" s="71"/>
      <c r="Y390" s="71"/>
      <c r="Z390" s="71"/>
      <c r="AA390" s="71"/>
    </row>
    <row r="391" spans="1:27" ht="15.75" customHeight="1">
      <c r="A391" s="71"/>
      <c r="B391" s="263"/>
      <c r="C391" s="264"/>
      <c r="D391" s="71"/>
      <c r="E391" s="71"/>
      <c r="F391" s="265"/>
      <c r="G391" s="263"/>
      <c r="H391" s="71"/>
      <c r="I391" s="265"/>
      <c r="J391" s="71"/>
      <c r="K391" s="266"/>
      <c r="L391" s="266"/>
      <c r="M391" s="266"/>
      <c r="N391" s="266"/>
      <c r="O391" s="266"/>
      <c r="P391" s="266"/>
      <c r="Q391" s="267"/>
      <c r="R391" s="71"/>
      <c r="S391" s="71"/>
      <c r="T391" s="222"/>
      <c r="U391" s="71"/>
      <c r="V391" s="71"/>
      <c r="W391" s="71"/>
      <c r="X391" s="71"/>
      <c r="Y391" s="71"/>
      <c r="Z391" s="71"/>
      <c r="AA391" s="71"/>
    </row>
    <row r="392" spans="1:27" ht="15.75" customHeight="1">
      <c r="A392" s="71"/>
      <c r="B392" s="263"/>
      <c r="C392" s="264"/>
      <c r="D392" s="71"/>
      <c r="E392" s="71"/>
      <c r="F392" s="265"/>
      <c r="G392" s="263"/>
      <c r="H392" s="71"/>
      <c r="I392" s="265"/>
      <c r="J392" s="71"/>
      <c r="K392" s="266"/>
      <c r="L392" s="266"/>
      <c r="M392" s="266"/>
      <c r="N392" s="266"/>
      <c r="O392" s="266"/>
      <c r="P392" s="266"/>
      <c r="Q392" s="267"/>
      <c r="R392" s="71"/>
      <c r="S392" s="71"/>
      <c r="T392" s="222"/>
      <c r="U392" s="71"/>
      <c r="V392" s="71"/>
      <c r="W392" s="71"/>
      <c r="X392" s="71"/>
      <c r="Y392" s="71"/>
      <c r="Z392" s="71"/>
      <c r="AA392" s="71"/>
    </row>
    <row r="393" spans="1:27" ht="15.75" customHeight="1">
      <c r="A393" s="71"/>
      <c r="B393" s="263"/>
      <c r="C393" s="264"/>
      <c r="D393" s="71"/>
      <c r="E393" s="71"/>
      <c r="F393" s="265"/>
      <c r="G393" s="263"/>
      <c r="H393" s="71"/>
      <c r="I393" s="265"/>
      <c r="J393" s="71"/>
      <c r="K393" s="266"/>
      <c r="L393" s="266"/>
      <c r="M393" s="266"/>
      <c r="N393" s="266"/>
      <c r="O393" s="266"/>
      <c r="P393" s="266"/>
      <c r="Q393" s="267"/>
      <c r="R393" s="71"/>
      <c r="S393" s="71"/>
      <c r="T393" s="222"/>
      <c r="U393" s="71"/>
      <c r="V393" s="71"/>
      <c r="W393" s="71"/>
      <c r="X393" s="71"/>
      <c r="Y393" s="71"/>
      <c r="Z393" s="71"/>
      <c r="AA393" s="71"/>
    </row>
    <row r="394" spans="1:27" ht="15.75" customHeight="1">
      <c r="A394" s="71"/>
      <c r="B394" s="263"/>
      <c r="C394" s="264"/>
      <c r="D394" s="71"/>
      <c r="E394" s="71"/>
      <c r="F394" s="265"/>
      <c r="G394" s="263"/>
      <c r="H394" s="71"/>
      <c r="I394" s="265"/>
      <c r="J394" s="71"/>
      <c r="K394" s="266"/>
      <c r="L394" s="266"/>
      <c r="M394" s="266"/>
      <c r="N394" s="266"/>
      <c r="O394" s="266"/>
      <c r="P394" s="266"/>
      <c r="Q394" s="267"/>
      <c r="R394" s="71"/>
      <c r="S394" s="71"/>
      <c r="T394" s="222"/>
      <c r="U394" s="71"/>
      <c r="V394" s="71"/>
      <c r="W394" s="71"/>
      <c r="X394" s="71"/>
      <c r="Y394" s="71"/>
      <c r="Z394" s="71"/>
      <c r="AA394" s="71"/>
    </row>
    <row r="395" spans="1:27" ht="15.75" customHeight="1">
      <c r="A395" s="71"/>
      <c r="B395" s="263"/>
      <c r="C395" s="264"/>
      <c r="D395" s="71"/>
      <c r="E395" s="71"/>
      <c r="F395" s="265"/>
      <c r="G395" s="263"/>
      <c r="H395" s="71"/>
      <c r="I395" s="265"/>
      <c r="J395" s="71"/>
      <c r="K395" s="266"/>
      <c r="L395" s="266"/>
      <c r="M395" s="266"/>
      <c r="N395" s="266"/>
      <c r="O395" s="266"/>
      <c r="P395" s="266"/>
      <c r="Q395" s="267"/>
      <c r="R395" s="71"/>
      <c r="S395" s="71"/>
      <c r="T395" s="222"/>
      <c r="U395" s="71"/>
      <c r="V395" s="71"/>
      <c r="W395" s="71"/>
      <c r="X395" s="71"/>
      <c r="Y395" s="71"/>
      <c r="Z395" s="71"/>
      <c r="AA395" s="71"/>
    </row>
    <row r="396" spans="1:27" ht="15.75" customHeight="1">
      <c r="A396" s="71"/>
      <c r="B396" s="263"/>
      <c r="C396" s="264"/>
      <c r="D396" s="71"/>
      <c r="E396" s="71"/>
      <c r="F396" s="265"/>
      <c r="G396" s="263"/>
      <c r="H396" s="71"/>
      <c r="I396" s="265"/>
      <c r="J396" s="71"/>
      <c r="K396" s="266"/>
      <c r="L396" s="266"/>
      <c r="M396" s="266"/>
      <c r="N396" s="266"/>
      <c r="O396" s="266"/>
      <c r="P396" s="266"/>
      <c r="Q396" s="267"/>
      <c r="R396" s="71"/>
      <c r="S396" s="71"/>
      <c r="T396" s="222"/>
      <c r="U396" s="71"/>
      <c r="V396" s="71"/>
      <c r="W396" s="71"/>
      <c r="X396" s="71"/>
      <c r="Y396" s="71"/>
      <c r="Z396" s="71"/>
      <c r="AA396" s="71"/>
    </row>
    <row r="397" spans="1:27" ht="15.75" customHeight="1">
      <c r="A397" s="71"/>
      <c r="B397" s="263"/>
      <c r="C397" s="264"/>
      <c r="D397" s="71"/>
      <c r="E397" s="71"/>
      <c r="F397" s="265"/>
      <c r="G397" s="263"/>
      <c r="H397" s="71"/>
      <c r="I397" s="265"/>
      <c r="J397" s="71"/>
      <c r="K397" s="266"/>
      <c r="L397" s="266"/>
      <c r="M397" s="266"/>
      <c r="N397" s="266"/>
      <c r="O397" s="266"/>
      <c r="P397" s="266"/>
      <c r="Q397" s="267"/>
      <c r="R397" s="71"/>
      <c r="S397" s="71"/>
      <c r="T397" s="222"/>
      <c r="U397" s="71"/>
      <c r="V397" s="71"/>
      <c r="W397" s="71"/>
      <c r="X397" s="71"/>
      <c r="Y397" s="71"/>
      <c r="Z397" s="71"/>
      <c r="AA397" s="71"/>
    </row>
    <row r="398" spans="1:27" ht="15.75" customHeight="1">
      <c r="A398" s="71"/>
      <c r="B398" s="263"/>
      <c r="C398" s="264"/>
      <c r="D398" s="71"/>
      <c r="E398" s="71"/>
      <c r="F398" s="265"/>
      <c r="G398" s="263"/>
      <c r="H398" s="71"/>
      <c r="I398" s="265"/>
      <c r="J398" s="71"/>
      <c r="K398" s="266"/>
      <c r="L398" s="266"/>
      <c r="M398" s="266"/>
      <c r="N398" s="266"/>
      <c r="O398" s="266"/>
      <c r="P398" s="266"/>
      <c r="Q398" s="267"/>
      <c r="R398" s="71"/>
      <c r="S398" s="71"/>
      <c r="T398" s="222"/>
      <c r="U398" s="71"/>
      <c r="V398" s="71"/>
      <c r="W398" s="71"/>
      <c r="X398" s="71"/>
      <c r="Y398" s="71"/>
      <c r="Z398" s="71"/>
      <c r="AA398" s="71"/>
    </row>
    <row r="399" spans="1:27" ht="15.75" customHeight="1">
      <c r="A399" s="71"/>
      <c r="B399" s="263"/>
      <c r="C399" s="264"/>
      <c r="D399" s="71"/>
      <c r="E399" s="71"/>
      <c r="F399" s="265"/>
      <c r="G399" s="263"/>
      <c r="H399" s="71"/>
      <c r="I399" s="265"/>
      <c r="J399" s="71"/>
      <c r="K399" s="266"/>
      <c r="L399" s="266"/>
      <c r="M399" s="266"/>
      <c r="N399" s="266"/>
      <c r="O399" s="266"/>
      <c r="P399" s="266"/>
      <c r="Q399" s="267"/>
      <c r="R399" s="71"/>
      <c r="S399" s="71"/>
      <c r="T399" s="222"/>
      <c r="U399" s="71"/>
      <c r="V399" s="71"/>
      <c r="W399" s="71"/>
      <c r="X399" s="71"/>
      <c r="Y399" s="71"/>
      <c r="Z399" s="71"/>
      <c r="AA399" s="71"/>
    </row>
    <row r="400" spans="1:27" ht="15.75" customHeight="1">
      <c r="A400" s="71"/>
      <c r="B400" s="263"/>
      <c r="C400" s="264"/>
      <c r="D400" s="71"/>
      <c r="E400" s="71"/>
      <c r="F400" s="265"/>
      <c r="G400" s="263"/>
      <c r="H400" s="71"/>
      <c r="I400" s="265"/>
      <c r="J400" s="71"/>
      <c r="K400" s="266"/>
      <c r="L400" s="266"/>
      <c r="M400" s="266"/>
      <c r="N400" s="266"/>
      <c r="O400" s="266"/>
      <c r="P400" s="266"/>
      <c r="Q400" s="267"/>
      <c r="R400" s="71"/>
      <c r="S400" s="71"/>
      <c r="T400" s="222"/>
      <c r="U400" s="71"/>
      <c r="V400" s="71"/>
      <c r="W400" s="71"/>
      <c r="X400" s="71"/>
      <c r="Y400" s="71"/>
      <c r="Z400" s="71"/>
      <c r="AA400" s="71"/>
    </row>
    <row r="401" spans="1:27" ht="15.75" customHeight="1">
      <c r="A401" s="71"/>
      <c r="B401" s="263"/>
      <c r="C401" s="264"/>
      <c r="D401" s="71"/>
      <c r="E401" s="71"/>
      <c r="F401" s="265"/>
      <c r="G401" s="263"/>
      <c r="H401" s="71"/>
      <c r="I401" s="265"/>
      <c r="J401" s="71"/>
      <c r="K401" s="266"/>
      <c r="L401" s="266"/>
      <c r="M401" s="266"/>
      <c r="N401" s="266"/>
      <c r="O401" s="266"/>
      <c r="P401" s="266"/>
      <c r="Q401" s="267"/>
      <c r="R401" s="71"/>
      <c r="S401" s="71"/>
      <c r="T401" s="222"/>
      <c r="U401" s="71"/>
      <c r="V401" s="71"/>
      <c r="W401" s="71"/>
      <c r="X401" s="71"/>
      <c r="Y401" s="71"/>
      <c r="Z401" s="71"/>
      <c r="AA401" s="71"/>
    </row>
    <row r="402" spans="1:27" ht="15.75" customHeight="1">
      <c r="A402" s="71"/>
      <c r="B402" s="263"/>
      <c r="C402" s="264"/>
      <c r="D402" s="71"/>
      <c r="E402" s="71"/>
      <c r="F402" s="265"/>
      <c r="G402" s="263"/>
      <c r="H402" s="71"/>
      <c r="I402" s="265"/>
      <c r="J402" s="71"/>
      <c r="K402" s="266"/>
      <c r="L402" s="266"/>
      <c r="M402" s="266"/>
      <c r="N402" s="266"/>
      <c r="O402" s="266"/>
      <c r="P402" s="266"/>
      <c r="Q402" s="267"/>
      <c r="R402" s="71"/>
      <c r="S402" s="71"/>
      <c r="T402" s="222"/>
      <c r="U402" s="71"/>
      <c r="V402" s="71"/>
      <c r="W402" s="71"/>
      <c r="X402" s="71"/>
      <c r="Y402" s="71"/>
      <c r="Z402" s="71"/>
      <c r="AA402" s="71"/>
    </row>
    <row r="403" spans="1:27" ht="15.75" customHeight="1">
      <c r="A403" s="71"/>
      <c r="B403" s="263"/>
      <c r="C403" s="264"/>
      <c r="D403" s="71"/>
      <c r="E403" s="71"/>
      <c r="F403" s="265"/>
      <c r="G403" s="263"/>
      <c r="H403" s="71"/>
      <c r="I403" s="265"/>
      <c r="J403" s="71"/>
      <c r="K403" s="266"/>
      <c r="L403" s="266"/>
      <c r="M403" s="266"/>
      <c r="N403" s="266"/>
      <c r="O403" s="266"/>
      <c r="P403" s="266"/>
      <c r="Q403" s="267"/>
      <c r="R403" s="71"/>
      <c r="S403" s="71"/>
      <c r="T403" s="222"/>
      <c r="U403" s="71"/>
      <c r="V403" s="71"/>
      <c r="W403" s="71"/>
      <c r="X403" s="71"/>
      <c r="Y403" s="71"/>
      <c r="Z403" s="71"/>
      <c r="AA403" s="71"/>
    </row>
    <row r="404" spans="1:27" ht="15.75" customHeight="1">
      <c r="A404" s="71"/>
      <c r="B404" s="263"/>
      <c r="C404" s="264"/>
      <c r="D404" s="71"/>
      <c r="E404" s="71"/>
      <c r="F404" s="265"/>
      <c r="G404" s="263"/>
      <c r="H404" s="71"/>
      <c r="I404" s="265"/>
      <c r="J404" s="71"/>
      <c r="K404" s="266"/>
      <c r="L404" s="266"/>
      <c r="M404" s="266"/>
      <c r="N404" s="266"/>
      <c r="O404" s="266"/>
      <c r="P404" s="266"/>
      <c r="Q404" s="267"/>
      <c r="R404" s="71"/>
      <c r="S404" s="71"/>
      <c r="T404" s="222"/>
      <c r="U404" s="71"/>
      <c r="V404" s="71"/>
      <c r="W404" s="71"/>
      <c r="X404" s="71"/>
      <c r="Y404" s="71"/>
      <c r="Z404" s="71"/>
      <c r="AA404" s="71"/>
    </row>
    <row r="405" spans="1:27" ht="15.75" customHeight="1">
      <c r="A405" s="71"/>
      <c r="B405" s="263"/>
      <c r="C405" s="264"/>
      <c r="D405" s="71"/>
      <c r="E405" s="71"/>
      <c r="F405" s="265"/>
      <c r="G405" s="263"/>
      <c r="H405" s="71"/>
      <c r="I405" s="265"/>
      <c r="J405" s="71"/>
      <c r="K405" s="266"/>
      <c r="L405" s="266"/>
      <c r="M405" s="266"/>
      <c r="N405" s="266"/>
      <c r="O405" s="266"/>
      <c r="P405" s="266"/>
      <c r="Q405" s="267"/>
      <c r="R405" s="71"/>
      <c r="S405" s="71"/>
      <c r="T405" s="222"/>
      <c r="U405" s="71"/>
      <c r="V405" s="71"/>
      <c r="W405" s="71"/>
      <c r="X405" s="71"/>
      <c r="Y405" s="71"/>
      <c r="Z405" s="71"/>
      <c r="AA405" s="71"/>
    </row>
    <row r="406" spans="1:27" ht="15.75" customHeight="1">
      <c r="A406" s="71"/>
      <c r="B406" s="263"/>
      <c r="C406" s="264"/>
      <c r="D406" s="71"/>
      <c r="E406" s="71"/>
      <c r="F406" s="265"/>
      <c r="G406" s="263"/>
      <c r="H406" s="71"/>
      <c r="I406" s="265"/>
      <c r="J406" s="71"/>
      <c r="K406" s="266"/>
      <c r="L406" s="266"/>
      <c r="M406" s="266"/>
      <c r="N406" s="266"/>
      <c r="O406" s="266"/>
      <c r="P406" s="266"/>
      <c r="Q406" s="267"/>
      <c r="R406" s="71"/>
      <c r="S406" s="71"/>
      <c r="T406" s="222"/>
      <c r="U406" s="71"/>
      <c r="V406" s="71"/>
      <c r="W406" s="71"/>
      <c r="X406" s="71"/>
      <c r="Y406" s="71"/>
      <c r="Z406" s="71"/>
      <c r="AA406" s="71"/>
    </row>
    <row r="407" spans="1:27" ht="15.75" customHeight="1">
      <c r="A407" s="71"/>
      <c r="B407" s="263"/>
      <c r="C407" s="264"/>
      <c r="D407" s="71"/>
      <c r="E407" s="71"/>
      <c r="F407" s="265"/>
      <c r="G407" s="263"/>
      <c r="H407" s="71"/>
      <c r="I407" s="265"/>
      <c r="J407" s="71"/>
      <c r="K407" s="266"/>
      <c r="L407" s="266"/>
      <c r="M407" s="266"/>
      <c r="N407" s="266"/>
      <c r="O407" s="266"/>
      <c r="P407" s="266"/>
      <c r="Q407" s="267"/>
      <c r="R407" s="71"/>
      <c r="S407" s="71"/>
      <c r="T407" s="222"/>
      <c r="U407" s="71"/>
      <c r="V407" s="71"/>
      <c r="W407" s="71"/>
      <c r="X407" s="71"/>
      <c r="Y407" s="71"/>
      <c r="Z407" s="71"/>
      <c r="AA407" s="71"/>
    </row>
    <row r="408" spans="1:27" ht="15.75" customHeight="1">
      <c r="A408" s="71"/>
      <c r="B408" s="263"/>
      <c r="C408" s="264"/>
      <c r="D408" s="71"/>
      <c r="E408" s="71"/>
      <c r="F408" s="265"/>
      <c r="G408" s="263"/>
      <c r="H408" s="71"/>
      <c r="I408" s="265"/>
      <c r="J408" s="71"/>
      <c r="K408" s="266"/>
      <c r="L408" s="266"/>
      <c r="M408" s="266"/>
      <c r="N408" s="266"/>
      <c r="O408" s="266"/>
      <c r="P408" s="266"/>
      <c r="Q408" s="267"/>
      <c r="R408" s="71"/>
      <c r="S408" s="71"/>
      <c r="T408" s="222"/>
      <c r="U408" s="71"/>
      <c r="V408" s="71"/>
      <c r="W408" s="71"/>
      <c r="X408" s="71"/>
      <c r="Y408" s="71"/>
      <c r="Z408" s="71"/>
      <c r="AA408" s="71"/>
    </row>
    <row r="409" spans="1:27" ht="15.75" customHeight="1">
      <c r="A409" s="71"/>
      <c r="B409" s="263"/>
      <c r="C409" s="264"/>
      <c r="D409" s="71"/>
      <c r="E409" s="71"/>
      <c r="F409" s="265"/>
      <c r="G409" s="263"/>
      <c r="H409" s="71"/>
      <c r="I409" s="265"/>
      <c r="J409" s="71"/>
      <c r="K409" s="266"/>
      <c r="L409" s="266"/>
      <c r="M409" s="266"/>
      <c r="N409" s="266"/>
      <c r="O409" s="266"/>
      <c r="P409" s="266"/>
      <c r="Q409" s="267"/>
      <c r="R409" s="71"/>
      <c r="S409" s="71"/>
      <c r="T409" s="222"/>
      <c r="U409" s="71"/>
      <c r="V409" s="71"/>
      <c r="W409" s="71"/>
      <c r="X409" s="71"/>
      <c r="Y409" s="71"/>
      <c r="Z409" s="71"/>
      <c r="AA409" s="71"/>
    </row>
    <row r="410" spans="1:27" ht="15.75" customHeight="1">
      <c r="A410" s="71"/>
      <c r="B410" s="263"/>
      <c r="C410" s="264"/>
      <c r="D410" s="71"/>
      <c r="E410" s="71"/>
      <c r="F410" s="265"/>
      <c r="G410" s="263"/>
      <c r="H410" s="71"/>
      <c r="I410" s="265"/>
      <c r="J410" s="71"/>
      <c r="K410" s="266"/>
      <c r="L410" s="266"/>
      <c r="M410" s="266"/>
      <c r="N410" s="266"/>
      <c r="O410" s="266"/>
      <c r="P410" s="266"/>
      <c r="Q410" s="267"/>
      <c r="R410" s="71"/>
      <c r="S410" s="71"/>
      <c r="T410" s="222"/>
      <c r="U410" s="71"/>
      <c r="V410" s="71"/>
      <c r="W410" s="71"/>
      <c r="X410" s="71"/>
      <c r="Y410" s="71"/>
      <c r="Z410" s="71"/>
      <c r="AA410" s="71"/>
    </row>
    <row r="411" spans="1:27" ht="15.75" customHeight="1">
      <c r="A411" s="71"/>
      <c r="B411" s="263"/>
      <c r="C411" s="264"/>
      <c r="D411" s="71"/>
      <c r="E411" s="71"/>
      <c r="F411" s="265"/>
      <c r="G411" s="263"/>
      <c r="H411" s="71"/>
      <c r="I411" s="265"/>
      <c r="J411" s="71"/>
      <c r="K411" s="266"/>
      <c r="L411" s="266"/>
      <c r="M411" s="266"/>
      <c r="N411" s="266"/>
      <c r="O411" s="266"/>
      <c r="P411" s="266"/>
      <c r="Q411" s="267"/>
      <c r="R411" s="71"/>
      <c r="S411" s="71"/>
      <c r="T411" s="222"/>
      <c r="U411" s="71"/>
      <c r="V411" s="71"/>
      <c r="W411" s="71"/>
      <c r="X411" s="71"/>
      <c r="Y411" s="71"/>
      <c r="Z411" s="71"/>
      <c r="AA411" s="71"/>
    </row>
    <row r="412" spans="1:27" ht="15.75" customHeight="1">
      <c r="A412" s="71"/>
      <c r="B412" s="263"/>
      <c r="C412" s="264"/>
      <c r="D412" s="71"/>
      <c r="E412" s="71"/>
      <c r="F412" s="265"/>
      <c r="G412" s="263"/>
      <c r="H412" s="71"/>
      <c r="I412" s="265"/>
      <c r="J412" s="71"/>
      <c r="K412" s="266"/>
      <c r="L412" s="266"/>
      <c r="M412" s="266"/>
      <c r="N412" s="266"/>
      <c r="O412" s="266"/>
      <c r="P412" s="266"/>
      <c r="Q412" s="267"/>
      <c r="R412" s="71"/>
      <c r="S412" s="71"/>
      <c r="T412" s="222"/>
      <c r="U412" s="71"/>
      <c r="V412" s="71"/>
      <c r="W412" s="71"/>
      <c r="X412" s="71"/>
      <c r="Y412" s="71"/>
      <c r="Z412" s="71"/>
      <c r="AA412" s="71"/>
    </row>
    <row r="413" spans="1:27" ht="15.75" customHeight="1">
      <c r="A413" s="71"/>
      <c r="B413" s="263"/>
      <c r="C413" s="264"/>
      <c r="D413" s="71"/>
      <c r="E413" s="71"/>
      <c r="F413" s="265"/>
      <c r="G413" s="263"/>
      <c r="H413" s="71"/>
      <c r="I413" s="265"/>
      <c r="J413" s="71"/>
      <c r="K413" s="266"/>
      <c r="L413" s="266"/>
      <c r="M413" s="266"/>
      <c r="N413" s="266"/>
      <c r="O413" s="266"/>
      <c r="P413" s="266"/>
      <c r="Q413" s="267"/>
      <c r="R413" s="71"/>
      <c r="S413" s="71"/>
      <c r="T413" s="222"/>
      <c r="U413" s="71"/>
      <c r="V413" s="71"/>
      <c r="W413" s="71"/>
      <c r="X413" s="71"/>
      <c r="Y413" s="71"/>
      <c r="Z413" s="71"/>
      <c r="AA413" s="71"/>
    </row>
    <row r="414" spans="1:27" ht="15.75" customHeight="1">
      <c r="A414" s="71"/>
      <c r="B414" s="263"/>
      <c r="C414" s="264"/>
      <c r="D414" s="71"/>
      <c r="E414" s="71"/>
      <c r="F414" s="265"/>
      <c r="G414" s="263"/>
      <c r="H414" s="71"/>
      <c r="I414" s="265"/>
      <c r="J414" s="71"/>
      <c r="K414" s="266"/>
      <c r="L414" s="266"/>
      <c r="M414" s="266"/>
      <c r="N414" s="266"/>
      <c r="O414" s="266"/>
      <c r="P414" s="266"/>
      <c r="Q414" s="267"/>
      <c r="R414" s="71"/>
      <c r="S414" s="71"/>
      <c r="T414" s="222"/>
      <c r="U414" s="71"/>
      <c r="V414" s="71"/>
      <c r="W414" s="71"/>
      <c r="X414" s="71"/>
      <c r="Y414" s="71"/>
      <c r="Z414" s="71"/>
      <c r="AA414" s="71"/>
    </row>
    <row r="415" spans="1:27" ht="15.75" customHeight="1">
      <c r="A415" s="71"/>
      <c r="B415" s="263"/>
      <c r="C415" s="264"/>
      <c r="D415" s="71"/>
      <c r="E415" s="71"/>
      <c r="F415" s="265"/>
      <c r="G415" s="263"/>
      <c r="H415" s="71"/>
      <c r="I415" s="265"/>
      <c r="J415" s="71"/>
      <c r="K415" s="266"/>
      <c r="L415" s="266"/>
      <c r="M415" s="266"/>
      <c r="N415" s="266"/>
      <c r="O415" s="266"/>
      <c r="P415" s="266"/>
      <c r="Q415" s="267"/>
      <c r="R415" s="71"/>
      <c r="S415" s="71"/>
      <c r="T415" s="222"/>
      <c r="U415" s="71"/>
      <c r="V415" s="71"/>
      <c r="W415" s="71"/>
      <c r="X415" s="71"/>
      <c r="Y415" s="71"/>
      <c r="Z415" s="71"/>
      <c r="AA415" s="71"/>
    </row>
    <row r="416" spans="1:27" ht="15.75" customHeight="1">
      <c r="A416" s="71"/>
      <c r="B416" s="263"/>
      <c r="C416" s="264"/>
      <c r="D416" s="71"/>
      <c r="E416" s="71"/>
      <c r="F416" s="265"/>
      <c r="G416" s="263"/>
      <c r="H416" s="71"/>
      <c r="I416" s="265"/>
      <c r="J416" s="71"/>
      <c r="K416" s="266"/>
      <c r="L416" s="266"/>
      <c r="M416" s="266"/>
      <c r="N416" s="266"/>
      <c r="O416" s="266"/>
      <c r="P416" s="266"/>
      <c r="Q416" s="267"/>
      <c r="R416" s="71"/>
      <c r="S416" s="71"/>
      <c r="T416" s="222"/>
      <c r="U416" s="71"/>
      <c r="V416" s="71"/>
      <c r="W416" s="71"/>
      <c r="X416" s="71"/>
      <c r="Y416" s="71"/>
      <c r="Z416" s="71"/>
      <c r="AA416" s="71"/>
    </row>
    <row r="417" spans="1:27" ht="15.75" customHeight="1">
      <c r="A417" s="71"/>
      <c r="B417" s="263"/>
      <c r="C417" s="264"/>
      <c r="D417" s="71"/>
      <c r="E417" s="71"/>
      <c r="F417" s="265"/>
      <c r="G417" s="263"/>
      <c r="H417" s="71"/>
      <c r="I417" s="265"/>
      <c r="J417" s="71"/>
      <c r="K417" s="266"/>
      <c r="L417" s="266"/>
      <c r="M417" s="266"/>
      <c r="N417" s="266"/>
      <c r="O417" s="266"/>
      <c r="P417" s="266"/>
      <c r="Q417" s="267"/>
      <c r="R417" s="71"/>
      <c r="S417" s="71"/>
      <c r="T417" s="222"/>
      <c r="U417" s="71"/>
      <c r="V417" s="71"/>
      <c r="W417" s="71"/>
      <c r="X417" s="71"/>
      <c r="Y417" s="71"/>
      <c r="Z417" s="71"/>
      <c r="AA417" s="71"/>
    </row>
    <row r="418" spans="1:27" ht="15.75" customHeight="1">
      <c r="A418" s="71"/>
      <c r="B418" s="263"/>
      <c r="C418" s="264"/>
      <c r="D418" s="71"/>
      <c r="E418" s="71"/>
      <c r="F418" s="265"/>
      <c r="G418" s="263"/>
      <c r="H418" s="71"/>
      <c r="I418" s="265"/>
      <c r="J418" s="71"/>
      <c r="K418" s="266"/>
      <c r="L418" s="266"/>
      <c r="M418" s="266"/>
      <c r="N418" s="266"/>
      <c r="O418" s="266"/>
      <c r="P418" s="266"/>
      <c r="Q418" s="267"/>
      <c r="R418" s="71"/>
      <c r="S418" s="71"/>
      <c r="T418" s="222"/>
      <c r="U418" s="71"/>
      <c r="V418" s="71"/>
      <c r="W418" s="71"/>
      <c r="X418" s="71"/>
      <c r="Y418" s="71"/>
      <c r="Z418" s="71"/>
      <c r="AA418" s="71"/>
    </row>
    <row r="419" spans="1:27" ht="15.75" customHeight="1">
      <c r="A419" s="71"/>
      <c r="B419" s="263"/>
      <c r="C419" s="264"/>
      <c r="D419" s="71"/>
      <c r="E419" s="71"/>
      <c r="F419" s="265"/>
      <c r="G419" s="263"/>
      <c r="H419" s="71"/>
      <c r="I419" s="265"/>
      <c r="J419" s="71"/>
      <c r="K419" s="266"/>
      <c r="L419" s="266"/>
      <c r="M419" s="266"/>
      <c r="N419" s="266"/>
      <c r="O419" s="266"/>
      <c r="P419" s="266"/>
      <c r="Q419" s="267"/>
      <c r="R419" s="71"/>
      <c r="S419" s="71"/>
      <c r="T419" s="222"/>
      <c r="U419" s="71"/>
      <c r="V419" s="71"/>
      <c r="W419" s="71"/>
      <c r="X419" s="71"/>
      <c r="Y419" s="71"/>
      <c r="Z419" s="71"/>
      <c r="AA419" s="71"/>
    </row>
    <row r="420" spans="1:27" ht="15.75" customHeight="1">
      <c r="A420" s="71"/>
      <c r="B420" s="263"/>
      <c r="C420" s="264"/>
      <c r="D420" s="71"/>
      <c r="E420" s="71"/>
      <c r="F420" s="265"/>
      <c r="G420" s="263"/>
      <c r="H420" s="71"/>
      <c r="I420" s="265"/>
      <c r="J420" s="71"/>
      <c r="K420" s="266"/>
      <c r="L420" s="266"/>
      <c r="M420" s="266"/>
      <c r="N420" s="266"/>
      <c r="O420" s="266"/>
      <c r="P420" s="266"/>
      <c r="Q420" s="267"/>
      <c r="R420" s="71"/>
      <c r="S420" s="71"/>
      <c r="T420" s="222"/>
      <c r="U420" s="71"/>
      <c r="V420" s="71"/>
      <c r="W420" s="71"/>
      <c r="X420" s="71"/>
      <c r="Y420" s="71"/>
      <c r="Z420" s="71"/>
      <c r="AA420" s="71"/>
    </row>
    <row r="421" spans="1:27" ht="15.75" customHeight="1">
      <c r="A421" s="71"/>
      <c r="B421" s="263"/>
      <c r="C421" s="264"/>
      <c r="D421" s="71"/>
      <c r="E421" s="71"/>
      <c r="F421" s="265"/>
      <c r="G421" s="263"/>
      <c r="H421" s="71"/>
      <c r="I421" s="265"/>
      <c r="J421" s="71"/>
      <c r="K421" s="266"/>
      <c r="L421" s="266"/>
      <c r="M421" s="266"/>
      <c r="N421" s="266"/>
      <c r="O421" s="266"/>
      <c r="P421" s="266"/>
      <c r="Q421" s="267"/>
      <c r="R421" s="71"/>
      <c r="S421" s="71"/>
      <c r="T421" s="222"/>
      <c r="U421" s="71"/>
      <c r="V421" s="71"/>
      <c r="W421" s="71"/>
      <c r="X421" s="71"/>
      <c r="Y421" s="71"/>
      <c r="Z421" s="71"/>
      <c r="AA421" s="71"/>
    </row>
    <row r="422" spans="1:27" ht="15.75" customHeight="1">
      <c r="A422" s="71"/>
      <c r="B422" s="263"/>
      <c r="C422" s="264"/>
      <c r="D422" s="71"/>
      <c r="E422" s="71"/>
      <c r="F422" s="265"/>
      <c r="G422" s="263"/>
      <c r="H422" s="71"/>
      <c r="I422" s="265"/>
      <c r="J422" s="71"/>
      <c r="K422" s="266"/>
      <c r="L422" s="266"/>
      <c r="M422" s="266"/>
      <c r="N422" s="266"/>
      <c r="O422" s="266"/>
      <c r="P422" s="266"/>
      <c r="Q422" s="267"/>
      <c r="R422" s="71"/>
      <c r="S422" s="71"/>
      <c r="T422" s="222"/>
      <c r="U422" s="71"/>
      <c r="V422" s="71"/>
      <c r="W422" s="71"/>
      <c r="X422" s="71"/>
      <c r="Y422" s="71"/>
      <c r="Z422" s="71"/>
      <c r="AA422" s="71"/>
    </row>
    <row r="423" spans="1:27" ht="15.75" customHeight="1">
      <c r="A423" s="71"/>
      <c r="B423" s="263"/>
      <c r="C423" s="264"/>
      <c r="D423" s="71"/>
      <c r="E423" s="71"/>
      <c r="F423" s="265"/>
      <c r="G423" s="263"/>
      <c r="H423" s="71"/>
      <c r="I423" s="265"/>
      <c r="J423" s="71"/>
      <c r="K423" s="266"/>
      <c r="L423" s="266"/>
      <c r="M423" s="266"/>
      <c r="N423" s="266"/>
      <c r="O423" s="266"/>
      <c r="P423" s="266"/>
      <c r="Q423" s="267"/>
      <c r="R423" s="71"/>
      <c r="S423" s="71"/>
      <c r="T423" s="222"/>
      <c r="U423" s="71"/>
      <c r="V423" s="71"/>
      <c r="W423" s="71"/>
      <c r="X423" s="71"/>
      <c r="Y423" s="71"/>
      <c r="Z423" s="71"/>
      <c r="AA423" s="71"/>
    </row>
    <row r="424" spans="1:27" ht="15.75" customHeight="1">
      <c r="A424" s="71"/>
      <c r="B424" s="263"/>
      <c r="C424" s="264"/>
      <c r="D424" s="71"/>
      <c r="E424" s="71"/>
      <c r="F424" s="265"/>
      <c r="G424" s="263"/>
      <c r="H424" s="71"/>
      <c r="I424" s="265"/>
      <c r="J424" s="71"/>
      <c r="K424" s="266"/>
      <c r="L424" s="266"/>
      <c r="M424" s="266"/>
      <c r="N424" s="266"/>
      <c r="O424" s="266"/>
      <c r="P424" s="266"/>
      <c r="Q424" s="267"/>
      <c r="R424" s="71"/>
      <c r="S424" s="71"/>
      <c r="T424" s="222"/>
      <c r="U424" s="71"/>
      <c r="V424" s="71"/>
      <c r="W424" s="71"/>
      <c r="X424" s="71"/>
      <c r="Y424" s="71"/>
      <c r="Z424" s="71"/>
      <c r="AA424" s="71"/>
    </row>
    <row r="425" spans="1:27" ht="15.75" customHeight="1">
      <c r="A425" s="71"/>
      <c r="B425" s="263"/>
      <c r="C425" s="264"/>
      <c r="D425" s="71"/>
      <c r="E425" s="71"/>
      <c r="F425" s="265"/>
      <c r="G425" s="263"/>
      <c r="H425" s="71"/>
      <c r="I425" s="265"/>
      <c r="J425" s="71"/>
      <c r="K425" s="266"/>
      <c r="L425" s="266"/>
      <c r="M425" s="266"/>
      <c r="N425" s="266"/>
      <c r="O425" s="266"/>
      <c r="P425" s="266"/>
      <c r="Q425" s="267"/>
      <c r="R425" s="71"/>
      <c r="S425" s="71"/>
      <c r="T425" s="222"/>
      <c r="U425" s="71"/>
      <c r="V425" s="71"/>
      <c r="W425" s="71"/>
      <c r="X425" s="71"/>
      <c r="Y425" s="71"/>
      <c r="Z425" s="71"/>
      <c r="AA425" s="71"/>
    </row>
    <row r="426" spans="1:27" ht="15.75" customHeight="1">
      <c r="A426" s="71"/>
      <c r="B426" s="263"/>
      <c r="C426" s="264"/>
      <c r="D426" s="71"/>
      <c r="E426" s="71"/>
      <c r="F426" s="265"/>
      <c r="G426" s="263"/>
      <c r="H426" s="71"/>
      <c r="I426" s="265"/>
      <c r="J426" s="71"/>
      <c r="K426" s="266"/>
      <c r="L426" s="266"/>
      <c r="M426" s="266"/>
      <c r="N426" s="266"/>
      <c r="O426" s="266"/>
      <c r="P426" s="266"/>
      <c r="Q426" s="267"/>
      <c r="R426" s="71"/>
      <c r="S426" s="71"/>
      <c r="T426" s="222"/>
      <c r="U426" s="71"/>
      <c r="V426" s="71"/>
      <c r="W426" s="71"/>
      <c r="X426" s="71"/>
      <c r="Y426" s="71"/>
      <c r="Z426" s="71"/>
      <c r="AA426" s="71"/>
    </row>
    <row r="427" spans="1:27" ht="15.75" customHeight="1">
      <c r="A427" s="71"/>
      <c r="B427" s="263"/>
      <c r="C427" s="264"/>
      <c r="D427" s="71"/>
      <c r="E427" s="71"/>
      <c r="F427" s="265"/>
      <c r="G427" s="263"/>
      <c r="H427" s="71"/>
      <c r="I427" s="265"/>
      <c r="J427" s="71"/>
      <c r="K427" s="266"/>
      <c r="L427" s="266"/>
      <c r="M427" s="266"/>
      <c r="N427" s="266"/>
      <c r="O427" s="266"/>
      <c r="P427" s="266"/>
      <c r="Q427" s="267"/>
      <c r="R427" s="71"/>
      <c r="S427" s="71"/>
      <c r="T427" s="222"/>
      <c r="U427" s="71"/>
      <c r="V427" s="71"/>
      <c r="W427" s="71"/>
      <c r="X427" s="71"/>
      <c r="Y427" s="71"/>
      <c r="Z427" s="71"/>
      <c r="AA427" s="71"/>
    </row>
    <row r="428" spans="1:27" ht="15.75" customHeight="1">
      <c r="A428" s="71"/>
      <c r="B428" s="263"/>
      <c r="C428" s="264"/>
      <c r="D428" s="71"/>
      <c r="E428" s="71"/>
      <c r="F428" s="265"/>
      <c r="G428" s="263"/>
      <c r="H428" s="71"/>
      <c r="I428" s="265"/>
      <c r="J428" s="71"/>
      <c r="K428" s="266"/>
      <c r="L428" s="266"/>
      <c r="M428" s="266"/>
      <c r="N428" s="266"/>
      <c r="O428" s="266"/>
      <c r="P428" s="266"/>
      <c r="Q428" s="267"/>
      <c r="R428" s="71"/>
      <c r="S428" s="71"/>
      <c r="T428" s="222"/>
      <c r="U428" s="71"/>
      <c r="V428" s="71"/>
      <c r="W428" s="71"/>
      <c r="X428" s="71"/>
      <c r="Y428" s="71"/>
      <c r="Z428" s="71"/>
      <c r="AA428" s="71"/>
    </row>
    <row r="429" spans="1:27" ht="15.75" customHeight="1">
      <c r="A429" s="71"/>
      <c r="B429" s="263"/>
      <c r="C429" s="264"/>
      <c r="D429" s="71"/>
      <c r="E429" s="71"/>
      <c r="F429" s="265"/>
      <c r="G429" s="263"/>
      <c r="H429" s="71"/>
      <c r="I429" s="265"/>
      <c r="J429" s="71"/>
      <c r="K429" s="266"/>
      <c r="L429" s="266"/>
      <c r="M429" s="266"/>
      <c r="N429" s="266"/>
      <c r="O429" s="266"/>
      <c r="P429" s="266"/>
      <c r="Q429" s="267"/>
      <c r="R429" s="71"/>
      <c r="S429" s="71"/>
      <c r="T429" s="222"/>
      <c r="U429" s="71"/>
      <c r="V429" s="71"/>
      <c r="W429" s="71"/>
      <c r="X429" s="71"/>
      <c r="Y429" s="71"/>
      <c r="Z429" s="71"/>
      <c r="AA429" s="71"/>
    </row>
    <row r="430" spans="1:27" ht="15.75" customHeight="1">
      <c r="A430" s="71"/>
      <c r="B430" s="263"/>
      <c r="C430" s="264"/>
      <c r="D430" s="71"/>
      <c r="E430" s="71"/>
      <c r="F430" s="265"/>
      <c r="G430" s="263"/>
      <c r="H430" s="71"/>
      <c r="I430" s="265"/>
      <c r="J430" s="71"/>
      <c r="K430" s="266"/>
      <c r="L430" s="266"/>
      <c r="M430" s="266"/>
      <c r="N430" s="266"/>
      <c r="O430" s="266"/>
      <c r="P430" s="266"/>
      <c r="Q430" s="267"/>
      <c r="R430" s="71"/>
      <c r="S430" s="71"/>
      <c r="T430" s="222"/>
      <c r="U430" s="71"/>
      <c r="V430" s="71"/>
      <c r="W430" s="71"/>
      <c r="X430" s="71"/>
      <c r="Y430" s="71"/>
      <c r="Z430" s="71"/>
      <c r="AA430" s="71"/>
    </row>
    <row r="431" spans="1:27" ht="15.75" customHeight="1">
      <c r="A431" s="71"/>
      <c r="B431" s="263"/>
      <c r="C431" s="264"/>
      <c r="D431" s="71"/>
      <c r="E431" s="71"/>
      <c r="F431" s="265"/>
      <c r="G431" s="263"/>
      <c r="H431" s="71"/>
      <c r="I431" s="265"/>
      <c r="J431" s="71"/>
      <c r="K431" s="266"/>
      <c r="L431" s="266"/>
      <c r="M431" s="266"/>
      <c r="N431" s="266"/>
      <c r="O431" s="266"/>
      <c r="P431" s="266"/>
      <c r="Q431" s="267"/>
      <c r="R431" s="71"/>
      <c r="S431" s="71"/>
      <c r="T431" s="222"/>
      <c r="U431" s="71"/>
      <c r="V431" s="71"/>
      <c r="W431" s="71"/>
      <c r="X431" s="71"/>
      <c r="Y431" s="71"/>
      <c r="Z431" s="71"/>
      <c r="AA431" s="71"/>
    </row>
    <row r="432" spans="1:27" ht="15.75" customHeight="1">
      <c r="A432" s="71"/>
      <c r="B432" s="263"/>
      <c r="C432" s="264"/>
      <c r="D432" s="71"/>
      <c r="E432" s="71"/>
      <c r="F432" s="265"/>
      <c r="G432" s="263"/>
      <c r="H432" s="71"/>
      <c r="I432" s="265"/>
      <c r="J432" s="71"/>
      <c r="K432" s="266"/>
      <c r="L432" s="266"/>
      <c r="M432" s="266"/>
      <c r="N432" s="266"/>
      <c r="O432" s="266"/>
      <c r="P432" s="266"/>
      <c r="Q432" s="267"/>
      <c r="R432" s="71"/>
      <c r="S432" s="71"/>
      <c r="T432" s="222"/>
      <c r="U432" s="71"/>
      <c r="V432" s="71"/>
      <c r="W432" s="71"/>
      <c r="X432" s="71"/>
      <c r="Y432" s="71"/>
      <c r="Z432" s="71"/>
      <c r="AA432" s="71"/>
    </row>
    <row r="433" spans="1:27" ht="15.75" customHeight="1">
      <c r="A433" s="71"/>
      <c r="B433" s="263"/>
      <c r="C433" s="264"/>
      <c r="D433" s="71"/>
      <c r="E433" s="71"/>
      <c r="F433" s="265"/>
      <c r="G433" s="263"/>
      <c r="H433" s="71"/>
      <c r="I433" s="265"/>
      <c r="J433" s="71"/>
      <c r="K433" s="266"/>
      <c r="L433" s="266"/>
      <c r="M433" s="266"/>
      <c r="N433" s="266"/>
      <c r="O433" s="266"/>
      <c r="P433" s="266"/>
      <c r="Q433" s="267"/>
      <c r="R433" s="71"/>
      <c r="S433" s="71"/>
      <c r="T433" s="222"/>
      <c r="U433" s="71"/>
      <c r="V433" s="71"/>
      <c r="W433" s="71"/>
      <c r="X433" s="71"/>
      <c r="Y433" s="71"/>
      <c r="Z433" s="71"/>
      <c r="AA433" s="71"/>
    </row>
    <row r="434" spans="1:27" ht="15.75" customHeight="1">
      <c r="A434" s="71"/>
      <c r="B434" s="263"/>
      <c r="C434" s="264"/>
      <c r="D434" s="71"/>
      <c r="E434" s="71"/>
      <c r="F434" s="265"/>
      <c r="G434" s="263"/>
      <c r="H434" s="71"/>
      <c r="I434" s="265"/>
      <c r="J434" s="71"/>
      <c r="K434" s="266"/>
      <c r="L434" s="266"/>
      <c r="M434" s="266"/>
      <c r="N434" s="266"/>
      <c r="O434" s="266"/>
      <c r="P434" s="266"/>
      <c r="Q434" s="267"/>
      <c r="R434" s="71"/>
      <c r="S434" s="71"/>
      <c r="T434" s="222"/>
      <c r="U434" s="71"/>
      <c r="V434" s="71"/>
      <c r="W434" s="71"/>
      <c r="X434" s="71"/>
      <c r="Y434" s="71"/>
      <c r="Z434" s="71"/>
      <c r="AA434" s="71"/>
    </row>
    <row r="435" spans="1:27" ht="15.75" customHeight="1">
      <c r="A435" s="71"/>
      <c r="B435" s="263"/>
      <c r="C435" s="264"/>
      <c r="D435" s="71"/>
      <c r="E435" s="71"/>
      <c r="F435" s="265"/>
      <c r="G435" s="263"/>
      <c r="H435" s="71"/>
      <c r="I435" s="265"/>
      <c r="J435" s="71"/>
      <c r="K435" s="266"/>
      <c r="L435" s="266"/>
      <c r="M435" s="266"/>
      <c r="N435" s="266"/>
      <c r="O435" s="266"/>
      <c r="P435" s="266"/>
      <c r="Q435" s="267"/>
      <c r="R435" s="71"/>
      <c r="S435" s="71"/>
      <c r="T435" s="222"/>
      <c r="U435" s="71"/>
      <c r="V435" s="71"/>
      <c r="W435" s="71"/>
      <c r="X435" s="71"/>
      <c r="Y435" s="71"/>
      <c r="Z435" s="71"/>
      <c r="AA435" s="71"/>
    </row>
    <row r="436" spans="1:27" ht="15.75" customHeight="1">
      <c r="A436" s="71"/>
      <c r="B436" s="263"/>
      <c r="C436" s="264"/>
      <c r="D436" s="71"/>
      <c r="E436" s="71"/>
      <c r="F436" s="265"/>
      <c r="G436" s="263"/>
      <c r="H436" s="71"/>
      <c r="I436" s="265"/>
      <c r="J436" s="71"/>
      <c r="K436" s="266"/>
      <c r="L436" s="266"/>
      <c r="M436" s="266"/>
      <c r="N436" s="266"/>
      <c r="O436" s="266"/>
      <c r="P436" s="266"/>
      <c r="Q436" s="267"/>
      <c r="R436" s="71"/>
      <c r="S436" s="71"/>
      <c r="T436" s="222"/>
      <c r="U436" s="71"/>
      <c r="V436" s="71"/>
      <c r="W436" s="71"/>
      <c r="X436" s="71"/>
      <c r="Y436" s="71"/>
      <c r="Z436" s="71"/>
      <c r="AA436" s="71"/>
    </row>
    <row r="437" spans="1:27" ht="15.75" customHeight="1">
      <c r="A437" s="71"/>
      <c r="B437" s="263"/>
      <c r="C437" s="264"/>
      <c r="D437" s="71"/>
      <c r="E437" s="71"/>
      <c r="F437" s="265"/>
      <c r="G437" s="263"/>
      <c r="H437" s="71"/>
      <c r="I437" s="265"/>
      <c r="J437" s="71"/>
      <c r="K437" s="266"/>
      <c r="L437" s="266"/>
      <c r="M437" s="266"/>
      <c r="N437" s="266"/>
      <c r="O437" s="266"/>
      <c r="P437" s="266"/>
      <c r="Q437" s="267"/>
      <c r="R437" s="71"/>
      <c r="S437" s="71"/>
      <c r="T437" s="222"/>
      <c r="U437" s="71"/>
      <c r="V437" s="71"/>
      <c r="W437" s="71"/>
      <c r="X437" s="71"/>
      <c r="Y437" s="71"/>
      <c r="Z437" s="71"/>
      <c r="AA437" s="71"/>
    </row>
    <row r="438" spans="1:27" ht="15.75" customHeight="1">
      <c r="A438" s="71"/>
      <c r="B438" s="263"/>
      <c r="C438" s="264"/>
      <c r="D438" s="71"/>
      <c r="E438" s="71"/>
      <c r="F438" s="265"/>
      <c r="G438" s="263"/>
      <c r="H438" s="71"/>
      <c r="I438" s="265"/>
      <c r="J438" s="71"/>
      <c r="K438" s="266"/>
      <c r="L438" s="266"/>
      <c r="M438" s="266"/>
      <c r="N438" s="266"/>
      <c r="O438" s="266"/>
      <c r="P438" s="266"/>
      <c r="Q438" s="267"/>
      <c r="R438" s="71"/>
      <c r="S438" s="71"/>
      <c r="T438" s="222"/>
      <c r="U438" s="71"/>
      <c r="V438" s="71"/>
      <c r="W438" s="71"/>
      <c r="X438" s="71"/>
      <c r="Y438" s="71"/>
      <c r="Z438" s="71"/>
      <c r="AA438" s="71"/>
    </row>
    <row r="439" spans="1:27" ht="15.75" customHeight="1">
      <c r="A439" s="71"/>
      <c r="B439" s="263"/>
      <c r="C439" s="264"/>
      <c r="D439" s="71"/>
      <c r="E439" s="71"/>
      <c r="F439" s="265"/>
      <c r="G439" s="263"/>
      <c r="H439" s="71"/>
      <c r="I439" s="265"/>
      <c r="J439" s="71"/>
      <c r="K439" s="266"/>
      <c r="L439" s="266"/>
      <c r="M439" s="266"/>
      <c r="N439" s="266"/>
      <c r="O439" s="266"/>
      <c r="P439" s="266"/>
      <c r="Q439" s="267"/>
      <c r="R439" s="71"/>
      <c r="S439" s="71"/>
      <c r="T439" s="222"/>
      <c r="U439" s="71"/>
      <c r="V439" s="71"/>
      <c r="W439" s="71"/>
      <c r="X439" s="71"/>
      <c r="Y439" s="71"/>
      <c r="Z439" s="71"/>
      <c r="AA439" s="71"/>
    </row>
    <row r="440" spans="1:27" ht="15.75" customHeight="1">
      <c r="A440" s="71"/>
      <c r="B440" s="263"/>
      <c r="C440" s="264"/>
      <c r="D440" s="71"/>
      <c r="E440" s="71"/>
      <c r="F440" s="265"/>
      <c r="G440" s="263"/>
      <c r="H440" s="71"/>
      <c r="I440" s="265"/>
      <c r="J440" s="71"/>
      <c r="K440" s="266"/>
      <c r="L440" s="266"/>
      <c r="M440" s="266"/>
      <c r="N440" s="266"/>
      <c r="O440" s="266"/>
      <c r="P440" s="266"/>
      <c r="Q440" s="267"/>
      <c r="R440" s="71"/>
      <c r="S440" s="71"/>
      <c r="T440" s="222"/>
      <c r="U440" s="71"/>
      <c r="V440" s="71"/>
      <c r="W440" s="71"/>
      <c r="X440" s="71"/>
      <c r="Y440" s="71"/>
      <c r="Z440" s="71"/>
      <c r="AA440" s="71"/>
    </row>
    <row r="441" spans="1:27" ht="15.75" customHeight="1">
      <c r="A441" s="71"/>
      <c r="B441" s="263"/>
      <c r="C441" s="264"/>
      <c r="D441" s="71"/>
      <c r="E441" s="71"/>
      <c r="F441" s="265"/>
      <c r="G441" s="263"/>
      <c r="H441" s="71"/>
      <c r="I441" s="265"/>
      <c r="J441" s="71"/>
      <c r="K441" s="266"/>
      <c r="L441" s="266"/>
      <c r="M441" s="266"/>
      <c r="N441" s="266"/>
      <c r="O441" s="266"/>
      <c r="P441" s="266"/>
      <c r="Q441" s="267"/>
      <c r="R441" s="71"/>
      <c r="S441" s="71"/>
      <c r="T441" s="222"/>
      <c r="U441" s="71"/>
      <c r="V441" s="71"/>
      <c r="W441" s="71"/>
      <c r="X441" s="71"/>
      <c r="Y441" s="71"/>
      <c r="Z441" s="71"/>
      <c r="AA441" s="71"/>
    </row>
    <row r="442" spans="1:27" ht="15.75" customHeight="1">
      <c r="A442" s="71"/>
      <c r="B442" s="263"/>
      <c r="C442" s="264"/>
      <c r="D442" s="71"/>
      <c r="E442" s="71"/>
      <c r="F442" s="265"/>
      <c r="G442" s="263"/>
      <c r="H442" s="71"/>
      <c r="I442" s="265"/>
      <c r="J442" s="71"/>
      <c r="K442" s="266"/>
      <c r="L442" s="266"/>
      <c r="M442" s="266"/>
      <c r="N442" s="266"/>
      <c r="O442" s="266"/>
      <c r="P442" s="266"/>
      <c r="Q442" s="267"/>
      <c r="R442" s="71"/>
      <c r="S442" s="71"/>
      <c r="T442" s="222"/>
      <c r="U442" s="71"/>
      <c r="V442" s="71"/>
      <c r="W442" s="71"/>
      <c r="X442" s="71"/>
      <c r="Y442" s="71"/>
      <c r="Z442" s="71"/>
      <c r="AA442" s="71"/>
    </row>
    <row r="443" spans="1:27" ht="15.75" customHeight="1">
      <c r="A443" s="71"/>
      <c r="B443" s="263"/>
      <c r="C443" s="264"/>
      <c r="D443" s="71"/>
      <c r="E443" s="71"/>
      <c r="F443" s="265"/>
      <c r="G443" s="263"/>
      <c r="H443" s="71"/>
      <c r="I443" s="265"/>
      <c r="J443" s="71"/>
      <c r="K443" s="266"/>
      <c r="L443" s="266"/>
      <c r="M443" s="266"/>
      <c r="N443" s="266"/>
      <c r="O443" s="266"/>
      <c r="P443" s="266"/>
      <c r="Q443" s="267"/>
      <c r="R443" s="71"/>
      <c r="S443" s="71"/>
      <c r="T443" s="222"/>
      <c r="U443" s="71"/>
      <c r="V443" s="71"/>
      <c r="W443" s="71"/>
      <c r="X443" s="71"/>
      <c r="Y443" s="71"/>
      <c r="Z443" s="71"/>
      <c r="AA443" s="71"/>
    </row>
    <row r="444" spans="1:27" ht="15.75" customHeight="1">
      <c r="A444" s="71"/>
      <c r="B444" s="263"/>
      <c r="C444" s="264"/>
      <c r="D444" s="71"/>
      <c r="E444" s="71"/>
      <c r="F444" s="265"/>
      <c r="G444" s="263"/>
      <c r="H444" s="71"/>
      <c r="I444" s="265"/>
      <c r="J444" s="71"/>
      <c r="K444" s="266"/>
      <c r="L444" s="266"/>
      <c r="M444" s="266"/>
      <c r="N444" s="266"/>
      <c r="O444" s="266"/>
      <c r="P444" s="266"/>
      <c r="Q444" s="267"/>
      <c r="R444" s="71"/>
      <c r="S444" s="71"/>
      <c r="T444" s="222"/>
      <c r="U444" s="71"/>
      <c r="V444" s="71"/>
      <c r="W444" s="71"/>
      <c r="X444" s="71"/>
      <c r="Y444" s="71"/>
      <c r="Z444" s="71"/>
      <c r="AA444" s="71"/>
    </row>
    <row r="445" spans="1:27" ht="15.75" customHeight="1">
      <c r="A445" s="71"/>
      <c r="B445" s="263"/>
      <c r="C445" s="264"/>
      <c r="D445" s="71"/>
      <c r="E445" s="71"/>
      <c r="F445" s="265"/>
      <c r="G445" s="263"/>
      <c r="H445" s="71"/>
      <c r="I445" s="265"/>
      <c r="J445" s="71"/>
      <c r="K445" s="266"/>
      <c r="L445" s="266"/>
      <c r="M445" s="266"/>
      <c r="N445" s="266"/>
      <c r="O445" s="266"/>
      <c r="P445" s="266"/>
      <c r="Q445" s="267"/>
      <c r="R445" s="71"/>
      <c r="S445" s="71"/>
      <c r="T445" s="222"/>
      <c r="U445" s="71"/>
      <c r="V445" s="71"/>
      <c r="W445" s="71"/>
      <c r="X445" s="71"/>
      <c r="Y445" s="71"/>
      <c r="Z445" s="71"/>
      <c r="AA445" s="71"/>
    </row>
    <row r="446" spans="1:27" ht="15.75" customHeight="1">
      <c r="A446" s="71"/>
      <c r="B446" s="263"/>
      <c r="C446" s="264"/>
      <c r="D446" s="71"/>
      <c r="E446" s="71"/>
      <c r="F446" s="265"/>
      <c r="G446" s="263"/>
      <c r="H446" s="71"/>
      <c r="I446" s="265"/>
      <c r="J446" s="71"/>
      <c r="K446" s="266"/>
      <c r="L446" s="266"/>
      <c r="M446" s="266"/>
      <c r="N446" s="266"/>
      <c r="O446" s="266"/>
      <c r="P446" s="266"/>
      <c r="Q446" s="267"/>
      <c r="R446" s="71"/>
      <c r="S446" s="71"/>
      <c r="T446" s="222"/>
      <c r="U446" s="71"/>
      <c r="V446" s="71"/>
      <c r="W446" s="71"/>
      <c r="X446" s="71"/>
      <c r="Y446" s="71"/>
      <c r="Z446" s="71"/>
      <c r="AA446" s="71"/>
    </row>
    <row r="447" spans="1:27" ht="15.75" customHeight="1">
      <c r="A447" s="71"/>
      <c r="B447" s="263"/>
      <c r="C447" s="264"/>
      <c r="D447" s="71"/>
      <c r="E447" s="71"/>
      <c r="F447" s="265"/>
      <c r="G447" s="263"/>
      <c r="H447" s="71"/>
      <c r="I447" s="265"/>
      <c r="J447" s="71"/>
      <c r="K447" s="266"/>
      <c r="L447" s="266"/>
      <c r="M447" s="266"/>
      <c r="N447" s="266"/>
      <c r="O447" s="266"/>
      <c r="P447" s="266"/>
      <c r="Q447" s="267"/>
      <c r="R447" s="71"/>
      <c r="S447" s="71"/>
      <c r="T447" s="222"/>
      <c r="U447" s="71"/>
      <c r="V447" s="71"/>
      <c r="W447" s="71"/>
      <c r="X447" s="71"/>
      <c r="Y447" s="71"/>
      <c r="Z447" s="71"/>
      <c r="AA447" s="71"/>
    </row>
    <row r="448" spans="1:27" ht="15.75" customHeight="1">
      <c r="A448" s="71"/>
      <c r="B448" s="263"/>
      <c r="C448" s="264"/>
      <c r="D448" s="71"/>
      <c r="E448" s="71"/>
      <c r="F448" s="265"/>
      <c r="G448" s="263"/>
      <c r="H448" s="71"/>
      <c r="I448" s="265"/>
      <c r="J448" s="71"/>
      <c r="K448" s="266"/>
      <c r="L448" s="266"/>
      <c r="M448" s="266"/>
      <c r="N448" s="266"/>
      <c r="O448" s="266"/>
      <c r="P448" s="266"/>
      <c r="Q448" s="267"/>
      <c r="R448" s="71"/>
      <c r="S448" s="71"/>
      <c r="T448" s="222"/>
      <c r="U448" s="71"/>
      <c r="V448" s="71"/>
      <c r="W448" s="71"/>
      <c r="X448" s="71"/>
      <c r="Y448" s="71"/>
      <c r="Z448" s="71"/>
      <c r="AA448" s="71"/>
    </row>
    <row r="449" spans="1:27" ht="15.75" customHeight="1">
      <c r="A449" s="71"/>
      <c r="B449" s="263"/>
      <c r="C449" s="264"/>
      <c r="D449" s="71"/>
      <c r="E449" s="71"/>
      <c r="F449" s="265"/>
      <c r="G449" s="263"/>
      <c r="H449" s="71"/>
      <c r="I449" s="265"/>
      <c r="J449" s="71"/>
      <c r="K449" s="266"/>
      <c r="L449" s="266"/>
      <c r="M449" s="266"/>
      <c r="N449" s="266"/>
      <c r="O449" s="266"/>
      <c r="P449" s="266"/>
      <c r="Q449" s="267"/>
      <c r="R449" s="71"/>
      <c r="S449" s="71"/>
      <c r="T449" s="222"/>
      <c r="U449" s="71"/>
      <c r="V449" s="71"/>
      <c r="W449" s="71"/>
      <c r="X449" s="71"/>
      <c r="Y449" s="71"/>
      <c r="Z449" s="71"/>
      <c r="AA449" s="71"/>
    </row>
    <row r="450" spans="1:27" ht="15.75" customHeight="1">
      <c r="A450" s="71"/>
      <c r="B450" s="263"/>
      <c r="C450" s="264"/>
      <c r="D450" s="71"/>
      <c r="E450" s="71"/>
      <c r="F450" s="265"/>
      <c r="G450" s="263"/>
      <c r="H450" s="71"/>
      <c r="I450" s="265"/>
      <c r="J450" s="71"/>
      <c r="K450" s="266"/>
      <c r="L450" s="266"/>
      <c r="M450" s="266"/>
      <c r="N450" s="266"/>
      <c r="O450" s="266"/>
      <c r="P450" s="266"/>
      <c r="Q450" s="267"/>
      <c r="R450" s="71"/>
      <c r="S450" s="71"/>
      <c r="T450" s="222"/>
      <c r="U450" s="71"/>
      <c r="V450" s="71"/>
      <c r="W450" s="71"/>
      <c r="X450" s="71"/>
      <c r="Y450" s="71"/>
      <c r="Z450" s="71"/>
      <c r="AA450" s="71"/>
    </row>
    <row r="451" spans="1:27" ht="15.75" customHeight="1">
      <c r="A451" s="71"/>
      <c r="B451" s="263"/>
      <c r="C451" s="264"/>
      <c r="D451" s="71"/>
      <c r="E451" s="71"/>
      <c r="F451" s="265"/>
      <c r="G451" s="263"/>
      <c r="H451" s="71"/>
      <c r="I451" s="265"/>
      <c r="J451" s="71"/>
      <c r="K451" s="266"/>
      <c r="L451" s="266"/>
      <c r="M451" s="266"/>
      <c r="N451" s="266"/>
      <c r="O451" s="266"/>
      <c r="P451" s="266"/>
      <c r="Q451" s="267"/>
      <c r="R451" s="71"/>
      <c r="S451" s="71"/>
      <c r="T451" s="222"/>
      <c r="U451" s="71"/>
      <c r="V451" s="71"/>
      <c r="W451" s="71"/>
      <c r="X451" s="71"/>
      <c r="Y451" s="71"/>
      <c r="Z451" s="71"/>
      <c r="AA451" s="71"/>
    </row>
    <row r="452" spans="1:27" ht="15.75" customHeight="1">
      <c r="A452" s="71"/>
      <c r="B452" s="263"/>
      <c r="C452" s="264"/>
      <c r="D452" s="71"/>
      <c r="E452" s="71"/>
      <c r="F452" s="265"/>
      <c r="G452" s="263"/>
      <c r="H452" s="71"/>
      <c r="I452" s="265"/>
      <c r="J452" s="71"/>
      <c r="K452" s="266"/>
      <c r="L452" s="266"/>
      <c r="M452" s="266"/>
      <c r="N452" s="266"/>
      <c r="O452" s="266"/>
      <c r="P452" s="266"/>
      <c r="Q452" s="267"/>
      <c r="R452" s="71"/>
      <c r="S452" s="71"/>
      <c r="T452" s="222"/>
      <c r="U452" s="71"/>
      <c r="V452" s="71"/>
      <c r="W452" s="71"/>
      <c r="X452" s="71"/>
      <c r="Y452" s="71"/>
      <c r="Z452" s="71"/>
      <c r="AA452" s="71"/>
    </row>
    <row r="453" spans="1:27" ht="15.75" customHeight="1">
      <c r="A453" s="71"/>
      <c r="B453" s="263"/>
      <c r="C453" s="264"/>
      <c r="D453" s="71"/>
      <c r="E453" s="71"/>
      <c r="F453" s="265"/>
      <c r="G453" s="263"/>
      <c r="H453" s="71"/>
      <c r="I453" s="265"/>
      <c r="J453" s="71"/>
      <c r="K453" s="266"/>
      <c r="L453" s="266"/>
      <c r="M453" s="266"/>
      <c r="N453" s="266"/>
      <c r="O453" s="266"/>
      <c r="P453" s="266"/>
      <c r="Q453" s="267"/>
      <c r="R453" s="71"/>
      <c r="S453" s="71"/>
      <c r="T453" s="222"/>
      <c r="U453" s="71"/>
      <c r="V453" s="71"/>
      <c r="W453" s="71"/>
      <c r="X453" s="71"/>
      <c r="Y453" s="71"/>
      <c r="Z453" s="71"/>
      <c r="AA453" s="71"/>
    </row>
    <row r="454" spans="1:27" ht="15.75" customHeight="1">
      <c r="A454" s="71"/>
      <c r="B454" s="263"/>
      <c r="C454" s="264"/>
      <c r="D454" s="71"/>
      <c r="E454" s="71"/>
      <c r="F454" s="265"/>
      <c r="G454" s="263"/>
      <c r="H454" s="71"/>
      <c r="I454" s="265"/>
      <c r="J454" s="71"/>
      <c r="K454" s="266"/>
      <c r="L454" s="266"/>
      <c r="M454" s="266"/>
      <c r="N454" s="266"/>
      <c r="O454" s="266"/>
      <c r="P454" s="266"/>
      <c r="Q454" s="267"/>
      <c r="R454" s="71"/>
      <c r="S454" s="71"/>
      <c r="T454" s="222"/>
      <c r="U454" s="71"/>
      <c r="V454" s="71"/>
      <c r="W454" s="71"/>
      <c r="X454" s="71"/>
      <c r="Y454" s="71"/>
      <c r="Z454" s="71"/>
      <c r="AA454" s="71"/>
    </row>
    <row r="455" spans="1:27" ht="15.75" customHeight="1">
      <c r="A455" s="71"/>
      <c r="B455" s="263"/>
      <c r="C455" s="264"/>
      <c r="D455" s="71"/>
      <c r="E455" s="71"/>
      <c r="F455" s="265"/>
      <c r="G455" s="263"/>
      <c r="H455" s="71"/>
      <c r="I455" s="265"/>
      <c r="J455" s="71"/>
      <c r="K455" s="266"/>
      <c r="L455" s="266"/>
      <c r="M455" s="266"/>
      <c r="N455" s="266"/>
      <c r="O455" s="266"/>
      <c r="P455" s="266"/>
      <c r="Q455" s="267"/>
      <c r="R455" s="71"/>
      <c r="S455" s="71"/>
      <c r="T455" s="222"/>
      <c r="U455" s="71"/>
      <c r="V455" s="71"/>
      <c r="W455" s="71"/>
      <c r="X455" s="71"/>
      <c r="Y455" s="71"/>
      <c r="Z455" s="71"/>
      <c r="AA455" s="71"/>
    </row>
    <row r="456" spans="1:27" ht="15.75" customHeight="1">
      <c r="A456" s="71"/>
      <c r="B456" s="263"/>
      <c r="C456" s="264"/>
      <c r="D456" s="71"/>
      <c r="E456" s="71"/>
      <c r="F456" s="265"/>
      <c r="G456" s="263"/>
      <c r="H456" s="71"/>
      <c r="I456" s="265"/>
      <c r="J456" s="71"/>
      <c r="K456" s="266"/>
      <c r="L456" s="266"/>
      <c r="M456" s="266"/>
      <c r="N456" s="266"/>
      <c r="O456" s="266"/>
      <c r="P456" s="266"/>
      <c r="Q456" s="267"/>
      <c r="R456" s="71"/>
      <c r="S456" s="71"/>
      <c r="T456" s="222"/>
      <c r="U456" s="71"/>
      <c r="V456" s="71"/>
      <c r="W456" s="71"/>
      <c r="X456" s="71"/>
      <c r="Y456" s="71"/>
      <c r="Z456" s="71"/>
      <c r="AA456" s="71"/>
    </row>
    <row r="457" spans="1:27" ht="15.75" customHeight="1">
      <c r="A457" s="71"/>
      <c r="B457" s="263"/>
      <c r="C457" s="264"/>
      <c r="D457" s="71"/>
      <c r="E457" s="71"/>
      <c r="F457" s="265"/>
      <c r="G457" s="263"/>
      <c r="H457" s="71"/>
      <c r="I457" s="265"/>
      <c r="J457" s="71"/>
      <c r="K457" s="266"/>
      <c r="L457" s="266"/>
      <c r="M457" s="266"/>
      <c r="N457" s="266"/>
      <c r="O457" s="266"/>
      <c r="P457" s="266"/>
      <c r="Q457" s="267"/>
      <c r="R457" s="71"/>
      <c r="S457" s="71"/>
      <c r="T457" s="222"/>
      <c r="U457" s="71"/>
      <c r="V457" s="71"/>
      <c r="W457" s="71"/>
      <c r="X457" s="71"/>
      <c r="Y457" s="71"/>
      <c r="Z457" s="71"/>
      <c r="AA457" s="71"/>
    </row>
    <row r="458" spans="1:27" ht="15.75" customHeight="1">
      <c r="A458" s="71"/>
      <c r="B458" s="263"/>
      <c r="C458" s="264"/>
      <c r="D458" s="71"/>
      <c r="E458" s="71"/>
      <c r="F458" s="265"/>
      <c r="G458" s="263"/>
      <c r="H458" s="71"/>
      <c r="I458" s="265"/>
      <c r="J458" s="71"/>
      <c r="K458" s="266"/>
      <c r="L458" s="266"/>
      <c r="M458" s="266"/>
      <c r="N458" s="266"/>
      <c r="O458" s="266"/>
      <c r="P458" s="266"/>
      <c r="Q458" s="267"/>
      <c r="R458" s="71"/>
      <c r="S458" s="71"/>
      <c r="T458" s="222"/>
      <c r="U458" s="71"/>
      <c r="V458" s="71"/>
      <c r="W458" s="71"/>
      <c r="X458" s="71"/>
      <c r="Y458" s="71"/>
      <c r="Z458" s="71"/>
      <c r="AA458" s="71"/>
    </row>
    <row r="459" spans="1:27" ht="15.75" customHeight="1">
      <c r="A459" s="71"/>
      <c r="B459" s="263"/>
      <c r="C459" s="264"/>
      <c r="D459" s="71"/>
      <c r="E459" s="71"/>
      <c r="F459" s="265"/>
      <c r="G459" s="263"/>
      <c r="H459" s="71"/>
      <c r="I459" s="265"/>
      <c r="J459" s="71"/>
      <c r="K459" s="266"/>
      <c r="L459" s="266"/>
      <c r="M459" s="266"/>
      <c r="N459" s="266"/>
      <c r="O459" s="266"/>
      <c r="P459" s="266"/>
      <c r="Q459" s="267"/>
      <c r="R459" s="71"/>
      <c r="S459" s="71"/>
      <c r="T459" s="222"/>
      <c r="U459" s="71"/>
      <c r="V459" s="71"/>
      <c r="W459" s="71"/>
      <c r="X459" s="71"/>
      <c r="Y459" s="71"/>
      <c r="Z459" s="71"/>
      <c r="AA459" s="71"/>
    </row>
    <row r="460" spans="1:27" ht="15.75" customHeight="1">
      <c r="A460" s="71"/>
      <c r="B460" s="263"/>
      <c r="C460" s="264"/>
      <c r="D460" s="71"/>
      <c r="E460" s="71"/>
      <c r="F460" s="265"/>
      <c r="G460" s="263"/>
      <c r="H460" s="71"/>
      <c r="I460" s="265"/>
      <c r="J460" s="71"/>
      <c r="K460" s="266"/>
      <c r="L460" s="266"/>
      <c r="M460" s="266"/>
      <c r="N460" s="266"/>
      <c r="O460" s="266"/>
      <c r="P460" s="266"/>
      <c r="Q460" s="267"/>
      <c r="R460" s="71"/>
      <c r="S460" s="71"/>
      <c r="T460" s="222"/>
      <c r="U460" s="71"/>
      <c r="V460" s="71"/>
      <c r="W460" s="71"/>
      <c r="X460" s="71"/>
      <c r="Y460" s="71"/>
      <c r="Z460" s="71"/>
      <c r="AA460" s="71"/>
    </row>
    <row r="461" spans="1:27" ht="15.75" customHeight="1">
      <c r="A461" s="71"/>
      <c r="B461" s="263"/>
      <c r="C461" s="264"/>
      <c r="D461" s="71"/>
      <c r="E461" s="71"/>
      <c r="F461" s="265"/>
      <c r="G461" s="263"/>
      <c r="H461" s="71"/>
      <c r="I461" s="265"/>
      <c r="J461" s="71"/>
      <c r="K461" s="266"/>
      <c r="L461" s="266"/>
      <c r="M461" s="266"/>
      <c r="N461" s="266"/>
      <c r="O461" s="266"/>
      <c r="P461" s="266"/>
      <c r="Q461" s="267"/>
      <c r="R461" s="71"/>
      <c r="S461" s="71"/>
      <c r="T461" s="222"/>
      <c r="U461" s="71"/>
      <c r="V461" s="71"/>
      <c r="W461" s="71"/>
      <c r="X461" s="71"/>
      <c r="Y461" s="71"/>
      <c r="Z461" s="71"/>
      <c r="AA461" s="71"/>
    </row>
    <row r="462" spans="1:27" ht="15.75" customHeight="1">
      <c r="A462" s="71"/>
      <c r="B462" s="263"/>
      <c r="C462" s="264"/>
      <c r="D462" s="71"/>
      <c r="E462" s="71"/>
      <c r="F462" s="265"/>
      <c r="G462" s="263"/>
      <c r="H462" s="71"/>
      <c r="I462" s="265"/>
      <c r="J462" s="71"/>
      <c r="K462" s="266"/>
      <c r="L462" s="266"/>
      <c r="M462" s="266"/>
      <c r="N462" s="266"/>
      <c r="O462" s="266"/>
      <c r="P462" s="266"/>
      <c r="Q462" s="267"/>
      <c r="R462" s="71"/>
      <c r="S462" s="71"/>
      <c r="T462" s="222"/>
      <c r="U462" s="71"/>
      <c r="V462" s="71"/>
      <c r="W462" s="71"/>
      <c r="X462" s="71"/>
      <c r="Y462" s="71"/>
      <c r="Z462" s="71"/>
      <c r="AA462" s="71"/>
    </row>
    <row r="463" spans="1:27" ht="15.75" customHeight="1">
      <c r="A463" s="71"/>
      <c r="B463" s="263"/>
      <c r="C463" s="264"/>
      <c r="D463" s="71"/>
      <c r="E463" s="71"/>
      <c r="F463" s="265"/>
      <c r="G463" s="263"/>
      <c r="H463" s="71"/>
      <c r="I463" s="265"/>
      <c r="J463" s="71"/>
      <c r="K463" s="266"/>
      <c r="L463" s="266"/>
      <c r="M463" s="266"/>
      <c r="N463" s="266"/>
      <c r="O463" s="266"/>
      <c r="P463" s="266"/>
      <c r="Q463" s="267"/>
      <c r="R463" s="71"/>
      <c r="S463" s="71"/>
      <c r="T463" s="222"/>
      <c r="U463" s="71"/>
      <c r="V463" s="71"/>
      <c r="W463" s="71"/>
      <c r="X463" s="71"/>
      <c r="Y463" s="71"/>
      <c r="Z463" s="71"/>
      <c r="AA463" s="71"/>
    </row>
    <row r="464" spans="1:27" ht="15.75" customHeight="1">
      <c r="A464" s="71"/>
      <c r="B464" s="263"/>
      <c r="C464" s="264"/>
      <c r="D464" s="71"/>
      <c r="E464" s="71"/>
      <c r="F464" s="265"/>
      <c r="G464" s="263"/>
      <c r="H464" s="71"/>
      <c r="I464" s="265"/>
      <c r="J464" s="71"/>
      <c r="K464" s="266"/>
      <c r="L464" s="266"/>
      <c r="M464" s="266"/>
      <c r="N464" s="266"/>
      <c r="O464" s="266"/>
      <c r="P464" s="266"/>
      <c r="Q464" s="267"/>
      <c r="R464" s="71"/>
      <c r="S464" s="71"/>
      <c r="T464" s="222"/>
      <c r="U464" s="71"/>
      <c r="V464" s="71"/>
      <c r="W464" s="71"/>
      <c r="X464" s="71"/>
      <c r="Y464" s="71"/>
      <c r="Z464" s="71"/>
      <c r="AA464" s="71"/>
    </row>
    <row r="465" spans="1:27" ht="15.75" customHeight="1">
      <c r="A465" s="71"/>
      <c r="B465" s="263"/>
      <c r="C465" s="264"/>
      <c r="D465" s="71"/>
      <c r="E465" s="71"/>
      <c r="F465" s="265"/>
      <c r="G465" s="263"/>
      <c r="H465" s="71"/>
      <c r="I465" s="265"/>
      <c r="J465" s="71"/>
      <c r="K465" s="266"/>
      <c r="L465" s="266"/>
      <c r="M465" s="266"/>
      <c r="N465" s="266"/>
      <c r="O465" s="266"/>
      <c r="P465" s="266"/>
      <c r="Q465" s="267"/>
      <c r="R465" s="71"/>
      <c r="S465" s="71"/>
      <c r="T465" s="222"/>
      <c r="U465" s="71"/>
      <c r="V465" s="71"/>
      <c r="W465" s="71"/>
      <c r="X465" s="71"/>
      <c r="Y465" s="71"/>
      <c r="Z465" s="71"/>
      <c r="AA465" s="71"/>
    </row>
    <row r="466" spans="1:27" ht="15.75" customHeight="1">
      <c r="A466" s="71"/>
      <c r="B466" s="263"/>
      <c r="C466" s="264"/>
      <c r="D466" s="71"/>
      <c r="E466" s="71"/>
      <c r="F466" s="265"/>
      <c r="G466" s="263"/>
      <c r="H466" s="71"/>
      <c r="I466" s="265"/>
      <c r="J466" s="71"/>
      <c r="K466" s="266"/>
      <c r="L466" s="266"/>
      <c r="M466" s="266"/>
      <c r="N466" s="266"/>
      <c r="O466" s="266"/>
      <c r="P466" s="266"/>
      <c r="Q466" s="267"/>
      <c r="R466" s="71"/>
      <c r="S466" s="71"/>
      <c r="T466" s="222"/>
      <c r="U466" s="71"/>
      <c r="V466" s="71"/>
      <c r="W466" s="71"/>
      <c r="X466" s="71"/>
      <c r="Y466" s="71"/>
      <c r="Z466" s="71"/>
      <c r="AA466" s="71"/>
    </row>
    <row r="467" spans="1:27" ht="15.75" customHeight="1">
      <c r="A467" s="71"/>
      <c r="B467" s="263"/>
      <c r="C467" s="264"/>
      <c r="D467" s="71"/>
      <c r="E467" s="71"/>
      <c r="F467" s="265"/>
      <c r="G467" s="263"/>
      <c r="H467" s="71"/>
      <c r="I467" s="265"/>
      <c r="J467" s="71"/>
      <c r="K467" s="266"/>
      <c r="L467" s="266"/>
      <c r="M467" s="266"/>
      <c r="N467" s="266"/>
      <c r="O467" s="266"/>
      <c r="P467" s="266"/>
      <c r="Q467" s="267"/>
      <c r="R467" s="71"/>
      <c r="S467" s="71"/>
      <c r="T467" s="222"/>
      <c r="U467" s="71"/>
      <c r="V467" s="71"/>
      <c r="W467" s="71"/>
      <c r="X467" s="71"/>
      <c r="Y467" s="71"/>
      <c r="Z467" s="71"/>
      <c r="AA467" s="71"/>
    </row>
    <row r="468" spans="1:27" ht="15.75" customHeight="1">
      <c r="A468" s="71"/>
      <c r="B468" s="263"/>
      <c r="C468" s="264"/>
      <c r="D468" s="71"/>
      <c r="E468" s="71"/>
      <c r="F468" s="265"/>
      <c r="G468" s="263"/>
      <c r="H468" s="71"/>
      <c r="I468" s="265"/>
      <c r="J468" s="71"/>
      <c r="K468" s="266"/>
      <c r="L468" s="266"/>
      <c r="M468" s="266"/>
      <c r="N468" s="266"/>
      <c r="O468" s="266"/>
      <c r="P468" s="266"/>
      <c r="Q468" s="267"/>
      <c r="R468" s="71"/>
      <c r="S468" s="71"/>
      <c r="T468" s="222"/>
      <c r="U468" s="71"/>
      <c r="V468" s="71"/>
      <c r="W468" s="71"/>
      <c r="X468" s="71"/>
      <c r="Y468" s="71"/>
      <c r="Z468" s="71"/>
      <c r="AA468" s="71"/>
    </row>
    <row r="469" spans="1:27" ht="15.75" customHeight="1">
      <c r="A469" s="71"/>
      <c r="B469" s="263"/>
      <c r="C469" s="264"/>
      <c r="D469" s="71"/>
      <c r="E469" s="71"/>
      <c r="F469" s="265"/>
      <c r="G469" s="263"/>
      <c r="H469" s="71"/>
      <c r="I469" s="265"/>
      <c r="J469" s="71"/>
      <c r="K469" s="266"/>
      <c r="L469" s="266"/>
      <c r="M469" s="266"/>
      <c r="N469" s="266"/>
      <c r="O469" s="266"/>
      <c r="P469" s="266"/>
      <c r="Q469" s="267"/>
      <c r="R469" s="71"/>
      <c r="S469" s="71"/>
      <c r="T469" s="222"/>
      <c r="U469" s="71"/>
      <c r="V469" s="71"/>
      <c r="W469" s="71"/>
      <c r="X469" s="71"/>
      <c r="Y469" s="71"/>
      <c r="Z469" s="71"/>
      <c r="AA469" s="71"/>
    </row>
    <row r="470" spans="1:27" ht="15.75" customHeight="1">
      <c r="A470" s="71"/>
      <c r="B470" s="263"/>
      <c r="C470" s="264"/>
      <c r="D470" s="71"/>
      <c r="E470" s="71"/>
      <c r="F470" s="265"/>
      <c r="G470" s="263"/>
      <c r="H470" s="71"/>
      <c r="I470" s="265"/>
      <c r="J470" s="71"/>
      <c r="K470" s="266"/>
      <c r="L470" s="266"/>
      <c r="M470" s="266"/>
      <c r="N470" s="266"/>
      <c r="O470" s="266"/>
      <c r="P470" s="266"/>
      <c r="Q470" s="267"/>
      <c r="R470" s="71"/>
      <c r="S470" s="71"/>
      <c r="T470" s="222"/>
      <c r="U470" s="71"/>
      <c r="V470" s="71"/>
      <c r="W470" s="71"/>
      <c r="X470" s="71"/>
      <c r="Y470" s="71"/>
      <c r="Z470" s="71"/>
      <c r="AA470" s="71"/>
    </row>
    <row r="471" spans="1:27" ht="15.75" customHeight="1">
      <c r="A471" s="71"/>
      <c r="B471" s="263"/>
      <c r="C471" s="264"/>
      <c r="D471" s="71"/>
      <c r="E471" s="71"/>
      <c r="F471" s="265"/>
      <c r="G471" s="263"/>
      <c r="H471" s="71"/>
      <c r="I471" s="265"/>
      <c r="J471" s="71"/>
      <c r="K471" s="266"/>
      <c r="L471" s="266"/>
      <c r="M471" s="266"/>
      <c r="N471" s="266"/>
      <c r="O471" s="266"/>
      <c r="P471" s="266"/>
      <c r="Q471" s="267"/>
      <c r="R471" s="71"/>
      <c r="S471" s="71"/>
      <c r="T471" s="222"/>
      <c r="U471" s="71"/>
      <c r="V471" s="71"/>
      <c r="W471" s="71"/>
      <c r="X471" s="71"/>
      <c r="Y471" s="71"/>
      <c r="Z471" s="71"/>
      <c r="AA471" s="71"/>
    </row>
    <row r="472" spans="1:27" ht="15.75" customHeight="1">
      <c r="A472" s="71"/>
      <c r="B472" s="263"/>
      <c r="C472" s="264"/>
      <c r="D472" s="71"/>
      <c r="E472" s="71"/>
      <c r="F472" s="265"/>
      <c r="G472" s="263"/>
      <c r="H472" s="71"/>
      <c r="I472" s="265"/>
      <c r="J472" s="71"/>
      <c r="K472" s="266"/>
      <c r="L472" s="266"/>
      <c r="M472" s="266"/>
      <c r="N472" s="266"/>
      <c r="O472" s="266"/>
      <c r="P472" s="266"/>
      <c r="Q472" s="267"/>
      <c r="R472" s="71"/>
      <c r="S472" s="71"/>
      <c r="T472" s="222"/>
      <c r="U472" s="71"/>
      <c r="V472" s="71"/>
      <c r="W472" s="71"/>
      <c r="X472" s="71"/>
      <c r="Y472" s="71"/>
      <c r="Z472" s="71"/>
      <c r="AA472" s="71"/>
    </row>
    <row r="473" spans="1:27" ht="15.75" customHeight="1">
      <c r="A473" s="71"/>
      <c r="B473" s="263"/>
      <c r="C473" s="264"/>
      <c r="D473" s="71"/>
      <c r="E473" s="71"/>
      <c r="F473" s="265"/>
      <c r="G473" s="263"/>
      <c r="H473" s="71"/>
      <c r="I473" s="265"/>
      <c r="J473" s="71"/>
      <c r="K473" s="266"/>
      <c r="L473" s="266"/>
      <c r="M473" s="266"/>
      <c r="N473" s="266"/>
      <c r="O473" s="266"/>
      <c r="P473" s="266"/>
      <c r="Q473" s="267"/>
      <c r="R473" s="71"/>
      <c r="S473" s="71"/>
      <c r="T473" s="222"/>
      <c r="U473" s="71"/>
      <c r="V473" s="71"/>
      <c r="W473" s="71"/>
      <c r="X473" s="71"/>
      <c r="Y473" s="71"/>
      <c r="Z473" s="71"/>
      <c r="AA473" s="71"/>
    </row>
    <row r="474" spans="1:27" ht="15.75" customHeight="1">
      <c r="A474" s="71"/>
      <c r="B474" s="263"/>
      <c r="C474" s="264"/>
      <c r="D474" s="71"/>
      <c r="E474" s="71"/>
      <c r="F474" s="265"/>
      <c r="G474" s="263"/>
      <c r="H474" s="71"/>
      <c r="I474" s="265"/>
      <c r="J474" s="71"/>
      <c r="K474" s="266"/>
      <c r="L474" s="266"/>
      <c r="M474" s="266"/>
      <c r="N474" s="266"/>
      <c r="O474" s="266"/>
      <c r="P474" s="266"/>
      <c r="Q474" s="267"/>
      <c r="R474" s="71"/>
      <c r="S474" s="71"/>
      <c r="T474" s="222"/>
      <c r="U474" s="71"/>
      <c r="V474" s="71"/>
      <c r="W474" s="71"/>
      <c r="X474" s="71"/>
      <c r="Y474" s="71"/>
      <c r="Z474" s="71"/>
      <c r="AA474" s="71"/>
    </row>
    <row r="475" spans="1:27" ht="15.75" customHeight="1">
      <c r="A475" s="71"/>
      <c r="B475" s="263"/>
      <c r="C475" s="264"/>
      <c r="D475" s="71"/>
      <c r="E475" s="71"/>
      <c r="F475" s="265"/>
      <c r="G475" s="263"/>
      <c r="H475" s="71"/>
      <c r="I475" s="265"/>
      <c r="J475" s="71"/>
      <c r="K475" s="266"/>
      <c r="L475" s="266"/>
      <c r="M475" s="266"/>
      <c r="N475" s="266"/>
      <c r="O475" s="266"/>
      <c r="P475" s="266"/>
      <c r="Q475" s="267"/>
      <c r="R475" s="71"/>
      <c r="S475" s="71"/>
      <c r="T475" s="222"/>
      <c r="U475" s="71"/>
      <c r="V475" s="71"/>
      <c r="W475" s="71"/>
      <c r="X475" s="71"/>
      <c r="Y475" s="71"/>
      <c r="Z475" s="71"/>
      <c r="AA475" s="71"/>
    </row>
    <row r="476" spans="1:27" ht="15.75" customHeight="1">
      <c r="A476" s="71"/>
      <c r="B476" s="263"/>
      <c r="C476" s="264"/>
      <c r="D476" s="71"/>
      <c r="E476" s="71"/>
      <c r="F476" s="265"/>
      <c r="G476" s="263"/>
      <c r="H476" s="71"/>
      <c r="I476" s="265"/>
      <c r="J476" s="71"/>
      <c r="K476" s="266"/>
      <c r="L476" s="266"/>
      <c r="M476" s="266"/>
      <c r="N476" s="266"/>
      <c r="O476" s="266"/>
      <c r="P476" s="266"/>
      <c r="Q476" s="267"/>
      <c r="R476" s="71"/>
      <c r="S476" s="71"/>
      <c r="T476" s="222"/>
      <c r="U476" s="71"/>
      <c r="V476" s="71"/>
      <c r="W476" s="71"/>
      <c r="X476" s="71"/>
      <c r="Y476" s="71"/>
      <c r="Z476" s="71"/>
      <c r="AA476" s="71"/>
    </row>
    <row r="477" spans="1:27" ht="15.75" customHeight="1">
      <c r="A477" s="71"/>
      <c r="B477" s="263"/>
      <c r="C477" s="264"/>
      <c r="D477" s="71"/>
      <c r="E477" s="71"/>
      <c r="F477" s="265"/>
      <c r="G477" s="263"/>
      <c r="H477" s="71"/>
      <c r="I477" s="265"/>
      <c r="J477" s="71"/>
      <c r="K477" s="266"/>
      <c r="L477" s="266"/>
      <c r="M477" s="266"/>
      <c r="N477" s="266"/>
      <c r="O477" s="266"/>
      <c r="P477" s="266"/>
      <c r="Q477" s="267"/>
      <c r="R477" s="71"/>
      <c r="S477" s="71"/>
      <c r="T477" s="222"/>
      <c r="U477" s="71"/>
      <c r="V477" s="71"/>
      <c r="W477" s="71"/>
      <c r="X477" s="71"/>
      <c r="Y477" s="71"/>
      <c r="Z477" s="71"/>
      <c r="AA477" s="71"/>
    </row>
    <row r="478" spans="1:27" ht="15.75" customHeight="1">
      <c r="A478" s="71"/>
      <c r="B478" s="263"/>
      <c r="C478" s="264"/>
      <c r="D478" s="71"/>
      <c r="E478" s="71"/>
      <c r="F478" s="265"/>
      <c r="G478" s="263"/>
      <c r="H478" s="71"/>
      <c r="I478" s="265"/>
      <c r="J478" s="71"/>
      <c r="K478" s="266"/>
      <c r="L478" s="266"/>
      <c r="M478" s="266"/>
      <c r="N478" s="266"/>
      <c r="O478" s="266"/>
      <c r="P478" s="266"/>
      <c r="Q478" s="267"/>
      <c r="R478" s="71"/>
      <c r="S478" s="71"/>
      <c r="T478" s="222"/>
      <c r="U478" s="71"/>
      <c r="V478" s="71"/>
      <c r="W478" s="71"/>
      <c r="X478" s="71"/>
      <c r="Y478" s="71"/>
      <c r="Z478" s="71"/>
      <c r="AA478" s="71"/>
    </row>
    <row r="479" spans="1:27" ht="15.75" customHeight="1">
      <c r="A479" s="71"/>
      <c r="B479" s="263"/>
      <c r="C479" s="264"/>
      <c r="D479" s="71"/>
      <c r="E479" s="71"/>
      <c r="F479" s="265"/>
      <c r="G479" s="263"/>
      <c r="H479" s="71"/>
      <c r="I479" s="265"/>
      <c r="J479" s="71"/>
      <c r="K479" s="266"/>
      <c r="L479" s="266"/>
      <c r="M479" s="266"/>
      <c r="N479" s="266"/>
      <c r="O479" s="266"/>
      <c r="P479" s="266"/>
      <c r="Q479" s="267"/>
      <c r="R479" s="71"/>
      <c r="S479" s="71"/>
      <c r="T479" s="222"/>
      <c r="U479" s="71"/>
      <c r="V479" s="71"/>
      <c r="W479" s="71"/>
      <c r="X479" s="71"/>
      <c r="Y479" s="71"/>
      <c r="Z479" s="71"/>
      <c r="AA479" s="71"/>
    </row>
    <row r="480" spans="1:27" ht="15.75" customHeight="1">
      <c r="A480" s="71"/>
      <c r="B480" s="263"/>
      <c r="C480" s="264"/>
      <c r="D480" s="71"/>
      <c r="E480" s="71"/>
      <c r="F480" s="265"/>
      <c r="G480" s="263"/>
      <c r="H480" s="71"/>
      <c r="I480" s="265"/>
      <c r="J480" s="71"/>
      <c r="K480" s="266"/>
      <c r="L480" s="266"/>
      <c r="M480" s="266"/>
      <c r="N480" s="266"/>
      <c r="O480" s="266"/>
      <c r="P480" s="266"/>
      <c r="Q480" s="267"/>
      <c r="R480" s="71"/>
      <c r="S480" s="71"/>
      <c r="T480" s="222"/>
      <c r="U480" s="71"/>
      <c r="V480" s="71"/>
      <c r="W480" s="71"/>
      <c r="X480" s="71"/>
      <c r="Y480" s="71"/>
      <c r="Z480" s="71"/>
      <c r="AA480" s="71"/>
    </row>
    <row r="481" spans="1:27" ht="15.75" customHeight="1">
      <c r="A481" s="71"/>
      <c r="B481" s="263"/>
      <c r="C481" s="264"/>
      <c r="D481" s="71"/>
      <c r="E481" s="71"/>
      <c r="F481" s="265"/>
      <c r="G481" s="263"/>
      <c r="H481" s="71"/>
      <c r="I481" s="265"/>
      <c r="J481" s="71"/>
      <c r="K481" s="266"/>
      <c r="L481" s="266"/>
      <c r="M481" s="266"/>
      <c r="N481" s="266"/>
      <c r="O481" s="266"/>
      <c r="P481" s="266"/>
      <c r="Q481" s="267"/>
      <c r="R481" s="71"/>
      <c r="S481" s="71"/>
      <c r="T481" s="222"/>
      <c r="U481" s="71"/>
      <c r="V481" s="71"/>
      <c r="W481" s="71"/>
      <c r="X481" s="71"/>
      <c r="Y481" s="71"/>
      <c r="Z481" s="71"/>
      <c r="AA481" s="71"/>
    </row>
    <row r="482" spans="1:27" ht="15.75" customHeight="1">
      <c r="A482" s="71"/>
      <c r="B482" s="263"/>
      <c r="C482" s="264"/>
      <c r="D482" s="71"/>
      <c r="E482" s="71"/>
      <c r="F482" s="265"/>
      <c r="G482" s="263"/>
      <c r="H482" s="71"/>
      <c r="I482" s="265"/>
      <c r="J482" s="71"/>
      <c r="K482" s="266"/>
      <c r="L482" s="266"/>
      <c r="M482" s="266"/>
      <c r="N482" s="266"/>
      <c r="O482" s="266"/>
      <c r="P482" s="266"/>
      <c r="Q482" s="267"/>
      <c r="R482" s="71"/>
      <c r="S482" s="71"/>
      <c r="T482" s="222"/>
      <c r="U482" s="71"/>
      <c r="V482" s="71"/>
      <c r="W482" s="71"/>
      <c r="X482" s="71"/>
      <c r="Y482" s="71"/>
      <c r="Z482" s="71"/>
      <c r="AA482" s="71"/>
    </row>
    <row r="483" spans="1:27" ht="15.75" customHeight="1">
      <c r="A483" s="71"/>
      <c r="B483" s="263"/>
      <c r="C483" s="264"/>
      <c r="D483" s="71"/>
      <c r="E483" s="71"/>
      <c r="F483" s="265"/>
      <c r="G483" s="263"/>
      <c r="H483" s="71"/>
      <c r="I483" s="265"/>
      <c r="J483" s="71"/>
      <c r="K483" s="266"/>
      <c r="L483" s="266"/>
      <c r="M483" s="266"/>
      <c r="N483" s="266"/>
      <c r="O483" s="266"/>
      <c r="P483" s="266"/>
      <c r="Q483" s="267"/>
      <c r="R483" s="71"/>
      <c r="S483" s="71"/>
      <c r="T483" s="222"/>
      <c r="U483" s="71"/>
      <c r="V483" s="71"/>
      <c r="W483" s="71"/>
      <c r="X483" s="71"/>
      <c r="Y483" s="71"/>
      <c r="Z483" s="71"/>
      <c r="AA483" s="71"/>
    </row>
    <row r="484" spans="1:27" ht="15.75" customHeight="1">
      <c r="A484" s="71"/>
      <c r="B484" s="263"/>
      <c r="C484" s="264"/>
      <c r="D484" s="71"/>
      <c r="E484" s="71"/>
      <c r="F484" s="265"/>
      <c r="G484" s="263"/>
      <c r="H484" s="71"/>
      <c r="I484" s="265"/>
      <c r="J484" s="71"/>
      <c r="K484" s="266"/>
      <c r="L484" s="266"/>
      <c r="M484" s="266"/>
      <c r="N484" s="266"/>
      <c r="O484" s="266"/>
      <c r="P484" s="266"/>
      <c r="Q484" s="267"/>
      <c r="R484" s="71"/>
      <c r="S484" s="71"/>
      <c r="T484" s="222"/>
      <c r="U484" s="71"/>
      <c r="V484" s="71"/>
      <c r="W484" s="71"/>
      <c r="X484" s="71"/>
      <c r="Y484" s="71"/>
      <c r="Z484" s="71"/>
      <c r="AA484" s="71"/>
    </row>
    <row r="485" spans="1:27" ht="15.75" customHeight="1">
      <c r="A485" s="71"/>
      <c r="B485" s="263"/>
      <c r="C485" s="264"/>
      <c r="D485" s="71"/>
      <c r="E485" s="71"/>
      <c r="F485" s="265"/>
      <c r="G485" s="263"/>
      <c r="H485" s="71"/>
      <c r="I485" s="265"/>
      <c r="J485" s="71"/>
      <c r="K485" s="266"/>
      <c r="L485" s="266"/>
      <c r="M485" s="266"/>
      <c r="N485" s="266"/>
      <c r="O485" s="266"/>
      <c r="P485" s="266"/>
      <c r="Q485" s="267"/>
      <c r="R485" s="71"/>
      <c r="S485" s="71"/>
      <c r="T485" s="222"/>
      <c r="U485" s="71"/>
      <c r="V485" s="71"/>
      <c r="W485" s="71"/>
      <c r="X485" s="71"/>
      <c r="Y485" s="71"/>
      <c r="Z485" s="71"/>
      <c r="AA485" s="71"/>
    </row>
    <row r="486" spans="1:27" ht="15.75" customHeight="1">
      <c r="A486" s="71"/>
      <c r="B486" s="263"/>
      <c r="C486" s="264"/>
      <c r="D486" s="71"/>
      <c r="E486" s="71"/>
      <c r="F486" s="265"/>
      <c r="G486" s="263"/>
      <c r="H486" s="71"/>
      <c r="I486" s="265"/>
      <c r="J486" s="71"/>
      <c r="K486" s="266"/>
      <c r="L486" s="266"/>
      <c r="M486" s="266"/>
      <c r="N486" s="266"/>
      <c r="O486" s="266"/>
      <c r="P486" s="266"/>
      <c r="Q486" s="267"/>
      <c r="R486" s="71"/>
      <c r="S486" s="71"/>
      <c r="T486" s="222"/>
      <c r="U486" s="71"/>
      <c r="V486" s="71"/>
      <c r="W486" s="71"/>
      <c r="X486" s="71"/>
      <c r="Y486" s="71"/>
      <c r="Z486" s="71"/>
      <c r="AA486" s="71"/>
    </row>
    <row r="487" spans="1:27" ht="15.75" customHeight="1">
      <c r="A487" s="71"/>
      <c r="B487" s="263"/>
      <c r="C487" s="264"/>
      <c r="D487" s="71"/>
      <c r="E487" s="71"/>
      <c r="F487" s="265"/>
      <c r="G487" s="263"/>
      <c r="H487" s="71"/>
      <c r="I487" s="265"/>
      <c r="J487" s="71"/>
      <c r="K487" s="266"/>
      <c r="L487" s="266"/>
      <c r="M487" s="266"/>
      <c r="N487" s="266"/>
      <c r="O487" s="266"/>
      <c r="P487" s="266"/>
      <c r="Q487" s="267"/>
      <c r="R487" s="71"/>
      <c r="S487" s="71"/>
      <c r="T487" s="222"/>
      <c r="U487" s="71"/>
      <c r="V487" s="71"/>
      <c r="W487" s="71"/>
      <c r="X487" s="71"/>
      <c r="Y487" s="71"/>
      <c r="Z487" s="71"/>
      <c r="AA487" s="71"/>
    </row>
    <row r="488" spans="1:27" ht="15.75" customHeight="1">
      <c r="A488" s="71"/>
      <c r="B488" s="263"/>
      <c r="C488" s="264"/>
      <c r="D488" s="71"/>
      <c r="E488" s="71"/>
      <c r="F488" s="265"/>
      <c r="G488" s="263"/>
      <c r="H488" s="71"/>
      <c r="I488" s="265"/>
      <c r="J488" s="71"/>
      <c r="K488" s="266"/>
      <c r="L488" s="266"/>
      <c r="M488" s="266"/>
      <c r="N488" s="266"/>
      <c r="O488" s="266"/>
      <c r="P488" s="266"/>
      <c r="Q488" s="267"/>
      <c r="R488" s="71"/>
      <c r="S488" s="71"/>
      <c r="T488" s="222"/>
      <c r="U488" s="71"/>
      <c r="V488" s="71"/>
      <c r="W488" s="71"/>
      <c r="X488" s="71"/>
      <c r="Y488" s="71"/>
      <c r="Z488" s="71"/>
      <c r="AA488" s="71"/>
    </row>
    <row r="489" spans="1:27" ht="15.75" customHeight="1">
      <c r="A489" s="71"/>
      <c r="B489" s="263"/>
      <c r="C489" s="264"/>
      <c r="D489" s="71"/>
      <c r="E489" s="71"/>
      <c r="F489" s="265"/>
      <c r="G489" s="263"/>
      <c r="H489" s="71"/>
      <c r="I489" s="265"/>
      <c r="J489" s="71"/>
      <c r="K489" s="266"/>
      <c r="L489" s="266"/>
      <c r="M489" s="266"/>
      <c r="N489" s="266"/>
      <c r="O489" s="266"/>
      <c r="P489" s="266"/>
      <c r="Q489" s="267"/>
      <c r="R489" s="71"/>
      <c r="S489" s="71"/>
      <c r="T489" s="222"/>
      <c r="U489" s="71"/>
      <c r="V489" s="71"/>
      <c r="W489" s="71"/>
      <c r="X489" s="71"/>
      <c r="Y489" s="71"/>
      <c r="Z489" s="71"/>
      <c r="AA489" s="71"/>
    </row>
    <row r="490" spans="1:27" ht="15.75" customHeight="1">
      <c r="A490" s="71"/>
      <c r="B490" s="263"/>
      <c r="C490" s="264"/>
      <c r="D490" s="71"/>
      <c r="E490" s="71"/>
      <c r="F490" s="265"/>
      <c r="G490" s="263"/>
      <c r="H490" s="71"/>
      <c r="I490" s="265"/>
      <c r="J490" s="71"/>
      <c r="K490" s="266"/>
      <c r="L490" s="266"/>
      <c r="M490" s="266"/>
      <c r="N490" s="266"/>
      <c r="O490" s="266"/>
      <c r="P490" s="266"/>
      <c r="Q490" s="267"/>
      <c r="R490" s="71"/>
      <c r="S490" s="71"/>
      <c r="T490" s="222"/>
      <c r="U490" s="71"/>
      <c r="V490" s="71"/>
      <c r="W490" s="71"/>
      <c r="X490" s="71"/>
      <c r="Y490" s="71"/>
      <c r="Z490" s="71"/>
      <c r="AA490" s="71"/>
    </row>
    <row r="491" spans="1:27" ht="15.75" customHeight="1">
      <c r="A491" s="71"/>
      <c r="B491" s="263"/>
      <c r="C491" s="264"/>
      <c r="D491" s="71"/>
      <c r="E491" s="71"/>
      <c r="F491" s="265"/>
      <c r="G491" s="263"/>
      <c r="H491" s="71"/>
      <c r="I491" s="265"/>
      <c r="J491" s="71"/>
      <c r="K491" s="266"/>
      <c r="L491" s="266"/>
      <c r="M491" s="266"/>
      <c r="N491" s="266"/>
      <c r="O491" s="266"/>
      <c r="P491" s="266"/>
      <c r="Q491" s="267"/>
      <c r="R491" s="71"/>
      <c r="S491" s="71"/>
      <c r="T491" s="222"/>
      <c r="U491" s="71"/>
      <c r="V491" s="71"/>
      <c r="W491" s="71"/>
      <c r="X491" s="71"/>
      <c r="Y491" s="71"/>
      <c r="Z491" s="71"/>
      <c r="AA491" s="71"/>
    </row>
    <row r="492" spans="1:27" ht="15.75" customHeight="1">
      <c r="A492" s="71"/>
      <c r="B492" s="263"/>
      <c r="C492" s="264"/>
      <c r="D492" s="71"/>
      <c r="E492" s="71"/>
      <c r="F492" s="265"/>
      <c r="G492" s="263"/>
      <c r="H492" s="71"/>
      <c r="I492" s="265"/>
      <c r="J492" s="71"/>
      <c r="K492" s="266"/>
      <c r="L492" s="266"/>
      <c r="M492" s="266"/>
      <c r="N492" s="266"/>
      <c r="O492" s="266"/>
      <c r="P492" s="266"/>
      <c r="Q492" s="267"/>
      <c r="R492" s="71"/>
      <c r="S492" s="71"/>
      <c r="T492" s="222"/>
      <c r="U492" s="71"/>
      <c r="V492" s="71"/>
      <c r="W492" s="71"/>
      <c r="X492" s="71"/>
      <c r="Y492" s="71"/>
      <c r="Z492" s="71"/>
      <c r="AA492" s="71"/>
    </row>
    <row r="493" spans="1:27" ht="15.75" customHeight="1">
      <c r="A493" s="71"/>
      <c r="B493" s="263"/>
      <c r="C493" s="264"/>
      <c r="D493" s="71"/>
      <c r="E493" s="71"/>
      <c r="F493" s="265"/>
      <c r="G493" s="263"/>
      <c r="H493" s="71"/>
      <c r="I493" s="265"/>
      <c r="J493" s="71"/>
      <c r="K493" s="266"/>
      <c r="L493" s="266"/>
      <c r="M493" s="266"/>
      <c r="N493" s="266"/>
      <c r="O493" s="266"/>
      <c r="P493" s="266"/>
      <c r="Q493" s="267"/>
      <c r="R493" s="71"/>
      <c r="S493" s="71"/>
      <c r="T493" s="222"/>
      <c r="U493" s="71"/>
      <c r="V493" s="71"/>
      <c r="W493" s="71"/>
      <c r="X493" s="71"/>
      <c r="Y493" s="71"/>
      <c r="Z493" s="71"/>
      <c r="AA493" s="71"/>
    </row>
    <row r="494" spans="1:27" ht="15.75" customHeight="1">
      <c r="A494" s="71"/>
      <c r="B494" s="263"/>
      <c r="C494" s="264"/>
      <c r="D494" s="71"/>
      <c r="E494" s="71"/>
      <c r="F494" s="265"/>
      <c r="G494" s="263"/>
      <c r="H494" s="71"/>
      <c r="I494" s="265"/>
      <c r="J494" s="71"/>
      <c r="K494" s="266"/>
      <c r="L494" s="266"/>
      <c r="M494" s="266"/>
      <c r="N494" s="266"/>
      <c r="O494" s="266"/>
      <c r="P494" s="266"/>
      <c r="Q494" s="267"/>
      <c r="R494" s="71"/>
      <c r="S494" s="71"/>
      <c r="T494" s="222"/>
      <c r="U494" s="71"/>
      <c r="V494" s="71"/>
      <c r="W494" s="71"/>
      <c r="X494" s="71"/>
      <c r="Y494" s="71"/>
      <c r="Z494" s="71"/>
      <c r="AA494" s="71"/>
    </row>
    <row r="495" spans="1:27" ht="15.75" customHeight="1">
      <c r="A495" s="71"/>
      <c r="B495" s="263"/>
      <c r="C495" s="264"/>
      <c r="D495" s="71"/>
      <c r="E495" s="71"/>
      <c r="F495" s="265"/>
      <c r="G495" s="263"/>
      <c r="H495" s="71"/>
      <c r="I495" s="265"/>
      <c r="J495" s="71"/>
      <c r="K495" s="266"/>
      <c r="L495" s="266"/>
      <c r="M495" s="266"/>
      <c r="N495" s="266"/>
      <c r="O495" s="266"/>
      <c r="P495" s="266"/>
      <c r="Q495" s="267"/>
      <c r="R495" s="71"/>
      <c r="S495" s="71"/>
      <c r="T495" s="222"/>
      <c r="U495" s="71"/>
      <c r="V495" s="71"/>
      <c r="W495" s="71"/>
      <c r="X495" s="71"/>
      <c r="Y495" s="71"/>
      <c r="Z495" s="71"/>
      <c r="AA495" s="71"/>
    </row>
    <row r="496" spans="1:27" ht="15.75" customHeight="1">
      <c r="A496" s="71"/>
      <c r="B496" s="263"/>
      <c r="C496" s="264"/>
      <c r="D496" s="71"/>
      <c r="E496" s="71"/>
      <c r="F496" s="265"/>
      <c r="G496" s="263"/>
      <c r="H496" s="71"/>
      <c r="I496" s="265"/>
      <c r="J496" s="71"/>
      <c r="K496" s="266"/>
      <c r="L496" s="266"/>
      <c r="M496" s="266"/>
      <c r="N496" s="266"/>
      <c r="O496" s="266"/>
      <c r="P496" s="266"/>
      <c r="Q496" s="267"/>
      <c r="R496" s="71"/>
      <c r="S496" s="71"/>
      <c r="T496" s="222"/>
      <c r="U496" s="71"/>
      <c r="V496" s="71"/>
      <c r="W496" s="71"/>
      <c r="X496" s="71"/>
      <c r="Y496" s="71"/>
      <c r="Z496" s="71"/>
      <c r="AA496" s="71"/>
    </row>
    <row r="497" spans="1:27" ht="15.75" customHeight="1">
      <c r="A497" s="71"/>
      <c r="B497" s="263"/>
      <c r="C497" s="264"/>
      <c r="D497" s="71"/>
      <c r="E497" s="71"/>
      <c r="F497" s="265"/>
      <c r="G497" s="263"/>
      <c r="H497" s="71"/>
      <c r="I497" s="265"/>
      <c r="J497" s="71"/>
      <c r="K497" s="266"/>
      <c r="L497" s="266"/>
      <c r="M497" s="266"/>
      <c r="N497" s="266"/>
      <c r="O497" s="266"/>
      <c r="P497" s="266"/>
      <c r="Q497" s="267"/>
      <c r="R497" s="71"/>
      <c r="S497" s="71"/>
      <c r="T497" s="222"/>
      <c r="U497" s="71"/>
      <c r="V497" s="71"/>
      <c r="W497" s="71"/>
      <c r="X497" s="71"/>
      <c r="Y497" s="71"/>
      <c r="Z497" s="71"/>
      <c r="AA497" s="71"/>
    </row>
    <row r="498" spans="1:27" ht="15.75" customHeight="1">
      <c r="A498" s="71"/>
      <c r="B498" s="263"/>
      <c r="C498" s="264"/>
      <c r="D498" s="71"/>
      <c r="E498" s="71"/>
      <c r="F498" s="265"/>
      <c r="G498" s="263"/>
      <c r="H498" s="71"/>
      <c r="I498" s="265"/>
      <c r="J498" s="71"/>
      <c r="K498" s="266"/>
      <c r="L498" s="266"/>
      <c r="M498" s="266"/>
      <c r="N498" s="266"/>
      <c r="O498" s="266"/>
      <c r="P498" s="266"/>
      <c r="Q498" s="267"/>
      <c r="R498" s="71"/>
      <c r="S498" s="71"/>
      <c r="T498" s="222"/>
      <c r="U498" s="71"/>
      <c r="V498" s="71"/>
      <c r="W498" s="71"/>
      <c r="X498" s="71"/>
      <c r="Y498" s="71"/>
      <c r="Z498" s="71"/>
      <c r="AA498" s="71"/>
    </row>
    <row r="499" spans="1:27" ht="15.75" customHeight="1">
      <c r="A499" s="71"/>
      <c r="B499" s="263"/>
      <c r="C499" s="264"/>
      <c r="D499" s="71"/>
      <c r="E499" s="71"/>
      <c r="F499" s="265"/>
      <c r="G499" s="263"/>
      <c r="H499" s="71"/>
      <c r="I499" s="265"/>
      <c r="J499" s="71"/>
      <c r="K499" s="266"/>
      <c r="L499" s="266"/>
      <c r="M499" s="266"/>
      <c r="N499" s="266"/>
      <c r="O499" s="266"/>
      <c r="P499" s="266"/>
      <c r="Q499" s="267"/>
      <c r="R499" s="71"/>
      <c r="S499" s="71"/>
      <c r="T499" s="222"/>
      <c r="U499" s="71"/>
      <c r="V499" s="71"/>
      <c r="W499" s="71"/>
      <c r="X499" s="71"/>
      <c r="Y499" s="71"/>
      <c r="Z499" s="71"/>
      <c r="AA499" s="71"/>
    </row>
    <row r="500" spans="1:27" ht="15.75" customHeight="1">
      <c r="A500" s="71"/>
      <c r="B500" s="263"/>
      <c r="C500" s="264"/>
      <c r="D500" s="71"/>
      <c r="E500" s="71"/>
      <c r="F500" s="265"/>
      <c r="G500" s="263"/>
      <c r="H500" s="71"/>
      <c r="I500" s="265"/>
      <c r="J500" s="71"/>
      <c r="K500" s="266"/>
      <c r="L500" s="266"/>
      <c r="M500" s="266"/>
      <c r="N500" s="266"/>
      <c r="O500" s="266"/>
      <c r="P500" s="266"/>
      <c r="Q500" s="267"/>
      <c r="R500" s="71"/>
      <c r="S500" s="71"/>
      <c r="T500" s="222"/>
      <c r="U500" s="71"/>
      <c r="V500" s="71"/>
      <c r="W500" s="71"/>
      <c r="X500" s="71"/>
      <c r="Y500" s="71"/>
      <c r="Z500" s="71"/>
      <c r="AA500" s="71"/>
    </row>
    <row r="501" spans="1:27" ht="15.75" customHeight="1">
      <c r="A501" s="71"/>
      <c r="B501" s="263"/>
      <c r="C501" s="264"/>
      <c r="D501" s="71"/>
      <c r="E501" s="71"/>
      <c r="F501" s="265"/>
      <c r="G501" s="263"/>
      <c r="H501" s="71"/>
      <c r="I501" s="265"/>
      <c r="J501" s="71"/>
      <c r="K501" s="266"/>
      <c r="L501" s="266"/>
      <c r="M501" s="266"/>
      <c r="N501" s="266"/>
      <c r="O501" s="266"/>
      <c r="P501" s="266"/>
      <c r="Q501" s="267"/>
      <c r="R501" s="71"/>
      <c r="S501" s="71"/>
      <c r="T501" s="222"/>
      <c r="U501" s="71"/>
      <c r="V501" s="71"/>
      <c r="W501" s="71"/>
      <c r="X501" s="71"/>
      <c r="Y501" s="71"/>
      <c r="Z501" s="71"/>
      <c r="AA501" s="71"/>
    </row>
    <row r="502" spans="1:27" ht="15.75" customHeight="1">
      <c r="A502" s="71"/>
      <c r="B502" s="263"/>
      <c r="C502" s="264"/>
      <c r="D502" s="71"/>
      <c r="E502" s="71"/>
      <c r="F502" s="265"/>
      <c r="G502" s="263"/>
      <c r="H502" s="71"/>
      <c r="I502" s="265"/>
      <c r="J502" s="71"/>
      <c r="K502" s="266"/>
      <c r="L502" s="266"/>
      <c r="M502" s="266"/>
      <c r="N502" s="266"/>
      <c r="O502" s="266"/>
      <c r="P502" s="266"/>
      <c r="Q502" s="267"/>
      <c r="R502" s="71"/>
      <c r="S502" s="71"/>
      <c r="T502" s="222"/>
      <c r="U502" s="71"/>
      <c r="V502" s="71"/>
      <c r="W502" s="71"/>
      <c r="X502" s="71"/>
      <c r="Y502" s="71"/>
      <c r="Z502" s="71"/>
      <c r="AA502" s="71"/>
    </row>
    <row r="503" spans="1:27" ht="15.75" customHeight="1">
      <c r="A503" s="71"/>
      <c r="B503" s="263"/>
      <c r="C503" s="264"/>
      <c r="D503" s="71"/>
      <c r="E503" s="71"/>
      <c r="F503" s="265"/>
      <c r="G503" s="263"/>
      <c r="H503" s="71"/>
      <c r="I503" s="265"/>
      <c r="J503" s="71"/>
      <c r="K503" s="266"/>
      <c r="L503" s="266"/>
      <c r="M503" s="266"/>
      <c r="N503" s="266"/>
      <c r="O503" s="266"/>
      <c r="P503" s="266"/>
      <c r="Q503" s="267"/>
      <c r="R503" s="71"/>
      <c r="S503" s="71"/>
      <c r="T503" s="222"/>
      <c r="U503" s="71"/>
      <c r="V503" s="71"/>
      <c r="W503" s="71"/>
      <c r="X503" s="71"/>
      <c r="Y503" s="71"/>
      <c r="Z503" s="71"/>
      <c r="AA503" s="71"/>
    </row>
    <row r="504" spans="1:27" ht="15.75" customHeight="1">
      <c r="A504" s="71"/>
      <c r="B504" s="263"/>
      <c r="C504" s="264"/>
      <c r="D504" s="71"/>
      <c r="E504" s="71"/>
      <c r="F504" s="265"/>
      <c r="G504" s="263"/>
      <c r="H504" s="71"/>
      <c r="I504" s="265"/>
      <c r="J504" s="71"/>
      <c r="K504" s="266"/>
      <c r="L504" s="266"/>
      <c r="M504" s="266"/>
      <c r="N504" s="266"/>
      <c r="O504" s="266"/>
      <c r="P504" s="266"/>
      <c r="Q504" s="267"/>
      <c r="R504" s="71"/>
      <c r="S504" s="71"/>
      <c r="T504" s="222"/>
      <c r="U504" s="71"/>
      <c r="V504" s="71"/>
      <c r="W504" s="71"/>
      <c r="X504" s="71"/>
      <c r="Y504" s="71"/>
      <c r="Z504" s="71"/>
      <c r="AA504" s="71"/>
    </row>
    <row r="505" spans="1:27" ht="15.75" customHeight="1">
      <c r="A505" s="71"/>
      <c r="B505" s="263"/>
      <c r="C505" s="264"/>
      <c r="D505" s="71"/>
      <c r="E505" s="71"/>
      <c r="F505" s="265"/>
      <c r="G505" s="263"/>
      <c r="H505" s="71"/>
      <c r="I505" s="265"/>
      <c r="J505" s="71"/>
      <c r="K505" s="266"/>
      <c r="L505" s="266"/>
      <c r="M505" s="266"/>
      <c r="N505" s="266"/>
      <c r="O505" s="266"/>
      <c r="P505" s="266"/>
      <c r="Q505" s="267"/>
      <c r="R505" s="71"/>
      <c r="S505" s="71"/>
      <c r="T505" s="222"/>
      <c r="U505" s="71"/>
      <c r="V505" s="71"/>
      <c r="W505" s="71"/>
      <c r="X505" s="71"/>
      <c r="Y505" s="71"/>
      <c r="Z505" s="71"/>
      <c r="AA505" s="71"/>
    </row>
    <row r="506" spans="1:27" ht="15.75" customHeight="1">
      <c r="A506" s="71"/>
      <c r="B506" s="263"/>
      <c r="C506" s="264"/>
      <c r="D506" s="71"/>
      <c r="E506" s="71"/>
      <c r="F506" s="265"/>
      <c r="G506" s="263"/>
      <c r="H506" s="71"/>
      <c r="I506" s="265"/>
      <c r="J506" s="71"/>
      <c r="K506" s="266"/>
      <c r="L506" s="266"/>
      <c r="M506" s="266"/>
      <c r="N506" s="266"/>
      <c r="O506" s="266"/>
      <c r="P506" s="266"/>
      <c r="Q506" s="267"/>
      <c r="R506" s="71"/>
      <c r="S506" s="71"/>
      <c r="T506" s="222"/>
      <c r="U506" s="71"/>
      <c r="V506" s="71"/>
      <c r="W506" s="71"/>
      <c r="X506" s="71"/>
      <c r="Y506" s="71"/>
      <c r="Z506" s="71"/>
      <c r="AA506" s="71"/>
    </row>
    <row r="507" spans="1:27" ht="15.75" customHeight="1">
      <c r="A507" s="71"/>
      <c r="B507" s="263"/>
      <c r="C507" s="264"/>
      <c r="D507" s="71"/>
      <c r="E507" s="71"/>
      <c r="F507" s="265"/>
      <c r="G507" s="263"/>
      <c r="H507" s="71"/>
      <c r="I507" s="265"/>
      <c r="J507" s="71"/>
      <c r="K507" s="266"/>
      <c r="L507" s="266"/>
      <c r="M507" s="266"/>
      <c r="N507" s="266"/>
      <c r="O507" s="266"/>
      <c r="P507" s="266"/>
      <c r="Q507" s="267"/>
      <c r="R507" s="71"/>
      <c r="S507" s="71"/>
      <c r="T507" s="222"/>
      <c r="U507" s="71"/>
      <c r="V507" s="71"/>
      <c r="W507" s="71"/>
      <c r="X507" s="71"/>
      <c r="Y507" s="71"/>
      <c r="Z507" s="71"/>
      <c r="AA507" s="71"/>
    </row>
    <row r="508" spans="1:27" ht="15.75" customHeight="1">
      <c r="A508" s="71"/>
      <c r="B508" s="263"/>
      <c r="C508" s="264"/>
      <c r="D508" s="71"/>
      <c r="E508" s="71"/>
      <c r="F508" s="265"/>
      <c r="G508" s="263"/>
      <c r="H508" s="71"/>
      <c r="I508" s="265"/>
      <c r="J508" s="71"/>
      <c r="K508" s="266"/>
      <c r="L508" s="266"/>
      <c r="M508" s="266"/>
      <c r="N508" s="266"/>
      <c r="O508" s="266"/>
      <c r="P508" s="266"/>
      <c r="Q508" s="267"/>
      <c r="R508" s="71"/>
      <c r="S508" s="71"/>
      <c r="T508" s="222"/>
      <c r="U508" s="71"/>
      <c r="V508" s="71"/>
      <c r="W508" s="71"/>
      <c r="X508" s="71"/>
      <c r="Y508" s="71"/>
      <c r="Z508" s="71"/>
      <c r="AA508" s="71"/>
    </row>
    <row r="509" spans="1:27" ht="15.75" customHeight="1">
      <c r="A509" s="71"/>
      <c r="B509" s="263"/>
      <c r="C509" s="264"/>
      <c r="D509" s="71"/>
      <c r="E509" s="71"/>
      <c r="F509" s="265"/>
      <c r="G509" s="263"/>
      <c r="H509" s="71"/>
      <c r="I509" s="265"/>
      <c r="J509" s="71"/>
      <c r="K509" s="266"/>
      <c r="L509" s="266"/>
      <c r="M509" s="266"/>
      <c r="N509" s="266"/>
      <c r="O509" s="266"/>
      <c r="P509" s="266"/>
      <c r="Q509" s="267"/>
      <c r="R509" s="71"/>
      <c r="S509" s="71"/>
      <c r="T509" s="222"/>
      <c r="U509" s="71"/>
      <c r="V509" s="71"/>
      <c r="W509" s="71"/>
      <c r="X509" s="71"/>
      <c r="Y509" s="71"/>
      <c r="Z509" s="71"/>
      <c r="AA509" s="71"/>
    </row>
    <row r="510" spans="1:27" ht="15.75" customHeight="1">
      <c r="A510" s="71"/>
      <c r="B510" s="263"/>
      <c r="C510" s="264"/>
      <c r="D510" s="71"/>
      <c r="E510" s="71"/>
      <c r="F510" s="265"/>
      <c r="G510" s="263"/>
      <c r="H510" s="71"/>
      <c r="I510" s="265"/>
      <c r="J510" s="71"/>
      <c r="K510" s="266"/>
      <c r="L510" s="266"/>
      <c r="M510" s="266"/>
      <c r="N510" s="266"/>
      <c r="O510" s="266"/>
      <c r="P510" s="266"/>
      <c r="Q510" s="267"/>
      <c r="R510" s="71"/>
      <c r="S510" s="71"/>
      <c r="T510" s="222"/>
      <c r="U510" s="71"/>
      <c r="V510" s="71"/>
      <c r="W510" s="71"/>
      <c r="X510" s="71"/>
      <c r="Y510" s="71"/>
      <c r="Z510" s="71"/>
      <c r="AA510" s="71"/>
    </row>
    <row r="511" spans="1:27" ht="15.75" customHeight="1">
      <c r="A511" s="71"/>
      <c r="B511" s="263"/>
      <c r="C511" s="264"/>
      <c r="D511" s="71"/>
      <c r="E511" s="71"/>
      <c r="F511" s="265"/>
      <c r="G511" s="263"/>
      <c r="H511" s="71"/>
      <c r="I511" s="265"/>
      <c r="J511" s="71"/>
      <c r="K511" s="266"/>
      <c r="L511" s="266"/>
      <c r="M511" s="266"/>
      <c r="N511" s="266"/>
      <c r="O511" s="266"/>
      <c r="P511" s="266"/>
      <c r="Q511" s="267"/>
      <c r="R511" s="71"/>
      <c r="S511" s="71"/>
      <c r="T511" s="222"/>
      <c r="U511" s="71"/>
      <c r="V511" s="71"/>
      <c r="W511" s="71"/>
      <c r="X511" s="71"/>
      <c r="Y511" s="71"/>
      <c r="Z511" s="71"/>
      <c r="AA511" s="71"/>
    </row>
    <row r="512" spans="1:27" ht="15.75" customHeight="1">
      <c r="A512" s="71"/>
      <c r="B512" s="263"/>
      <c r="C512" s="264"/>
      <c r="D512" s="71"/>
      <c r="E512" s="71"/>
      <c r="F512" s="265"/>
      <c r="G512" s="263"/>
      <c r="H512" s="71"/>
      <c r="I512" s="265"/>
      <c r="J512" s="71"/>
      <c r="K512" s="266"/>
      <c r="L512" s="266"/>
      <c r="M512" s="266"/>
      <c r="N512" s="266"/>
      <c r="O512" s="266"/>
      <c r="P512" s="266"/>
      <c r="Q512" s="267"/>
      <c r="R512" s="71"/>
      <c r="S512" s="71"/>
      <c r="T512" s="222"/>
      <c r="U512" s="71"/>
      <c r="V512" s="71"/>
      <c r="W512" s="71"/>
      <c r="X512" s="71"/>
      <c r="Y512" s="71"/>
      <c r="Z512" s="71"/>
      <c r="AA512" s="71"/>
    </row>
    <row r="513" spans="1:27" ht="15.75" customHeight="1">
      <c r="A513" s="71"/>
      <c r="B513" s="263"/>
      <c r="C513" s="264"/>
      <c r="D513" s="71"/>
      <c r="E513" s="71"/>
      <c r="F513" s="265"/>
      <c r="G513" s="263"/>
      <c r="H513" s="71"/>
      <c r="I513" s="265"/>
      <c r="J513" s="71"/>
      <c r="K513" s="266"/>
      <c r="L513" s="266"/>
      <c r="M513" s="266"/>
      <c r="N513" s="266"/>
      <c r="O513" s="266"/>
      <c r="P513" s="266"/>
      <c r="Q513" s="267"/>
      <c r="R513" s="71"/>
      <c r="S513" s="71"/>
      <c r="T513" s="222"/>
      <c r="U513" s="71"/>
      <c r="V513" s="71"/>
      <c r="W513" s="71"/>
      <c r="X513" s="71"/>
      <c r="Y513" s="71"/>
      <c r="Z513" s="71"/>
      <c r="AA513" s="71"/>
    </row>
    <row r="514" spans="1:27" ht="15.75" customHeight="1">
      <c r="A514" s="71"/>
      <c r="B514" s="263"/>
      <c r="C514" s="264"/>
      <c r="D514" s="71"/>
      <c r="E514" s="71"/>
      <c r="F514" s="265"/>
      <c r="G514" s="263"/>
      <c r="H514" s="71"/>
      <c r="I514" s="265"/>
      <c r="J514" s="71"/>
      <c r="K514" s="266"/>
      <c r="L514" s="266"/>
      <c r="M514" s="266"/>
      <c r="N514" s="266"/>
      <c r="O514" s="266"/>
      <c r="P514" s="266"/>
      <c r="Q514" s="267"/>
      <c r="R514" s="71"/>
      <c r="S514" s="71"/>
      <c r="T514" s="222"/>
      <c r="U514" s="71"/>
      <c r="V514" s="71"/>
      <c r="W514" s="71"/>
      <c r="X514" s="71"/>
      <c r="Y514" s="71"/>
      <c r="Z514" s="71"/>
      <c r="AA514" s="71"/>
    </row>
    <row r="515" spans="1:27" ht="15.75" customHeight="1">
      <c r="A515" s="71"/>
      <c r="B515" s="263"/>
      <c r="C515" s="264"/>
      <c r="D515" s="71"/>
      <c r="E515" s="71"/>
      <c r="F515" s="265"/>
      <c r="G515" s="263"/>
      <c r="H515" s="71"/>
      <c r="I515" s="265"/>
      <c r="J515" s="71"/>
      <c r="K515" s="266"/>
      <c r="L515" s="266"/>
      <c r="M515" s="266"/>
      <c r="N515" s="266"/>
      <c r="O515" s="266"/>
      <c r="P515" s="266"/>
      <c r="Q515" s="267"/>
      <c r="R515" s="71"/>
      <c r="S515" s="71"/>
      <c r="T515" s="222"/>
      <c r="U515" s="71"/>
      <c r="V515" s="71"/>
      <c r="W515" s="71"/>
      <c r="X515" s="71"/>
      <c r="Y515" s="71"/>
      <c r="Z515" s="71"/>
      <c r="AA515" s="71"/>
    </row>
    <row r="516" spans="1:27" ht="15.75" customHeight="1">
      <c r="A516" s="71"/>
      <c r="B516" s="263"/>
      <c r="C516" s="264"/>
      <c r="D516" s="71"/>
      <c r="E516" s="71"/>
      <c r="F516" s="265"/>
      <c r="G516" s="263"/>
      <c r="H516" s="71"/>
      <c r="I516" s="265"/>
      <c r="J516" s="71"/>
      <c r="K516" s="266"/>
      <c r="L516" s="266"/>
      <c r="M516" s="266"/>
      <c r="N516" s="266"/>
      <c r="O516" s="266"/>
      <c r="P516" s="266"/>
      <c r="Q516" s="267"/>
      <c r="R516" s="71"/>
      <c r="S516" s="71"/>
      <c r="T516" s="222"/>
      <c r="U516" s="71"/>
      <c r="V516" s="71"/>
      <c r="W516" s="71"/>
      <c r="X516" s="71"/>
      <c r="Y516" s="71"/>
      <c r="Z516" s="71"/>
      <c r="AA516" s="71"/>
    </row>
    <row r="517" spans="1:27" ht="15.75" customHeight="1">
      <c r="A517" s="71"/>
      <c r="B517" s="263"/>
      <c r="C517" s="264"/>
      <c r="D517" s="71"/>
      <c r="E517" s="71"/>
      <c r="F517" s="265"/>
      <c r="G517" s="263"/>
      <c r="H517" s="71"/>
      <c r="I517" s="265"/>
      <c r="J517" s="71"/>
      <c r="K517" s="266"/>
      <c r="L517" s="266"/>
      <c r="M517" s="266"/>
      <c r="N517" s="266"/>
      <c r="O517" s="266"/>
      <c r="P517" s="266"/>
      <c r="Q517" s="267"/>
      <c r="R517" s="71"/>
      <c r="S517" s="71"/>
      <c r="T517" s="222"/>
      <c r="U517" s="71"/>
      <c r="V517" s="71"/>
      <c r="W517" s="71"/>
      <c r="X517" s="71"/>
      <c r="Y517" s="71"/>
      <c r="Z517" s="71"/>
      <c r="AA517" s="71"/>
    </row>
    <row r="518" spans="1:27" ht="15.75" customHeight="1">
      <c r="A518" s="71"/>
      <c r="B518" s="263"/>
      <c r="C518" s="264"/>
      <c r="D518" s="71"/>
      <c r="E518" s="71"/>
      <c r="F518" s="265"/>
      <c r="G518" s="263"/>
      <c r="H518" s="71"/>
      <c r="I518" s="265"/>
      <c r="J518" s="71"/>
      <c r="K518" s="266"/>
      <c r="L518" s="266"/>
      <c r="M518" s="266"/>
      <c r="N518" s="266"/>
      <c r="O518" s="266"/>
      <c r="P518" s="266"/>
      <c r="Q518" s="267"/>
      <c r="R518" s="71"/>
      <c r="S518" s="71"/>
      <c r="T518" s="222"/>
      <c r="U518" s="71"/>
      <c r="V518" s="71"/>
      <c r="W518" s="71"/>
      <c r="X518" s="71"/>
      <c r="Y518" s="71"/>
      <c r="Z518" s="71"/>
      <c r="AA518" s="71"/>
    </row>
    <row r="519" spans="1:27" ht="15.75" customHeight="1">
      <c r="A519" s="71"/>
      <c r="B519" s="263"/>
      <c r="C519" s="264"/>
      <c r="D519" s="71"/>
      <c r="E519" s="71"/>
      <c r="F519" s="265"/>
      <c r="G519" s="263"/>
      <c r="H519" s="71"/>
      <c r="I519" s="265"/>
      <c r="J519" s="71"/>
      <c r="K519" s="266"/>
      <c r="L519" s="266"/>
      <c r="M519" s="266"/>
      <c r="N519" s="266"/>
      <c r="O519" s="266"/>
      <c r="P519" s="266"/>
      <c r="Q519" s="267"/>
      <c r="R519" s="71"/>
      <c r="S519" s="71"/>
      <c r="T519" s="222"/>
      <c r="U519" s="71"/>
      <c r="V519" s="71"/>
      <c r="W519" s="71"/>
      <c r="X519" s="71"/>
      <c r="Y519" s="71"/>
      <c r="Z519" s="71"/>
      <c r="AA519" s="71"/>
    </row>
    <row r="520" spans="1:27" ht="15.75" customHeight="1">
      <c r="A520" s="71"/>
      <c r="B520" s="263"/>
      <c r="C520" s="264"/>
      <c r="D520" s="71"/>
      <c r="E520" s="71"/>
      <c r="F520" s="265"/>
      <c r="G520" s="263"/>
      <c r="H520" s="71"/>
      <c r="I520" s="265"/>
      <c r="J520" s="71"/>
      <c r="K520" s="266"/>
      <c r="L520" s="266"/>
      <c r="M520" s="266"/>
      <c r="N520" s="266"/>
      <c r="O520" s="266"/>
      <c r="P520" s="266"/>
      <c r="Q520" s="267"/>
      <c r="R520" s="71"/>
      <c r="S520" s="71"/>
      <c r="T520" s="222"/>
      <c r="U520" s="71"/>
      <c r="V520" s="71"/>
      <c r="W520" s="71"/>
      <c r="X520" s="71"/>
      <c r="Y520" s="71"/>
      <c r="Z520" s="71"/>
      <c r="AA520" s="71"/>
    </row>
    <row r="521" spans="1:27" ht="15.75" customHeight="1">
      <c r="A521" s="71"/>
      <c r="B521" s="263"/>
      <c r="C521" s="264"/>
      <c r="D521" s="71"/>
      <c r="E521" s="71"/>
      <c r="F521" s="265"/>
      <c r="G521" s="263"/>
      <c r="H521" s="71"/>
      <c r="I521" s="265"/>
      <c r="J521" s="71"/>
      <c r="K521" s="266"/>
      <c r="L521" s="266"/>
      <c r="M521" s="266"/>
      <c r="N521" s="266"/>
      <c r="O521" s="266"/>
      <c r="P521" s="266"/>
      <c r="Q521" s="267"/>
      <c r="R521" s="71"/>
      <c r="S521" s="71"/>
      <c r="T521" s="222"/>
      <c r="U521" s="71"/>
      <c r="V521" s="71"/>
      <c r="W521" s="71"/>
      <c r="X521" s="71"/>
      <c r="Y521" s="71"/>
      <c r="Z521" s="71"/>
      <c r="AA521" s="71"/>
    </row>
    <row r="522" spans="1:27" ht="15.75" customHeight="1">
      <c r="A522" s="71"/>
      <c r="B522" s="263"/>
      <c r="C522" s="264"/>
      <c r="D522" s="71"/>
      <c r="E522" s="71"/>
      <c r="F522" s="265"/>
      <c r="G522" s="263"/>
      <c r="H522" s="71"/>
      <c r="I522" s="265"/>
      <c r="J522" s="71"/>
      <c r="K522" s="266"/>
      <c r="L522" s="266"/>
      <c r="M522" s="266"/>
      <c r="N522" s="266"/>
      <c r="O522" s="266"/>
      <c r="P522" s="266"/>
      <c r="Q522" s="267"/>
      <c r="R522" s="71"/>
      <c r="S522" s="71"/>
      <c r="T522" s="222"/>
      <c r="U522" s="71"/>
      <c r="V522" s="71"/>
      <c r="W522" s="71"/>
      <c r="X522" s="71"/>
      <c r="Y522" s="71"/>
      <c r="Z522" s="71"/>
      <c r="AA522" s="71"/>
    </row>
    <row r="523" spans="1:27" ht="15.75" customHeight="1">
      <c r="A523" s="71"/>
      <c r="B523" s="263"/>
      <c r="C523" s="264"/>
      <c r="D523" s="71"/>
      <c r="E523" s="71"/>
      <c r="F523" s="265"/>
      <c r="G523" s="263"/>
      <c r="H523" s="71"/>
      <c r="I523" s="265"/>
      <c r="J523" s="71"/>
      <c r="K523" s="266"/>
      <c r="L523" s="266"/>
      <c r="M523" s="266"/>
      <c r="N523" s="266"/>
      <c r="O523" s="266"/>
      <c r="P523" s="266"/>
      <c r="Q523" s="267"/>
      <c r="R523" s="71"/>
      <c r="S523" s="71"/>
      <c r="T523" s="222"/>
      <c r="U523" s="71"/>
      <c r="V523" s="71"/>
      <c r="W523" s="71"/>
      <c r="X523" s="71"/>
      <c r="Y523" s="71"/>
      <c r="Z523" s="71"/>
      <c r="AA523" s="71"/>
    </row>
    <row r="524" spans="1:27" ht="15.75" customHeight="1">
      <c r="A524" s="71"/>
      <c r="B524" s="263"/>
      <c r="C524" s="264"/>
      <c r="D524" s="71"/>
      <c r="E524" s="71"/>
      <c r="F524" s="265"/>
      <c r="G524" s="263"/>
      <c r="H524" s="71"/>
      <c r="I524" s="265"/>
      <c r="J524" s="71"/>
      <c r="K524" s="266"/>
      <c r="L524" s="266"/>
      <c r="M524" s="266"/>
      <c r="N524" s="266"/>
      <c r="O524" s="266"/>
      <c r="P524" s="266"/>
      <c r="Q524" s="267"/>
      <c r="R524" s="71"/>
      <c r="S524" s="71"/>
      <c r="T524" s="222"/>
      <c r="U524" s="71"/>
      <c r="V524" s="71"/>
      <c r="W524" s="71"/>
      <c r="X524" s="71"/>
      <c r="Y524" s="71"/>
      <c r="Z524" s="71"/>
      <c r="AA524" s="71"/>
    </row>
    <row r="525" spans="1:27" ht="15.75" customHeight="1">
      <c r="A525" s="71"/>
      <c r="B525" s="263"/>
      <c r="C525" s="264"/>
      <c r="D525" s="71"/>
      <c r="E525" s="71"/>
      <c r="F525" s="265"/>
      <c r="G525" s="263"/>
      <c r="H525" s="71"/>
      <c r="I525" s="265"/>
      <c r="J525" s="71"/>
      <c r="K525" s="266"/>
      <c r="L525" s="266"/>
      <c r="M525" s="266"/>
      <c r="N525" s="266"/>
      <c r="O525" s="266"/>
      <c r="P525" s="266"/>
      <c r="Q525" s="267"/>
      <c r="R525" s="71"/>
      <c r="S525" s="71"/>
      <c r="T525" s="222"/>
      <c r="U525" s="71"/>
      <c r="V525" s="71"/>
      <c r="W525" s="71"/>
      <c r="X525" s="71"/>
      <c r="Y525" s="71"/>
      <c r="Z525" s="71"/>
      <c r="AA525" s="71"/>
    </row>
    <row r="526" spans="1:27" ht="15.75" customHeight="1">
      <c r="A526" s="71"/>
      <c r="B526" s="263"/>
      <c r="C526" s="264"/>
      <c r="D526" s="71"/>
      <c r="E526" s="71"/>
      <c r="F526" s="265"/>
      <c r="G526" s="263"/>
      <c r="H526" s="71"/>
      <c r="I526" s="265"/>
      <c r="J526" s="71"/>
      <c r="K526" s="266"/>
      <c r="L526" s="266"/>
      <c r="M526" s="266"/>
      <c r="N526" s="266"/>
      <c r="O526" s="266"/>
      <c r="P526" s="266"/>
      <c r="Q526" s="267"/>
      <c r="R526" s="71"/>
      <c r="S526" s="71"/>
      <c r="T526" s="222"/>
      <c r="U526" s="71"/>
      <c r="V526" s="71"/>
      <c r="W526" s="71"/>
      <c r="X526" s="71"/>
      <c r="Y526" s="71"/>
      <c r="Z526" s="71"/>
      <c r="AA526" s="71"/>
    </row>
    <row r="527" spans="1:27" ht="15.75" customHeight="1">
      <c r="A527" s="71"/>
      <c r="B527" s="263"/>
      <c r="C527" s="264"/>
      <c r="D527" s="71"/>
      <c r="E527" s="71"/>
      <c r="F527" s="265"/>
      <c r="G527" s="263"/>
      <c r="H527" s="71"/>
      <c r="I527" s="265"/>
      <c r="J527" s="71"/>
      <c r="K527" s="266"/>
      <c r="L527" s="266"/>
      <c r="M527" s="266"/>
      <c r="N527" s="266"/>
      <c r="O527" s="266"/>
      <c r="P527" s="266"/>
      <c r="Q527" s="267"/>
      <c r="R527" s="71"/>
      <c r="S527" s="71"/>
      <c r="T527" s="222"/>
      <c r="U527" s="71"/>
      <c r="V527" s="71"/>
      <c r="W527" s="71"/>
      <c r="X527" s="71"/>
      <c r="Y527" s="71"/>
      <c r="Z527" s="71"/>
      <c r="AA527" s="71"/>
    </row>
    <row r="528" spans="1:27" ht="15.75" customHeight="1">
      <c r="A528" s="71"/>
      <c r="B528" s="263"/>
      <c r="C528" s="264"/>
      <c r="D528" s="71"/>
      <c r="E528" s="71"/>
      <c r="F528" s="265"/>
      <c r="G528" s="263"/>
      <c r="H528" s="71"/>
      <c r="I528" s="265"/>
      <c r="J528" s="71"/>
      <c r="K528" s="266"/>
      <c r="L528" s="266"/>
      <c r="M528" s="266"/>
      <c r="N528" s="266"/>
      <c r="O528" s="266"/>
      <c r="P528" s="266"/>
      <c r="Q528" s="267"/>
      <c r="R528" s="71"/>
      <c r="S528" s="71"/>
      <c r="T528" s="222"/>
      <c r="U528" s="71"/>
      <c r="V528" s="71"/>
      <c r="W528" s="71"/>
      <c r="X528" s="71"/>
      <c r="Y528" s="71"/>
      <c r="Z528" s="71"/>
      <c r="AA528" s="71"/>
    </row>
    <row r="529" spans="1:27" ht="15.75" customHeight="1">
      <c r="A529" s="71"/>
      <c r="B529" s="263"/>
      <c r="C529" s="264"/>
      <c r="D529" s="71"/>
      <c r="E529" s="71"/>
      <c r="F529" s="265"/>
      <c r="G529" s="263"/>
      <c r="H529" s="71"/>
      <c r="I529" s="265"/>
      <c r="J529" s="71"/>
      <c r="K529" s="266"/>
      <c r="L529" s="266"/>
      <c r="M529" s="266"/>
      <c r="N529" s="266"/>
      <c r="O529" s="266"/>
      <c r="P529" s="266"/>
      <c r="Q529" s="267"/>
      <c r="R529" s="71"/>
      <c r="S529" s="71"/>
      <c r="T529" s="222"/>
      <c r="U529" s="71"/>
      <c r="V529" s="71"/>
      <c r="W529" s="71"/>
      <c r="X529" s="71"/>
      <c r="Y529" s="71"/>
      <c r="Z529" s="71"/>
      <c r="AA529" s="71"/>
    </row>
    <row r="530" spans="1:27" ht="15.75" customHeight="1">
      <c r="A530" s="71"/>
      <c r="B530" s="263"/>
      <c r="C530" s="264"/>
      <c r="D530" s="71"/>
      <c r="E530" s="71"/>
      <c r="F530" s="265"/>
      <c r="G530" s="263"/>
      <c r="H530" s="71"/>
      <c r="I530" s="265"/>
      <c r="J530" s="71"/>
      <c r="K530" s="266"/>
      <c r="L530" s="266"/>
      <c r="M530" s="266"/>
      <c r="N530" s="266"/>
      <c r="O530" s="266"/>
      <c r="P530" s="266"/>
      <c r="Q530" s="267"/>
      <c r="R530" s="71"/>
      <c r="S530" s="71"/>
      <c r="T530" s="222"/>
      <c r="U530" s="71"/>
      <c r="V530" s="71"/>
      <c r="W530" s="71"/>
      <c r="X530" s="71"/>
      <c r="Y530" s="71"/>
      <c r="Z530" s="71"/>
      <c r="AA530" s="71"/>
    </row>
    <row r="531" spans="1:27" ht="15.75" customHeight="1">
      <c r="A531" s="71"/>
      <c r="B531" s="263"/>
      <c r="C531" s="264"/>
      <c r="D531" s="71"/>
      <c r="E531" s="71"/>
      <c r="F531" s="265"/>
      <c r="G531" s="263"/>
      <c r="H531" s="71"/>
      <c r="I531" s="265"/>
      <c r="J531" s="71"/>
      <c r="K531" s="266"/>
      <c r="L531" s="266"/>
      <c r="M531" s="266"/>
      <c r="N531" s="266"/>
      <c r="O531" s="266"/>
      <c r="P531" s="266"/>
      <c r="Q531" s="267"/>
      <c r="R531" s="71"/>
      <c r="S531" s="71"/>
      <c r="T531" s="222"/>
      <c r="U531" s="71"/>
      <c r="V531" s="71"/>
      <c r="W531" s="71"/>
      <c r="X531" s="71"/>
      <c r="Y531" s="71"/>
      <c r="Z531" s="71"/>
      <c r="AA531" s="71"/>
    </row>
    <row r="532" spans="1:27" ht="15.75" customHeight="1">
      <c r="A532" s="71"/>
      <c r="B532" s="263"/>
      <c r="C532" s="264"/>
      <c r="D532" s="71"/>
      <c r="E532" s="71"/>
      <c r="F532" s="265"/>
      <c r="G532" s="263"/>
      <c r="H532" s="71"/>
      <c r="I532" s="265"/>
      <c r="J532" s="71"/>
      <c r="K532" s="266"/>
      <c r="L532" s="266"/>
      <c r="M532" s="266"/>
      <c r="N532" s="266"/>
      <c r="O532" s="266"/>
      <c r="P532" s="266"/>
      <c r="Q532" s="267"/>
      <c r="R532" s="71"/>
      <c r="S532" s="71"/>
      <c r="T532" s="222"/>
      <c r="U532" s="71"/>
      <c r="V532" s="71"/>
      <c r="W532" s="71"/>
      <c r="X532" s="71"/>
      <c r="Y532" s="71"/>
      <c r="Z532" s="71"/>
      <c r="AA532" s="71"/>
    </row>
    <row r="533" spans="1:27" ht="15.75" customHeight="1">
      <c r="A533" s="71"/>
      <c r="B533" s="263"/>
      <c r="C533" s="264"/>
      <c r="D533" s="71"/>
      <c r="E533" s="71"/>
      <c r="F533" s="265"/>
      <c r="G533" s="263"/>
      <c r="H533" s="71"/>
      <c r="I533" s="265"/>
      <c r="J533" s="71"/>
      <c r="K533" s="266"/>
      <c r="L533" s="266"/>
      <c r="M533" s="266"/>
      <c r="N533" s="266"/>
      <c r="O533" s="266"/>
      <c r="P533" s="266"/>
      <c r="Q533" s="267"/>
      <c r="R533" s="71"/>
      <c r="S533" s="71"/>
      <c r="T533" s="222"/>
      <c r="U533" s="71"/>
      <c r="V533" s="71"/>
      <c r="W533" s="71"/>
      <c r="X533" s="71"/>
      <c r="Y533" s="71"/>
      <c r="Z533" s="71"/>
      <c r="AA533" s="71"/>
    </row>
    <row r="534" spans="1:27" ht="15.75" customHeight="1">
      <c r="A534" s="71"/>
      <c r="B534" s="263"/>
      <c r="C534" s="264"/>
      <c r="D534" s="71"/>
      <c r="E534" s="71"/>
      <c r="F534" s="265"/>
      <c r="G534" s="263"/>
      <c r="H534" s="71"/>
      <c r="I534" s="265"/>
      <c r="J534" s="71"/>
      <c r="K534" s="266"/>
      <c r="L534" s="266"/>
      <c r="M534" s="266"/>
      <c r="N534" s="266"/>
      <c r="O534" s="266"/>
      <c r="P534" s="266"/>
      <c r="Q534" s="267"/>
      <c r="R534" s="71"/>
      <c r="S534" s="71"/>
      <c r="T534" s="222"/>
      <c r="U534" s="71"/>
      <c r="V534" s="71"/>
      <c r="W534" s="71"/>
      <c r="X534" s="71"/>
      <c r="Y534" s="71"/>
      <c r="Z534" s="71"/>
      <c r="AA534" s="71"/>
    </row>
    <row r="535" spans="1:27" ht="15.75" customHeight="1">
      <c r="A535" s="71"/>
      <c r="B535" s="263"/>
      <c r="C535" s="264"/>
      <c r="D535" s="71"/>
      <c r="E535" s="71"/>
      <c r="F535" s="265"/>
      <c r="G535" s="263"/>
      <c r="H535" s="71"/>
      <c r="I535" s="265"/>
      <c r="J535" s="71"/>
      <c r="K535" s="266"/>
      <c r="L535" s="266"/>
      <c r="M535" s="266"/>
      <c r="N535" s="266"/>
      <c r="O535" s="266"/>
      <c r="P535" s="266"/>
      <c r="Q535" s="267"/>
      <c r="R535" s="71"/>
      <c r="S535" s="71"/>
      <c r="T535" s="222"/>
      <c r="U535" s="71"/>
      <c r="V535" s="71"/>
      <c r="W535" s="71"/>
      <c r="X535" s="71"/>
      <c r="Y535" s="71"/>
      <c r="Z535" s="71"/>
      <c r="AA535" s="71"/>
    </row>
    <row r="536" spans="1:27" ht="15.75" customHeight="1">
      <c r="A536" s="71"/>
      <c r="B536" s="263"/>
      <c r="C536" s="264"/>
      <c r="D536" s="71"/>
      <c r="E536" s="71"/>
      <c r="F536" s="265"/>
      <c r="G536" s="263"/>
      <c r="H536" s="71"/>
      <c r="I536" s="265"/>
      <c r="J536" s="71"/>
      <c r="K536" s="266"/>
      <c r="L536" s="266"/>
      <c r="M536" s="266"/>
      <c r="N536" s="266"/>
      <c r="O536" s="266"/>
      <c r="P536" s="266"/>
      <c r="Q536" s="267"/>
      <c r="R536" s="71"/>
      <c r="S536" s="71"/>
      <c r="T536" s="222"/>
      <c r="U536" s="71"/>
      <c r="V536" s="71"/>
      <c r="W536" s="71"/>
      <c r="X536" s="71"/>
      <c r="Y536" s="71"/>
      <c r="Z536" s="71"/>
      <c r="AA536" s="71"/>
    </row>
    <row r="537" spans="1:27" ht="15.75" customHeight="1">
      <c r="A537" s="71"/>
      <c r="B537" s="263"/>
      <c r="C537" s="264"/>
      <c r="D537" s="71"/>
      <c r="E537" s="71"/>
      <c r="F537" s="265"/>
      <c r="G537" s="263"/>
      <c r="H537" s="71"/>
      <c r="I537" s="265"/>
      <c r="J537" s="71"/>
      <c r="K537" s="266"/>
      <c r="L537" s="266"/>
      <c r="M537" s="266"/>
      <c r="N537" s="266"/>
      <c r="O537" s="266"/>
      <c r="P537" s="266"/>
      <c r="Q537" s="267"/>
      <c r="R537" s="71"/>
      <c r="S537" s="71"/>
      <c r="T537" s="222"/>
      <c r="U537" s="71"/>
      <c r="V537" s="71"/>
      <c r="W537" s="71"/>
      <c r="X537" s="71"/>
      <c r="Y537" s="71"/>
      <c r="Z537" s="71"/>
      <c r="AA537" s="71"/>
    </row>
    <row r="538" spans="1:27" ht="15.75" customHeight="1">
      <c r="A538" s="71"/>
      <c r="B538" s="263"/>
      <c r="C538" s="264"/>
      <c r="D538" s="71"/>
      <c r="E538" s="71"/>
      <c r="F538" s="265"/>
      <c r="G538" s="263"/>
      <c r="H538" s="71"/>
      <c r="I538" s="265"/>
      <c r="J538" s="71"/>
      <c r="K538" s="266"/>
      <c r="L538" s="266"/>
      <c r="M538" s="266"/>
      <c r="N538" s="266"/>
      <c r="O538" s="266"/>
      <c r="P538" s="266"/>
      <c r="Q538" s="267"/>
      <c r="R538" s="71"/>
      <c r="S538" s="71"/>
      <c r="T538" s="222"/>
      <c r="U538" s="71"/>
      <c r="V538" s="71"/>
      <c r="W538" s="71"/>
      <c r="X538" s="71"/>
      <c r="Y538" s="71"/>
      <c r="Z538" s="71"/>
      <c r="AA538" s="71"/>
    </row>
    <row r="539" spans="1:27" ht="15.75" customHeight="1">
      <c r="A539" s="71"/>
      <c r="B539" s="263"/>
      <c r="C539" s="264"/>
      <c r="D539" s="71"/>
      <c r="E539" s="71"/>
      <c r="F539" s="265"/>
      <c r="G539" s="263"/>
      <c r="H539" s="71"/>
      <c r="I539" s="265"/>
      <c r="J539" s="71"/>
      <c r="K539" s="266"/>
      <c r="L539" s="266"/>
      <c r="M539" s="266"/>
      <c r="N539" s="266"/>
      <c r="O539" s="266"/>
      <c r="P539" s="266"/>
      <c r="Q539" s="267"/>
      <c r="R539" s="71"/>
      <c r="S539" s="71"/>
      <c r="T539" s="222"/>
      <c r="U539" s="71"/>
      <c r="V539" s="71"/>
      <c r="W539" s="71"/>
      <c r="X539" s="71"/>
      <c r="Y539" s="71"/>
      <c r="Z539" s="71"/>
      <c r="AA539" s="71"/>
    </row>
    <row r="540" spans="1:27" ht="15.75" customHeight="1">
      <c r="A540" s="71"/>
      <c r="B540" s="263"/>
      <c r="C540" s="264"/>
      <c r="D540" s="71"/>
      <c r="E540" s="71"/>
      <c r="F540" s="265"/>
      <c r="G540" s="263"/>
      <c r="H540" s="71"/>
      <c r="I540" s="265"/>
      <c r="J540" s="71"/>
      <c r="K540" s="266"/>
      <c r="L540" s="266"/>
      <c r="M540" s="266"/>
      <c r="N540" s="266"/>
      <c r="O540" s="266"/>
      <c r="P540" s="266"/>
      <c r="Q540" s="267"/>
      <c r="R540" s="71"/>
      <c r="S540" s="71"/>
      <c r="T540" s="222"/>
      <c r="U540" s="71"/>
      <c r="V540" s="71"/>
      <c r="W540" s="71"/>
      <c r="X540" s="71"/>
      <c r="Y540" s="71"/>
      <c r="Z540" s="71"/>
      <c r="AA540" s="71"/>
    </row>
    <row r="541" spans="1:27" ht="15.75" customHeight="1">
      <c r="A541" s="71"/>
      <c r="B541" s="263"/>
      <c r="C541" s="264"/>
      <c r="D541" s="71"/>
      <c r="E541" s="71"/>
      <c r="F541" s="265"/>
      <c r="G541" s="263"/>
      <c r="H541" s="71"/>
      <c r="I541" s="265"/>
      <c r="J541" s="71"/>
      <c r="K541" s="266"/>
      <c r="L541" s="266"/>
      <c r="M541" s="266"/>
      <c r="N541" s="266"/>
      <c r="O541" s="266"/>
      <c r="P541" s="266"/>
      <c r="Q541" s="267"/>
      <c r="R541" s="71"/>
      <c r="S541" s="71"/>
      <c r="T541" s="222"/>
      <c r="U541" s="71"/>
      <c r="V541" s="71"/>
      <c r="W541" s="71"/>
      <c r="X541" s="71"/>
      <c r="Y541" s="71"/>
      <c r="Z541" s="71"/>
      <c r="AA541" s="71"/>
    </row>
    <row r="542" spans="1:27" ht="15.75" customHeight="1">
      <c r="A542" s="71"/>
      <c r="B542" s="263"/>
      <c r="C542" s="264"/>
      <c r="D542" s="71"/>
      <c r="E542" s="71"/>
      <c r="F542" s="265"/>
      <c r="G542" s="263"/>
      <c r="H542" s="71"/>
      <c r="I542" s="265"/>
      <c r="J542" s="71"/>
      <c r="K542" s="266"/>
      <c r="L542" s="266"/>
      <c r="M542" s="266"/>
      <c r="N542" s="266"/>
      <c r="O542" s="266"/>
      <c r="P542" s="266"/>
      <c r="Q542" s="267"/>
      <c r="R542" s="71"/>
      <c r="S542" s="71"/>
      <c r="T542" s="222"/>
      <c r="U542" s="71"/>
      <c r="V542" s="71"/>
      <c r="W542" s="71"/>
      <c r="X542" s="71"/>
      <c r="Y542" s="71"/>
      <c r="Z542" s="71"/>
      <c r="AA542" s="71"/>
    </row>
    <row r="543" spans="1:27" ht="15.75" customHeight="1">
      <c r="A543" s="71"/>
      <c r="B543" s="263"/>
      <c r="C543" s="264"/>
      <c r="D543" s="71"/>
      <c r="E543" s="71"/>
      <c r="F543" s="265"/>
      <c r="G543" s="263"/>
      <c r="H543" s="71"/>
      <c r="I543" s="265"/>
      <c r="J543" s="71"/>
      <c r="K543" s="266"/>
      <c r="L543" s="266"/>
      <c r="M543" s="266"/>
      <c r="N543" s="266"/>
      <c r="O543" s="266"/>
      <c r="P543" s="266"/>
      <c r="Q543" s="267"/>
      <c r="R543" s="71"/>
      <c r="S543" s="71"/>
      <c r="T543" s="222"/>
      <c r="U543" s="71"/>
      <c r="V543" s="71"/>
      <c r="W543" s="71"/>
      <c r="X543" s="71"/>
      <c r="Y543" s="71"/>
      <c r="Z543" s="71"/>
      <c r="AA543" s="71"/>
    </row>
    <row r="544" spans="1:27" ht="15.75" customHeight="1">
      <c r="A544" s="71"/>
      <c r="B544" s="263"/>
      <c r="C544" s="264"/>
      <c r="D544" s="71"/>
      <c r="E544" s="71"/>
      <c r="F544" s="265"/>
      <c r="G544" s="263"/>
      <c r="H544" s="71"/>
      <c r="I544" s="265"/>
      <c r="J544" s="71"/>
      <c r="K544" s="266"/>
      <c r="L544" s="266"/>
      <c r="M544" s="266"/>
      <c r="N544" s="266"/>
      <c r="O544" s="266"/>
      <c r="P544" s="266"/>
      <c r="Q544" s="267"/>
      <c r="R544" s="71"/>
      <c r="S544" s="71"/>
      <c r="T544" s="222"/>
      <c r="U544" s="71"/>
      <c r="V544" s="71"/>
      <c r="W544" s="71"/>
      <c r="X544" s="71"/>
      <c r="Y544" s="71"/>
      <c r="Z544" s="71"/>
      <c r="AA544" s="71"/>
    </row>
    <row r="545" spans="1:27" ht="15.75" customHeight="1">
      <c r="A545" s="71"/>
      <c r="B545" s="263"/>
      <c r="C545" s="264"/>
      <c r="D545" s="71"/>
      <c r="E545" s="71"/>
      <c r="F545" s="265"/>
      <c r="G545" s="263"/>
      <c r="H545" s="71"/>
      <c r="I545" s="265"/>
      <c r="J545" s="71"/>
      <c r="K545" s="266"/>
      <c r="L545" s="266"/>
      <c r="M545" s="266"/>
      <c r="N545" s="266"/>
      <c r="O545" s="266"/>
      <c r="P545" s="266"/>
      <c r="Q545" s="267"/>
      <c r="R545" s="71"/>
      <c r="S545" s="71"/>
      <c r="T545" s="222"/>
      <c r="U545" s="71"/>
      <c r="V545" s="71"/>
      <c r="W545" s="71"/>
      <c r="X545" s="71"/>
      <c r="Y545" s="71"/>
      <c r="Z545" s="71"/>
      <c r="AA545" s="71"/>
    </row>
    <row r="546" spans="1:27" ht="15.75" customHeight="1">
      <c r="A546" s="71"/>
      <c r="B546" s="263"/>
      <c r="C546" s="264"/>
      <c r="D546" s="71"/>
      <c r="E546" s="71"/>
      <c r="F546" s="265"/>
      <c r="G546" s="263"/>
      <c r="H546" s="71"/>
      <c r="I546" s="265"/>
      <c r="J546" s="71"/>
      <c r="K546" s="266"/>
      <c r="L546" s="266"/>
      <c r="M546" s="266"/>
      <c r="N546" s="266"/>
      <c r="O546" s="266"/>
      <c r="P546" s="266"/>
      <c r="Q546" s="267"/>
      <c r="R546" s="71"/>
      <c r="S546" s="71"/>
      <c r="T546" s="222"/>
      <c r="U546" s="71"/>
      <c r="V546" s="71"/>
      <c r="W546" s="71"/>
      <c r="X546" s="71"/>
      <c r="Y546" s="71"/>
      <c r="Z546" s="71"/>
      <c r="AA546" s="71"/>
    </row>
    <row r="547" spans="1:27" ht="15.75" customHeight="1">
      <c r="A547" s="71"/>
      <c r="B547" s="263"/>
      <c r="C547" s="264"/>
      <c r="D547" s="71"/>
      <c r="E547" s="71"/>
      <c r="F547" s="265"/>
      <c r="G547" s="263"/>
      <c r="H547" s="71"/>
      <c r="I547" s="265"/>
      <c r="J547" s="71"/>
      <c r="K547" s="266"/>
      <c r="L547" s="266"/>
      <c r="M547" s="266"/>
      <c r="N547" s="266"/>
      <c r="O547" s="266"/>
      <c r="P547" s="266"/>
      <c r="Q547" s="267"/>
      <c r="R547" s="71"/>
      <c r="S547" s="71"/>
      <c r="T547" s="222"/>
      <c r="U547" s="71"/>
      <c r="V547" s="71"/>
      <c r="W547" s="71"/>
      <c r="X547" s="71"/>
      <c r="Y547" s="71"/>
      <c r="Z547" s="71"/>
      <c r="AA547" s="71"/>
    </row>
    <row r="548" spans="1:27" ht="15.75" customHeight="1">
      <c r="A548" s="71"/>
      <c r="B548" s="263"/>
      <c r="C548" s="264"/>
      <c r="D548" s="71"/>
      <c r="E548" s="71"/>
      <c r="F548" s="265"/>
      <c r="G548" s="263"/>
      <c r="H548" s="71"/>
      <c r="I548" s="265"/>
      <c r="J548" s="71"/>
      <c r="K548" s="266"/>
      <c r="L548" s="266"/>
      <c r="M548" s="266"/>
      <c r="N548" s="266"/>
      <c r="O548" s="266"/>
      <c r="P548" s="266"/>
      <c r="Q548" s="267"/>
      <c r="R548" s="71"/>
      <c r="S548" s="71"/>
      <c r="T548" s="222"/>
      <c r="U548" s="71"/>
      <c r="V548" s="71"/>
      <c r="W548" s="71"/>
      <c r="X548" s="71"/>
      <c r="Y548" s="71"/>
      <c r="Z548" s="71"/>
      <c r="AA548" s="71"/>
    </row>
    <row r="549" spans="1:27" ht="15.75" customHeight="1">
      <c r="A549" s="71"/>
      <c r="B549" s="263"/>
      <c r="C549" s="264"/>
      <c r="D549" s="71"/>
      <c r="E549" s="71"/>
      <c r="F549" s="265"/>
      <c r="G549" s="263"/>
      <c r="H549" s="71"/>
      <c r="I549" s="265"/>
      <c r="J549" s="71"/>
      <c r="K549" s="266"/>
      <c r="L549" s="266"/>
      <c r="M549" s="266"/>
      <c r="N549" s="266"/>
      <c r="O549" s="266"/>
      <c r="P549" s="266"/>
      <c r="Q549" s="267"/>
      <c r="R549" s="71"/>
      <c r="S549" s="71"/>
      <c r="T549" s="222"/>
      <c r="U549" s="71"/>
      <c r="V549" s="71"/>
      <c r="W549" s="71"/>
      <c r="X549" s="71"/>
      <c r="Y549" s="71"/>
      <c r="Z549" s="71"/>
      <c r="AA549" s="71"/>
    </row>
    <row r="550" spans="1:27" ht="15.75" customHeight="1">
      <c r="A550" s="71"/>
      <c r="B550" s="263"/>
      <c r="C550" s="264"/>
      <c r="D550" s="71"/>
      <c r="E550" s="71"/>
      <c r="F550" s="265"/>
      <c r="G550" s="263"/>
      <c r="H550" s="71"/>
      <c r="I550" s="265"/>
      <c r="J550" s="71"/>
      <c r="K550" s="266"/>
      <c r="L550" s="266"/>
      <c r="M550" s="266"/>
      <c r="N550" s="266"/>
      <c r="O550" s="266"/>
      <c r="P550" s="266"/>
      <c r="Q550" s="267"/>
      <c r="R550" s="71"/>
      <c r="S550" s="71"/>
      <c r="T550" s="222"/>
      <c r="U550" s="71"/>
      <c r="V550" s="71"/>
      <c r="W550" s="71"/>
      <c r="X550" s="71"/>
      <c r="Y550" s="71"/>
      <c r="Z550" s="71"/>
      <c r="AA550" s="71"/>
    </row>
    <row r="551" spans="1:27" ht="15.75" customHeight="1">
      <c r="A551" s="71"/>
      <c r="B551" s="263"/>
      <c r="C551" s="264"/>
      <c r="D551" s="71"/>
      <c r="E551" s="71"/>
      <c r="F551" s="265"/>
      <c r="G551" s="263"/>
      <c r="H551" s="71"/>
      <c r="I551" s="265"/>
      <c r="J551" s="71"/>
      <c r="K551" s="266"/>
      <c r="L551" s="266"/>
      <c r="M551" s="266"/>
      <c r="N551" s="266"/>
      <c r="O551" s="266"/>
      <c r="P551" s="266"/>
      <c r="Q551" s="267"/>
      <c r="R551" s="71"/>
      <c r="S551" s="71"/>
      <c r="T551" s="222"/>
      <c r="U551" s="71"/>
      <c r="V551" s="71"/>
      <c r="W551" s="71"/>
      <c r="X551" s="71"/>
      <c r="Y551" s="71"/>
      <c r="Z551" s="71"/>
      <c r="AA551" s="71"/>
    </row>
    <row r="552" spans="1:27" ht="15.75" customHeight="1">
      <c r="A552" s="71"/>
      <c r="B552" s="263"/>
      <c r="C552" s="264"/>
      <c r="D552" s="71"/>
      <c r="E552" s="71"/>
      <c r="F552" s="265"/>
      <c r="G552" s="263"/>
      <c r="H552" s="71"/>
      <c r="I552" s="265"/>
      <c r="J552" s="71"/>
      <c r="K552" s="266"/>
      <c r="L552" s="266"/>
      <c r="M552" s="266"/>
      <c r="N552" s="266"/>
      <c r="O552" s="266"/>
      <c r="P552" s="266"/>
      <c r="Q552" s="267"/>
      <c r="R552" s="71"/>
      <c r="S552" s="71"/>
      <c r="T552" s="222"/>
      <c r="U552" s="71"/>
      <c r="V552" s="71"/>
      <c r="W552" s="71"/>
      <c r="X552" s="71"/>
      <c r="Y552" s="71"/>
      <c r="Z552" s="71"/>
      <c r="AA552" s="71"/>
    </row>
    <row r="553" spans="1:27" ht="15.75" customHeight="1">
      <c r="A553" s="71"/>
      <c r="B553" s="263"/>
      <c r="C553" s="264"/>
      <c r="D553" s="71"/>
      <c r="E553" s="71"/>
      <c r="F553" s="265"/>
      <c r="G553" s="263"/>
      <c r="H553" s="71"/>
      <c r="I553" s="265"/>
      <c r="J553" s="71"/>
      <c r="K553" s="266"/>
      <c r="L553" s="266"/>
      <c r="M553" s="266"/>
      <c r="N553" s="266"/>
      <c r="O553" s="266"/>
      <c r="P553" s="266"/>
      <c r="Q553" s="267"/>
      <c r="R553" s="71"/>
      <c r="S553" s="71"/>
      <c r="T553" s="222"/>
      <c r="U553" s="71"/>
      <c r="V553" s="71"/>
      <c r="W553" s="71"/>
      <c r="X553" s="71"/>
      <c r="Y553" s="71"/>
      <c r="Z553" s="71"/>
      <c r="AA553" s="71"/>
    </row>
    <row r="554" spans="1:27" ht="15.75" customHeight="1">
      <c r="A554" s="71"/>
      <c r="B554" s="263"/>
      <c r="C554" s="264"/>
      <c r="D554" s="71"/>
      <c r="E554" s="71"/>
      <c r="F554" s="265"/>
      <c r="G554" s="263"/>
      <c r="H554" s="71"/>
      <c r="I554" s="265"/>
      <c r="J554" s="71"/>
      <c r="K554" s="266"/>
      <c r="L554" s="266"/>
      <c r="M554" s="266"/>
      <c r="N554" s="266"/>
      <c r="O554" s="266"/>
      <c r="P554" s="266"/>
      <c r="Q554" s="267"/>
      <c r="R554" s="71"/>
      <c r="S554" s="71"/>
      <c r="T554" s="222"/>
      <c r="U554" s="71"/>
      <c r="V554" s="71"/>
      <c r="W554" s="71"/>
      <c r="X554" s="71"/>
      <c r="Y554" s="71"/>
      <c r="Z554" s="71"/>
      <c r="AA554" s="71"/>
    </row>
    <row r="555" spans="1:27" ht="15.75" customHeight="1">
      <c r="A555" s="71"/>
      <c r="B555" s="263"/>
      <c r="C555" s="264"/>
      <c r="D555" s="71"/>
      <c r="E555" s="71"/>
      <c r="F555" s="265"/>
      <c r="G555" s="263"/>
      <c r="H555" s="71"/>
      <c r="I555" s="265"/>
      <c r="J555" s="71"/>
      <c r="K555" s="266"/>
      <c r="L555" s="266"/>
      <c r="M555" s="266"/>
      <c r="N555" s="266"/>
      <c r="O555" s="266"/>
      <c r="P555" s="266"/>
      <c r="Q555" s="267"/>
      <c r="R555" s="71"/>
      <c r="S555" s="71"/>
      <c r="T555" s="222"/>
      <c r="U555" s="71"/>
      <c r="V555" s="71"/>
      <c r="W555" s="71"/>
      <c r="X555" s="71"/>
      <c r="Y555" s="71"/>
      <c r="Z555" s="71"/>
      <c r="AA555" s="71"/>
    </row>
    <row r="556" spans="1:27" ht="15.75" customHeight="1">
      <c r="A556" s="71"/>
      <c r="B556" s="263"/>
      <c r="C556" s="264"/>
      <c r="D556" s="71"/>
      <c r="E556" s="71"/>
      <c r="F556" s="265"/>
      <c r="G556" s="263"/>
      <c r="H556" s="71"/>
      <c r="I556" s="265"/>
      <c r="J556" s="71"/>
      <c r="K556" s="266"/>
      <c r="L556" s="266"/>
      <c r="M556" s="266"/>
      <c r="N556" s="266"/>
      <c r="O556" s="266"/>
      <c r="P556" s="266"/>
      <c r="Q556" s="267"/>
      <c r="R556" s="71"/>
      <c r="S556" s="71"/>
      <c r="T556" s="222"/>
      <c r="U556" s="71"/>
      <c r="V556" s="71"/>
      <c r="W556" s="71"/>
      <c r="X556" s="71"/>
      <c r="Y556" s="71"/>
      <c r="Z556" s="71"/>
      <c r="AA556" s="71"/>
    </row>
    <row r="557" spans="1:27" ht="15.75" customHeight="1">
      <c r="A557" s="71"/>
      <c r="B557" s="263"/>
      <c r="C557" s="264"/>
      <c r="D557" s="71"/>
      <c r="E557" s="71"/>
      <c r="F557" s="265"/>
      <c r="G557" s="263"/>
      <c r="H557" s="71"/>
      <c r="I557" s="265"/>
      <c r="J557" s="71"/>
      <c r="K557" s="266"/>
      <c r="L557" s="266"/>
      <c r="M557" s="266"/>
      <c r="N557" s="266"/>
      <c r="O557" s="266"/>
      <c r="P557" s="266"/>
      <c r="Q557" s="267"/>
      <c r="R557" s="71"/>
      <c r="S557" s="71"/>
      <c r="T557" s="222"/>
      <c r="U557" s="71"/>
      <c r="V557" s="71"/>
      <c r="W557" s="71"/>
      <c r="X557" s="71"/>
      <c r="Y557" s="71"/>
      <c r="Z557" s="71"/>
      <c r="AA557" s="71"/>
    </row>
    <row r="558" spans="1:27" ht="15.75" customHeight="1">
      <c r="A558" s="71"/>
      <c r="B558" s="263"/>
      <c r="C558" s="264"/>
      <c r="D558" s="71"/>
      <c r="E558" s="71"/>
      <c r="F558" s="265"/>
      <c r="G558" s="263"/>
      <c r="H558" s="71"/>
      <c r="I558" s="265"/>
      <c r="J558" s="71"/>
      <c r="K558" s="266"/>
      <c r="L558" s="266"/>
      <c r="M558" s="266"/>
      <c r="N558" s="266"/>
      <c r="O558" s="266"/>
      <c r="P558" s="266"/>
      <c r="Q558" s="267"/>
      <c r="R558" s="71"/>
      <c r="S558" s="71"/>
      <c r="T558" s="222"/>
      <c r="U558" s="71"/>
      <c r="V558" s="71"/>
      <c r="W558" s="71"/>
      <c r="X558" s="71"/>
      <c r="Y558" s="71"/>
      <c r="Z558" s="71"/>
      <c r="AA558" s="71"/>
    </row>
    <row r="559" spans="1:27" ht="15.75" customHeight="1">
      <c r="A559" s="71"/>
      <c r="B559" s="263"/>
      <c r="C559" s="264"/>
      <c r="D559" s="71"/>
      <c r="E559" s="71"/>
      <c r="F559" s="265"/>
      <c r="G559" s="263"/>
      <c r="H559" s="71"/>
      <c r="I559" s="265"/>
      <c r="J559" s="71"/>
      <c r="K559" s="266"/>
      <c r="L559" s="266"/>
      <c r="M559" s="266"/>
      <c r="N559" s="266"/>
      <c r="O559" s="266"/>
      <c r="P559" s="266"/>
      <c r="Q559" s="267"/>
      <c r="R559" s="71"/>
      <c r="S559" s="71"/>
      <c r="T559" s="222"/>
      <c r="U559" s="71"/>
      <c r="V559" s="71"/>
      <c r="W559" s="71"/>
      <c r="X559" s="71"/>
      <c r="Y559" s="71"/>
      <c r="Z559" s="71"/>
      <c r="AA559" s="71"/>
    </row>
    <row r="560" spans="1:27" ht="15.75" customHeight="1">
      <c r="A560" s="71"/>
      <c r="B560" s="263"/>
      <c r="C560" s="264"/>
      <c r="D560" s="71"/>
      <c r="E560" s="71"/>
      <c r="F560" s="265"/>
      <c r="G560" s="263"/>
      <c r="H560" s="71"/>
      <c r="I560" s="265"/>
      <c r="J560" s="71"/>
      <c r="K560" s="266"/>
      <c r="L560" s="266"/>
      <c r="M560" s="266"/>
      <c r="N560" s="266"/>
      <c r="O560" s="266"/>
      <c r="P560" s="266"/>
      <c r="Q560" s="267"/>
      <c r="R560" s="71"/>
      <c r="S560" s="71"/>
      <c r="T560" s="222"/>
      <c r="U560" s="71"/>
      <c r="V560" s="71"/>
      <c r="W560" s="71"/>
      <c r="X560" s="71"/>
      <c r="Y560" s="71"/>
      <c r="Z560" s="71"/>
      <c r="AA560" s="71"/>
    </row>
    <row r="561" spans="1:27" ht="15.75" customHeight="1">
      <c r="A561" s="71"/>
      <c r="B561" s="263"/>
      <c r="C561" s="264"/>
      <c r="D561" s="71"/>
      <c r="E561" s="71"/>
      <c r="F561" s="265"/>
      <c r="G561" s="263"/>
      <c r="H561" s="71"/>
      <c r="I561" s="265"/>
      <c r="J561" s="71"/>
      <c r="K561" s="266"/>
      <c r="L561" s="266"/>
      <c r="M561" s="266"/>
      <c r="N561" s="266"/>
      <c r="O561" s="266"/>
      <c r="P561" s="266"/>
      <c r="Q561" s="267"/>
      <c r="R561" s="71"/>
      <c r="S561" s="71"/>
      <c r="T561" s="222"/>
      <c r="U561" s="71"/>
      <c r="V561" s="71"/>
      <c r="W561" s="71"/>
      <c r="X561" s="71"/>
      <c r="Y561" s="71"/>
      <c r="Z561" s="71"/>
      <c r="AA561" s="71"/>
    </row>
    <row r="562" spans="1:27" ht="15.75" customHeight="1">
      <c r="A562" s="71"/>
      <c r="B562" s="263"/>
      <c r="C562" s="264"/>
      <c r="D562" s="71"/>
      <c r="E562" s="71"/>
      <c r="F562" s="265"/>
      <c r="G562" s="263"/>
      <c r="H562" s="71"/>
      <c r="I562" s="265"/>
      <c r="J562" s="71"/>
      <c r="K562" s="266"/>
      <c r="L562" s="266"/>
      <c r="M562" s="266"/>
      <c r="N562" s="266"/>
      <c r="O562" s="266"/>
      <c r="P562" s="266"/>
      <c r="Q562" s="267"/>
      <c r="R562" s="71"/>
      <c r="S562" s="71"/>
      <c r="T562" s="222"/>
      <c r="U562" s="71"/>
      <c r="V562" s="71"/>
      <c r="W562" s="71"/>
      <c r="X562" s="71"/>
      <c r="Y562" s="71"/>
      <c r="Z562" s="71"/>
      <c r="AA562" s="71"/>
    </row>
    <row r="563" spans="1:27" ht="15.75" customHeight="1">
      <c r="A563" s="71"/>
      <c r="B563" s="263"/>
      <c r="C563" s="264"/>
      <c r="D563" s="71"/>
      <c r="E563" s="71"/>
      <c r="F563" s="265"/>
      <c r="G563" s="263"/>
      <c r="H563" s="71"/>
      <c r="I563" s="265"/>
      <c r="J563" s="71"/>
      <c r="K563" s="266"/>
      <c r="L563" s="266"/>
      <c r="M563" s="266"/>
      <c r="N563" s="266"/>
      <c r="O563" s="266"/>
      <c r="P563" s="266"/>
      <c r="Q563" s="267"/>
      <c r="R563" s="71"/>
      <c r="S563" s="71"/>
      <c r="T563" s="222"/>
      <c r="U563" s="71"/>
      <c r="V563" s="71"/>
      <c r="W563" s="71"/>
      <c r="X563" s="71"/>
      <c r="Y563" s="71"/>
      <c r="Z563" s="71"/>
      <c r="AA563" s="71"/>
    </row>
    <row r="564" spans="1:27" ht="15.75" customHeight="1">
      <c r="A564" s="71"/>
      <c r="B564" s="263"/>
      <c r="C564" s="264"/>
      <c r="D564" s="71"/>
      <c r="E564" s="71"/>
      <c r="F564" s="265"/>
      <c r="G564" s="263"/>
      <c r="H564" s="71"/>
      <c r="I564" s="265"/>
      <c r="J564" s="71"/>
      <c r="K564" s="266"/>
      <c r="L564" s="266"/>
      <c r="M564" s="266"/>
      <c r="N564" s="266"/>
      <c r="O564" s="266"/>
      <c r="P564" s="266"/>
      <c r="Q564" s="267"/>
      <c r="R564" s="71"/>
      <c r="S564" s="71"/>
      <c r="T564" s="222"/>
      <c r="U564" s="71"/>
      <c r="V564" s="71"/>
      <c r="W564" s="71"/>
      <c r="X564" s="71"/>
      <c r="Y564" s="71"/>
      <c r="Z564" s="71"/>
      <c r="AA564" s="71"/>
    </row>
    <row r="565" spans="1:27" ht="15.75" customHeight="1">
      <c r="A565" s="71"/>
      <c r="B565" s="263"/>
      <c r="C565" s="264"/>
      <c r="D565" s="71"/>
      <c r="E565" s="71"/>
      <c r="F565" s="265"/>
      <c r="G565" s="263"/>
      <c r="H565" s="71"/>
      <c r="I565" s="265"/>
      <c r="J565" s="71"/>
      <c r="K565" s="266"/>
      <c r="L565" s="266"/>
      <c r="M565" s="266"/>
      <c r="N565" s="266"/>
      <c r="O565" s="266"/>
      <c r="P565" s="266"/>
      <c r="Q565" s="267"/>
      <c r="R565" s="71"/>
      <c r="S565" s="71"/>
      <c r="T565" s="222"/>
      <c r="U565" s="71"/>
      <c r="V565" s="71"/>
      <c r="W565" s="71"/>
      <c r="X565" s="71"/>
      <c r="Y565" s="71"/>
      <c r="Z565" s="71"/>
      <c r="AA565" s="71"/>
    </row>
    <row r="566" spans="1:27" ht="15.75" customHeight="1">
      <c r="A566" s="71"/>
      <c r="B566" s="263"/>
      <c r="C566" s="264"/>
      <c r="D566" s="71"/>
      <c r="E566" s="71"/>
      <c r="F566" s="265"/>
      <c r="G566" s="263"/>
      <c r="H566" s="71"/>
      <c r="I566" s="265"/>
      <c r="J566" s="71"/>
      <c r="K566" s="266"/>
      <c r="L566" s="266"/>
      <c r="M566" s="266"/>
      <c r="N566" s="266"/>
      <c r="O566" s="266"/>
      <c r="P566" s="266"/>
      <c r="Q566" s="267"/>
      <c r="R566" s="71"/>
      <c r="S566" s="71"/>
      <c r="T566" s="222"/>
      <c r="U566" s="71"/>
      <c r="V566" s="71"/>
      <c r="W566" s="71"/>
      <c r="X566" s="71"/>
      <c r="Y566" s="71"/>
      <c r="Z566" s="71"/>
      <c r="AA566" s="71"/>
    </row>
    <row r="567" spans="1:27" ht="15.75" customHeight="1">
      <c r="A567" s="71"/>
      <c r="B567" s="263"/>
      <c r="C567" s="264"/>
      <c r="D567" s="71"/>
      <c r="E567" s="71"/>
      <c r="F567" s="265"/>
      <c r="G567" s="263"/>
      <c r="H567" s="71"/>
      <c r="I567" s="265"/>
      <c r="J567" s="71"/>
      <c r="K567" s="266"/>
      <c r="L567" s="266"/>
      <c r="M567" s="266"/>
      <c r="N567" s="266"/>
      <c r="O567" s="266"/>
      <c r="P567" s="266"/>
      <c r="Q567" s="267"/>
      <c r="R567" s="71"/>
      <c r="S567" s="71"/>
      <c r="T567" s="222"/>
      <c r="U567" s="71"/>
      <c r="V567" s="71"/>
      <c r="W567" s="71"/>
      <c r="X567" s="71"/>
      <c r="Y567" s="71"/>
      <c r="Z567" s="71"/>
      <c r="AA567" s="71"/>
    </row>
    <row r="568" spans="1:27" ht="15.75" customHeight="1">
      <c r="A568" s="71"/>
      <c r="B568" s="263"/>
      <c r="C568" s="264"/>
      <c r="D568" s="71"/>
      <c r="E568" s="71"/>
      <c r="F568" s="265"/>
      <c r="G568" s="263"/>
      <c r="H568" s="71"/>
      <c r="I568" s="265"/>
      <c r="J568" s="71"/>
      <c r="K568" s="266"/>
      <c r="L568" s="266"/>
      <c r="M568" s="266"/>
      <c r="N568" s="266"/>
      <c r="O568" s="266"/>
      <c r="P568" s="266"/>
      <c r="Q568" s="267"/>
      <c r="R568" s="71"/>
      <c r="S568" s="71"/>
      <c r="T568" s="222"/>
      <c r="U568" s="71"/>
      <c r="V568" s="71"/>
      <c r="W568" s="71"/>
      <c r="X568" s="71"/>
      <c r="Y568" s="71"/>
      <c r="Z568" s="71"/>
      <c r="AA568" s="71"/>
    </row>
    <row r="569" spans="1:27" ht="15.75" customHeight="1">
      <c r="A569" s="71"/>
      <c r="B569" s="263"/>
      <c r="C569" s="264"/>
      <c r="D569" s="71"/>
      <c r="E569" s="71"/>
      <c r="F569" s="265"/>
      <c r="G569" s="263"/>
      <c r="H569" s="71"/>
      <c r="I569" s="265"/>
      <c r="J569" s="71"/>
      <c r="K569" s="266"/>
      <c r="L569" s="266"/>
      <c r="M569" s="266"/>
      <c r="N569" s="266"/>
      <c r="O569" s="266"/>
      <c r="P569" s="266"/>
      <c r="Q569" s="267"/>
      <c r="R569" s="71"/>
      <c r="S569" s="71"/>
      <c r="T569" s="222"/>
      <c r="U569" s="71"/>
      <c r="V569" s="71"/>
      <c r="W569" s="71"/>
      <c r="X569" s="71"/>
      <c r="Y569" s="71"/>
      <c r="Z569" s="71"/>
      <c r="AA569" s="71"/>
    </row>
    <row r="570" spans="1:27" ht="15.75" customHeight="1">
      <c r="A570" s="71"/>
      <c r="B570" s="263"/>
      <c r="C570" s="264"/>
      <c r="D570" s="71"/>
      <c r="E570" s="71"/>
      <c r="F570" s="265"/>
      <c r="G570" s="263"/>
      <c r="H570" s="71"/>
      <c r="I570" s="265"/>
      <c r="J570" s="71"/>
      <c r="K570" s="266"/>
      <c r="L570" s="266"/>
      <c r="M570" s="266"/>
      <c r="N570" s="266"/>
      <c r="O570" s="266"/>
      <c r="P570" s="266"/>
      <c r="Q570" s="267"/>
      <c r="R570" s="71"/>
      <c r="S570" s="71"/>
      <c r="T570" s="222"/>
      <c r="U570" s="71"/>
      <c r="V570" s="71"/>
      <c r="W570" s="71"/>
      <c r="X570" s="71"/>
      <c r="Y570" s="71"/>
      <c r="Z570" s="71"/>
      <c r="AA570" s="71"/>
    </row>
    <row r="571" spans="1:27" ht="15.75" customHeight="1">
      <c r="A571" s="71"/>
      <c r="B571" s="263"/>
      <c r="C571" s="264"/>
      <c r="D571" s="71"/>
      <c r="E571" s="71"/>
      <c r="F571" s="265"/>
      <c r="G571" s="263"/>
      <c r="H571" s="71"/>
      <c r="I571" s="265"/>
      <c r="J571" s="71"/>
      <c r="K571" s="266"/>
      <c r="L571" s="266"/>
      <c r="M571" s="266"/>
      <c r="N571" s="266"/>
      <c r="O571" s="266"/>
      <c r="P571" s="266"/>
      <c r="Q571" s="267"/>
      <c r="R571" s="71"/>
      <c r="S571" s="71"/>
      <c r="T571" s="222"/>
      <c r="U571" s="71"/>
      <c r="V571" s="71"/>
      <c r="W571" s="71"/>
      <c r="X571" s="71"/>
      <c r="Y571" s="71"/>
      <c r="Z571" s="71"/>
      <c r="AA571" s="71"/>
    </row>
    <row r="572" spans="1:27" ht="15.75" customHeight="1">
      <c r="A572" s="71"/>
      <c r="B572" s="263"/>
      <c r="C572" s="264"/>
      <c r="D572" s="71"/>
      <c r="E572" s="71"/>
      <c r="F572" s="265"/>
      <c r="G572" s="263"/>
      <c r="H572" s="71"/>
      <c r="I572" s="265"/>
      <c r="J572" s="71"/>
      <c r="K572" s="266"/>
      <c r="L572" s="266"/>
      <c r="M572" s="266"/>
      <c r="N572" s="266"/>
      <c r="O572" s="266"/>
      <c r="P572" s="266"/>
      <c r="Q572" s="267"/>
      <c r="R572" s="71"/>
      <c r="S572" s="71"/>
      <c r="T572" s="222"/>
      <c r="U572" s="71"/>
      <c r="V572" s="71"/>
      <c r="W572" s="71"/>
      <c r="X572" s="71"/>
      <c r="Y572" s="71"/>
      <c r="Z572" s="71"/>
      <c r="AA572" s="71"/>
    </row>
    <row r="573" spans="1:27" ht="15.75" customHeight="1">
      <c r="A573" s="71"/>
      <c r="B573" s="263"/>
      <c r="C573" s="264"/>
      <c r="D573" s="71"/>
      <c r="E573" s="71"/>
      <c r="F573" s="265"/>
      <c r="G573" s="263"/>
      <c r="H573" s="71"/>
      <c r="I573" s="265"/>
      <c r="J573" s="71"/>
      <c r="K573" s="266"/>
      <c r="L573" s="266"/>
      <c r="M573" s="266"/>
      <c r="N573" s="266"/>
      <c r="O573" s="266"/>
      <c r="P573" s="266"/>
      <c r="Q573" s="267"/>
      <c r="R573" s="71"/>
      <c r="S573" s="71"/>
      <c r="T573" s="222"/>
      <c r="U573" s="71"/>
      <c r="V573" s="71"/>
      <c r="W573" s="71"/>
      <c r="X573" s="71"/>
      <c r="Y573" s="71"/>
      <c r="Z573" s="71"/>
      <c r="AA573" s="71"/>
    </row>
    <row r="574" spans="1:27" ht="15.75" customHeight="1">
      <c r="A574" s="71"/>
      <c r="B574" s="263"/>
      <c r="C574" s="264"/>
      <c r="D574" s="71"/>
      <c r="E574" s="71"/>
      <c r="F574" s="265"/>
      <c r="G574" s="263"/>
      <c r="H574" s="71"/>
      <c r="I574" s="265"/>
      <c r="J574" s="71"/>
      <c r="K574" s="266"/>
      <c r="L574" s="266"/>
      <c r="M574" s="266"/>
      <c r="N574" s="266"/>
      <c r="O574" s="266"/>
      <c r="P574" s="266"/>
      <c r="Q574" s="267"/>
      <c r="R574" s="71"/>
      <c r="S574" s="71"/>
      <c r="T574" s="222"/>
      <c r="U574" s="71"/>
      <c r="V574" s="71"/>
      <c r="W574" s="71"/>
      <c r="X574" s="71"/>
      <c r="Y574" s="71"/>
      <c r="Z574" s="71"/>
      <c r="AA574" s="71"/>
    </row>
    <row r="575" spans="1:27" ht="15.75" customHeight="1">
      <c r="A575" s="71"/>
      <c r="B575" s="263"/>
      <c r="C575" s="264"/>
      <c r="D575" s="71"/>
      <c r="E575" s="71"/>
      <c r="F575" s="265"/>
      <c r="G575" s="263"/>
      <c r="H575" s="71"/>
      <c r="I575" s="265"/>
      <c r="J575" s="71"/>
      <c r="K575" s="266"/>
      <c r="L575" s="266"/>
      <c r="M575" s="266"/>
      <c r="N575" s="266"/>
      <c r="O575" s="266"/>
      <c r="P575" s="266"/>
      <c r="Q575" s="267"/>
      <c r="R575" s="71"/>
      <c r="S575" s="71"/>
      <c r="T575" s="222"/>
      <c r="U575" s="71"/>
      <c r="V575" s="71"/>
      <c r="W575" s="71"/>
      <c r="X575" s="71"/>
      <c r="Y575" s="71"/>
      <c r="Z575" s="71"/>
      <c r="AA575" s="71"/>
    </row>
    <row r="576" spans="1:27" ht="15.75" customHeight="1">
      <c r="A576" s="71"/>
      <c r="B576" s="263"/>
      <c r="C576" s="264"/>
      <c r="D576" s="71"/>
      <c r="E576" s="71"/>
      <c r="F576" s="265"/>
      <c r="G576" s="263"/>
      <c r="H576" s="71"/>
      <c r="I576" s="265"/>
      <c r="J576" s="71"/>
      <c r="K576" s="266"/>
      <c r="L576" s="266"/>
      <c r="M576" s="266"/>
      <c r="N576" s="266"/>
      <c r="O576" s="266"/>
      <c r="P576" s="266"/>
      <c r="Q576" s="267"/>
      <c r="R576" s="71"/>
      <c r="S576" s="71"/>
      <c r="T576" s="222"/>
      <c r="U576" s="71"/>
      <c r="V576" s="71"/>
      <c r="W576" s="71"/>
      <c r="X576" s="71"/>
      <c r="Y576" s="71"/>
      <c r="Z576" s="71"/>
      <c r="AA576" s="71"/>
    </row>
    <row r="577" spans="1:27" ht="15.75" customHeight="1">
      <c r="A577" s="71"/>
      <c r="B577" s="263"/>
      <c r="C577" s="264"/>
      <c r="D577" s="71"/>
      <c r="E577" s="71"/>
      <c r="F577" s="265"/>
      <c r="G577" s="263"/>
      <c r="H577" s="71"/>
      <c r="I577" s="265"/>
      <c r="J577" s="71"/>
      <c r="K577" s="266"/>
      <c r="L577" s="266"/>
      <c r="M577" s="266"/>
      <c r="N577" s="266"/>
      <c r="O577" s="266"/>
      <c r="P577" s="266"/>
      <c r="Q577" s="267"/>
      <c r="R577" s="71"/>
      <c r="S577" s="71"/>
      <c r="T577" s="222"/>
      <c r="U577" s="71"/>
      <c r="V577" s="71"/>
      <c r="W577" s="71"/>
      <c r="X577" s="71"/>
      <c r="Y577" s="71"/>
      <c r="Z577" s="71"/>
      <c r="AA577" s="71"/>
    </row>
    <row r="578" spans="1:27" ht="15.75" customHeight="1">
      <c r="A578" s="71"/>
      <c r="B578" s="263"/>
      <c r="C578" s="264"/>
      <c r="D578" s="71"/>
      <c r="E578" s="71"/>
      <c r="F578" s="265"/>
      <c r="G578" s="263"/>
      <c r="H578" s="71"/>
      <c r="I578" s="265"/>
      <c r="J578" s="71"/>
      <c r="K578" s="266"/>
      <c r="L578" s="266"/>
      <c r="M578" s="266"/>
      <c r="N578" s="266"/>
      <c r="O578" s="266"/>
      <c r="P578" s="266"/>
      <c r="Q578" s="267"/>
      <c r="R578" s="71"/>
      <c r="S578" s="71"/>
      <c r="T578" s="222"/>
      <c r="U578" s="71"/>
      <c r="V578" s="71"/>
      <c r="W578" s="71"/>
      <c r="X578" s="71"/>
      <c r="Y578" s="71"/>
      <c r="Z578" s="71"/>
      <c r="AA578" s="71"/>
    </row>
    <row r="579" spans="1:27" ht="15.75" customHeight="1">
      <c r="A579" s="71"/>
      <c r="B579" s="263"/>
      <c r="C579" s="264"/>
      <c r="D579" s="71"/>
      <c r="E579" s="71"/>
      <c r="F579" s="265"/>
      <c r="G579" s="263"/>
      <c r="H579" s="71"/>
      <c r="I579" s="265"/>
      <c r="J579" s="71"/>
      <c r="K579" s="266"/>
      <c r="L579" s="266"/>
      <c r="M579" s="266"/>
      <c r="N579" s="266"/>
      <c r="O579" s="266"/>
      <c r="P579" s="266"/>
      <c r="Q579" s="267"/>
      <c r="R579" s="71"/>
      <c r="S579" s="71"/>
      <c r="T579" s="222"/>
      <c r="U579" s="71"/>
      <c r="V579" s="71"/>
      <c r="W579" s="71"/>
      <c r="X579" s="71"/>
      <c r="Y579" s="71"/>
      <c r="Z579" s="71"/>
      <c r="AA579" s="71"/>
    </row>
    <row r="580" spans="1:27" ht="15.75" customHeight="1">
      <c r="A580" s="71"/>
      <c r="B580" s="263"/>
      <c r="C580" s="264"/>
      <c r="D580" s="71"/>
      <c r="E580" s="71"/>
      <c r="F580" s="265"/>
      <c r="G580" s="263"/>
      <c r="H580" s="71"/>
      <c r="I580" s="265"/>
      <c r="J580" s="71"/>
      <c r="K580" s="266"/>
      <c r="L580" s="266"/>
      <c r="M580" s="266"/>
      <c r="N580" s="266"/>
      <c r="O580" s="266"/>
      <c r="P580" s="266"/>
      <c r="Q580" s="267"/>
      <c r="R580" s="71"/>
      <c r="S580" s="71"/>
      <c r="T580" s="222"/>
      <c r="U580" s="71"/>
      <c r="V580" s="71"/>
      <c r="W580" s="71"/>
      <c r="X580" s="71"/>
      <c r="Y580" s="71"/>
      <c r="Z580" s="71"/>
      <c r="AA580" s="71"/>
    </row>
    <row r="581" spans="1:27" ht="15.75" customHeight="1">
      <c r="A581" s="71"/>
      <c r="B581" s="263"/>
      <c r="C581" s="264"/>
      <c r="D581" s="71"/>
      <c r="E581" s="71"/>
      <c r="F581" s="265"/>
      <c r="G581" s="263"/>
      <c r="H581" s="71"/>
      <c r="I581" s="265"/>
      <c r="J581" s="71"/>
      <c r="K581" s="266"/>
      <c r="L581" s="266"/>
      <c r="M581" s="266"/>
      <c r="N581" s="266"/>
      <c r="O581" s="266"/>
      <c r="P581" s="266"/>
      <c r="Q581" s="267"/>
      <c r="R581" s="71"/>
      <c r="S581" s="71"/>
      <c r="T581" s="222"/>
      <c r="U581" s="71"/>
      <c r="V581" s="71"/>
      <c r="W581" s="71"/>
      <c r="X581" s="71"/>
      <c r="Y581" s="71"/>
      <c r="Z581" s="71"/>
      <c r="AA581" s="71"/>
    </row>
    <row r="582" spans="1:27" ht="15.75" customHeight="1">
      <c r="A582" s="71"/>
      <c r="B582" s="263"/>
      <c r="C582" s="264"/>
      <c r="D582" s="71"/>
      <c r="E582" s="71"/>
      <c r="F582" s="265"/>
      <c r="G582" s="263"/>
      <c r="H582" s="71"/>
      <c r="I582" s="265"/>
      <c r="J582" s="71"/>
      <c r="K582" s="266"/>
      <c r="L582" s="266"/>
      <c r="M582" s="266"/>
      <c r="N582" s="266"/>
      <c r="O582" s="266"/>
      <c r="P582" s="266"/>
      <c r="Q582" s="267"/>
      <c r="R582" s="71"/>
      <c r="S582" s="71"/>
      <c r="T582" s="222"/>
      <c r="U582" s="71"/>
      <c r="V582" s="71"/>
      <c r="W582" s="71"/>
      <c r="X582" s="71"/>
      <c r="Y582" s="71"/>
      <c r="Z582" s="71"/>
      <c r="AA582" s="71"/>
    </row>
    <row r="583" spans="1:27" ht="15.75" customHeight="1">
      <c r="A583" s="71"/>
      <c r="B583" s="263"/>
      <c r="C583" s="264"/>
      <c r="D583" s="71"/>
      <c r="E583" s="71"/>
      <c r="F583" s="265"/>
      <c r="G583" s="263"/>
      <c r="H583" s="71"/>
      <c r="I583" s="265"/>
      <c r="J583" s="71"/>
      <c r="K583" s="266"/>
      <c r="L583" s="266"/>
      <c r="M583" s="266"/>
      <c r="N583" s="266"/>
      <c r="O583" s="266"/>
      <c r="P583" s="266"/>
      <c r="Q583" s="267"/>
      <c r="R583" s="71"/>
      <c r="S583" s="71"/>
      <c r="T583" s="222"/>
      <c r="U583" s="71"/>
      <c r="V583" s="71"/>
      <c r="W583" s="71"/>
      <c r="X583" s="71"/>
      <c r="Y583" s="71"/>
      <c r="Z583" s="71"/>
      <c r="AA583" s="71"/>
    </row>
    <row r="584" spans="1:27" ht="15.75" customHeight="1">
      <c r="A584" s="71"/>
      <c r="B584" s="263"/>
      <c r="C584" s="264"/>
      <c r="D584" s="71"/>
      <c r="E584" s="71"/>
      <c r="F584" s="265"/>
      <c r="G584" s="263"/>
      <c r="H584" s="71"/>
      <c r="I584" s="265"/>
      <c r="J584" s="71"/>
      <c r="K584" s="266"/>
      <c r="L584" s="266"/>
      <c r="M584" s="266"/>
      <c r="N584" s="266"/>
      <c r="O584" s="266"/>
      <c r="P584" s="266"/>
      <c r="Q584" s="267"/>
      <c r="R584" s="71"/>
      <c r="S584" s="71"/>
      <c r="T584" s="222"/>
      <c r="U584" s="71"/>
      <c r="V584" s="71"/>
      <c r="W584" s="71"/>
      <c r="X584" s="71"/>
      <c r="Y584" s="71"/>
      <c r="Z584" s="71"/>
      <c r="AA584" s="71"/>
    </row>
    <row r="585" spans="1:27" ht="15.75" customHeight="1">
      <c r="A585" s="71"/>
      <c r="B585" s="263"/>
      <c r="C585" s="264"/>
      <c r="D585" s="71"/>
      <c r="E585" s="71"/>
      <c r="F585" s="265"/>
      <c r="G585" s="263"/>
      <c r="H585" s="71"/>
      <c r="I585" s="265"/>
      <c r="J585" s="71"/>
      <c r="K585" s="266"/>
      <c r="L585" s="266"/>
      <c r="M585" s="266"/>
      <c r="N585" s="266"/>
      <c r="O585" s="266"/>
      <c r="P585" s="266"/>
      <c r="Q585" s="267"/>
      <c r="R585" s="71"/>
      <c r="S585" s="71"/>
      <c r="T585" s="222"/>
      <c r="U585" s="71"/>
      <c r="V585" s="71"/>
      <c r="W585" s="71"/>
      <c r="X585" s="71"/>
      <c r="Y585" s="71"/>
      <c r="Z585" s="71"/>
      <c r="AA585" s="71"/>
    </row>
    <row r="586" spans="1:27" ht="15.75" customHeight="1">
      <c r="A586" s="71"/>
      <c r="B586" s="263"/>
      <c r="C586" s="264"/>
      <c r="D586" s="71"/>
      <c r="E586" s="71"/>
      <c r="F586" s="265"/>
      <c r="G586" s="263"/>
      <c r="H586" s="71"/>
      <c r="I586" s="265"/>
      <c r="J586" s="71"/>
      <c r="K586" s="266"/>
      <c r="L586" s="266"/>
      <c r="M586" s="266"/>
      <c r="N586" s="266"/>
      <c r="O586" s="266"/>
      <c r="P586" s="266"/>
      <c r="Q586" s="267"/>
      <c r="R586" s="71"/>
      <c r="S586" s="71"/>
      <c r="T586" s="222"/>
      <c r="U586" s="71"/>
      <c r="V586" s="71"/>
      <c r="W586" s="71"/>
      <c r="X586" s="71"/>
      <c r="Y586" s="71"/>
      <c r="Z586" s="71"/>
      <c r="AA586" s="71"/>
    </row>
    <row r="587" spans="1:27" ht="15.75" customHeight="1">
      <c r="A587" s="71"/>
      <c r="B587" s="263"/>
      <c r="C587" s="264"/>
      <c r="D587" s="71"/>
      <c r="E587" s="71"/>
      <c r="F587" s="265"/>
      <c r="G587" s="263"/>
      <c r="H587" s="71"/>
      <c r="I587" s="265"/>
      <c r="J587" s="71"/>
      <c r="K587" s="266"/>
      <c r="L587" s="266"/>
      <c r="M587" s="266"/>
      <c r="N587" s="266"/>
      <c r="O587" s="266"/>
      <c r="P587" s="266"/>
      <c r="Q587" s="267"/>
      <c r="R587" s="71"/>
      <c r="S587" s="71"/>
      <c r="T587" s="222"/>
      <c r="U587" s="71"/>
      <c r="V587" s="71"/>
      <c r="W587" s="71"/>
      <c r="X587" s="71"/>
      <c r="Y587" s="71"/>
      <c r="Z587" s="71"/>
      <c r="AA587" s="71"/>
    </row>
    <row r="588" spans="1:27" ht="15.75" customHeight="1">
      <c r="A588" s="71"/>
      <c r="B588" s="263"/>
      <c r="C588" s="264"/>
      <c r="D588" s="71"/>
      <c r="E588" s="71"/>
      <c r="F588" s="265"/>
      <c r="G588" s="263"/>
      <c r="H588" s="71"/>
      <c r="I588" s="265"/>
      <c r="J588" s="71"/>
      <c r="K588" s="266"/>
      <c r="L588" s="266"/>
      <c r="M588" s="266"/>
      <c r="N588" s="266"/>
      <c r="O588" s="266"/>
      <c r="P588" s="266"/>
      <c r="Q588" s="267"/>
      <c r="R588" s="71"/>
      <c r="S588" s="71"/>
      <c r="T588" s="222"/>
      <c r="U588" s="71"/>
      <c r="V588" s="71"/>
      <c r="W588" s="71"/>
      <c r="X588" s="71"/>
      <c r="Y588" s="71"/>
      <c r="Z588" s="71"/>
      <c r="AA588" s="71"/>
    </row>
    <row r="589" spans="1:27" ht="15.75" customHeight="1">
      <c r="A589" s="71"/>
      <c r="B589" s="263"/>
      <c r="C589" s="264"/>
      <c r="D589" s="71"/>
      <c r="E589" s="71"/>
      <c r="F589" s="265"/>
      <c r="G589" s="263"/>
      <c r="H589" s="71"/>
      <c r="I589" s="265"/>
      <c r="J589" s="71"/>
      <c r="K589" s="266"/>
      <c r="L589" s="266"/>
      <c r="M589" s="266"/>
      <c r="N589" s="266"/>
      <c r="O589" s="266"/>
      <c r="P589" s="266"/>
      <c r="Q589" s="267"/>
      <c r="R589" s="71"/>
      <c r="S589" s="71"/>
      <c r="T589" s="222"/>
      <c r="U589" s="71"/>
      <c r="V589" s="71"/>
      <c r="W589" s="71"/>
      <c r="X589" s="71"/>
      <c r="Y589" s="71"/>
      <c r="Z589" s="71"/>
      <c r="AA589" s="71"/>
    </row>
    <row r="590" spans="1:27" ht="15.75" customHeight="1">
      <c r="A590" s="71"/>
      <c r="B590" s="263"/>
      <c r="C590" s="264"/>
      <c r="D590" s="71"/>
      <c r="E590" s="71"/>
      <c r="F590" s="265"/>
      <c r="G590" s="263"/>
      <c r="H590" s="71"/>
      <c r="I590" s="265"/>
      <c r="J590" s="71"/>
      <c r="K590" s="266"/>
      <c r="L590" s="266"/>
      <c r="M590" s="266"/>
      <c r="N590" s="266"/>
      <c r="O590" s="266"/>
      <c r="P590" s="266"/>
      <c r="Q590" s="267"/>
      <c r="R590" s="71"/>
      <c r="S590" s="71"/>
      <c r="T590" s="222"/>
      <c r="U590" s="71"/>
      <c r="V590" s="71"/>
      <c r="W590" s="71"/>
      <c r="X590" s="71"/>
      <c r="Y590" s="71"/>
      <c r="Z590" s="71"/>
      <c r="AA590" s="71"/>
    </row>
    <row r="591" spans="1:27" ht="15.75" customHeight="1">
      <c r="A591" s="71"/>
      <c r="B591" s="263"/>
      <c r="C591" s="264"/>
      <c r="D591" s="71"/>
      <c r="E591" s="71"/>
      <c r="F591" s="265"/>
      <c r="G591" s="263"/>
      <c r="H591" s="71"/>
      <c r="I591" s="265"/>
      <c r="J591" s="71"/>
      <c r="K591" s="266"/>
      <c r="L591" s="266"/>
      <c r="M591" s="266"/>
      <c r="N591" s="266"/>
      <c r="O591" s="266"/>
      <c r="P591" s="266"/>
      <c r="Q591" s="267"/>
      <c r="R591" s="71"/>
      <c r="S591" s="71"/>
      <c r="T591" s="222"/>
      <c r="U591" s="71"/>
      <c r="V591" s="71"/>
      <c r="W591" s="71"/>
      <c r="X591" s="71"/>
      <c r="Y591" s="71"/>
      <c r="Z591" s="71"/>
      <c r="AA591" s="71"/>
    </row>
    <row r="592" spans="1:27" ht="15.75" customHeight="1">
      <c r="A592" s="71"/>
      <c r="B592" s="263"/>
      <c r="C592" s="264"/>
      <c r="D592" s="71"/>
      <c r="E592" s="71"/>
      <c r="F592" s="265"/>
      <c r="G592" s="263"/>
      <c r="H592" s="71"/>
      <c r="I592" s="265"/>
      <c r="J592" s="71"/>
      <c r="K592" s="266"/>
      <c r="L592" s="266"/>
      <c r="M592" s="266"/>
      <c r="N592" s="266"/>
      <c r="O592" s="266"/>
      <c r="P592" s="266"/>
      <c r="Q592" s="267"/>
      <c r="R592" s="71"/>
      <c r="S592" s="71"/>
      <c r="T592" s="222"/>
      <c r="U592" s="71"/>
      <c r="V592" s="71"/>
      <c r="W592" s="71"/>
      <c r="X592" s="71"/>
      <c r="Y592" s="71"/>
      <c r="Z592" s="71"/>
      <c r="AA592" s="71"/>
    </row>
    <row r="593" spans="1:27" ht="15.75" customHeight="1">
      <c r="A593" s="71"/>
      <c r="B593" s="263"/>
      <c r="C593" s="264"/>
      <c r="D593" s="71"/>
      <c r="E593" s="71"/>
      <c r="F593" s="265"/>
      <c r="G593" s="263"/>
      <c r="H593" s="71"/>
      <c r="I593" s="265"/>
      <c r="J593" s="71"/>
      <c r="K593" s="266"/>
      <c r="L593" s="266"/>
      <c r="M593" s="266"/>
      <c r="N593" s="266"/>
      <c r="O593" s="266"/>
      <c r="P593" s="266"/>
      <c r="Q593" s="267"/>
      <c r="R593" s="71"/>
      <c r="S593" s="71"/>
      <c r="T593" s="222"/>
      <c r="U593" s="71"/>
      <c r="V593" s="71"/>
      <c r="W593" s="71"/>
      <c r="X593" s="71"/>
      <c r="Y593" s="71"/>
      <c r="Z593" s="71"/>
      <c r="AA593" s="71"/>
    </row>
    <row r="594" spans="1:27" ht="15.75" customHeight="1">
      <c r="A594" s="71"/>
      <c r="B594" s="263"/>
      <c r="C594" s="264"/>
      <c r="D594" s="71"/>
      <c r="E594" s="71"/>
      <c r="F594" s="265"/>
      <c r="G594" s="263"/>
      <c r="H594" s="71"/>
      <c r="I594" s="265"/>
      <c r="J594" s="71"/>
      <c r="K594" s="266"/>
      <c r="L594" s="266"/>
      <c r="M594" s="266"/>
      <c r="N594" s="266"/>
      <c r="O594" s="266"/>
      <c r="P594" s="266"/>
      <c r="Q594" s="267"/>
      <c r="R594" s="71"/>
      <c r="S594" s="71"/>
      <c r="T594" s="222"/>
      <c r="U594" s="71"/>
      <c r="V594" s="71"/>
      <c r="W594" s="71"/>
      <c r="X594" s="71"/>
      <c r="Y594" s="71"/>
      <c r="Z594" s="71"/>
      <c r="AA594" s="71"/>
    </row>
    <row r="595" spans="1:27" ht="15.75" customHeight="1">
      <c r="A595" s="71"/>
      <c r="B595" s="263"/>
      <c r="C595" s="264"/>
      <c r="D595" s="71"/>
      <c r="E595" s="71"/>
      <c r="F595" s="265"/>
      <c r="G595" s="263"/>
      <c r="H595" s="71"/>
      <c r="I595" s="265"/>
      <c r="J595" s="71"/>
      <c r="K595" s="266"/>
      <c r="L595" s="266"/>
      <c r="M595" s="266"/>
      <c r="N595" s="266"/>
      <c r="O595" s="266"/>
      <c r="P595" s="266"/>
      <c r="Q595" s="267"/>
      <c r="R595" s="71"/>
      <c r="S595" s="71"/>
      <c r="T595" s="222"/>
      <c r="U595" s="71"/>
      <c r="V595" s="71"/>
      <c r="W595" s="71"/>
      <c r="X595" s="71"/>
      <c r="Y595" s="71"/>
      <c r="Z595" s="71"/>
      <c r="AA595" s="71"/>
    </row>
    <row r="596" spans="1:27" ht="15.75" customHeight="1">
      <c r="A596" s="71"/>
      <c r="B596" s="263"/>
      <c r="C596" s="264"/>
      <c r="D596" s="71"/>
      <c r="E596" s="71"/>
      <c r="F596" s="265"/>
      <c r="G596" s="263"/>
      <c r="H596" s="71"/>
      <c r="I596" s="265"/>
      <c r="J596" s="71"/>
      <c r="K596" s="266"/>
      <c r="L596" s="266"/>
      <c r="M596" s="266"/>
      <c r="N596" s="266"/>
      <c r="O596" s="266"/>
      <c r="P596" s="266"/>
      <c r="Q596" s="267"/>
      <c r="R596" s="71"/>
      <c r="S596" s="71"/>
      <c r="T596" s="222"/>
      <c r="U596" s="71"/>
      <c r="V596" s="71"/>
      <c r="W596" s="71"/>
      <c r="X596" s="71"/>
      <c r="Y596" s="71"/>
      <c r="Z596" s="71"/>
      <c r="AA596" s="71"/>
    </row>
    <row r="597" spans="1:27" ht="15.75" customHeight="1">
      <c r="A597" s="71"/>
      <c r="B597" s="263"/>
      <c r="C597" s="264"/>
      <c r="D597" s="71"/>
      <c r="E597" s="71"/>
      <c r="F597" s="265"/>
      <c r="G597" s="263"/>
      <c r="H597" s="71"/>
      <c r="I597" s="265"/>
      <c r="J597" s="71"/>
      <c r="K597" s="266"/>
      <c r="L597" s="266"/>
      <c r="M597" s="266"/>
      <c r="N597" s="266"/>
      <c r="O597" s="266"/>
      <c r="P597" s="266"/>
      <c r="Q597" s="267"/>
      <c r="R597" s="71"/>
      <c r="S597" s="71"/>
      <c r="T597" s="222"/>
      <c r="U597" s="71"/>
      <c r="V597" s="71"/>
      <c r="W597" s="71"/>
      <c r="X597" s="71"/>
      <c r="Y597" s="71"/>
      <c r="Z597" s="71"/>
      <c r="AA597" s="71"/>
    </row>
    <row r="598" spans="1:27" ht="15.75" customHeight="1">
      <c r="A598" s="71"/>
      <c r="B598" s="263"/>
      <c r="C598" s="264"/>
      <c r="D598" s="71"/>
      <c r="E598" s="71"/>
      <c r="F598" s="265"/>
      <c r="G598" s="263"/>
      <c r="H598" s="71"/>
      <c r="I598" s="265"/>
      <c r="J598" s="71"/>
      <c r="K598" s="266"/>
      <c r="L598" s="266"/>
      <c r="M598" s="266"/>
      <c r="N598" s="266"/>
      <c r="O598" s="266"/>
      <c r="P598" s="266"/>
      <c r="Q598" s="267"/>
      <c r="R598" s="71"/>
      <c r="S598" s="71"/>
      <c r="T598" s="222"/>
      <c r="U598" s="71"/>
      <c r="V598" s="71"/>
      <c r="W598" s="71"/>
      <c r="X598" s="71"/>
      <c r="Y598" s="71"/>
      <c r="Z598" s="71"/>
      <c r="AA598" s="71"/>
    </row>
    <row r="599" spans="1:27" ht="15.75" customHeight="1">
      <c r="A599" s="71"/>
      <c r="B599" s="263"/>
      <c r="C599" s="264"/>
      <c r="D599" s="71"/>
      <c r="E599" s="71"/>
      <c r="F599" s="265"/>
      <c r="G599" s="263"/>
      <c r="H599" s="71"/>
      <c r="I599" s="265"/>
      <c r="J599" s="71"/>
      <c r="K599" s="266"/>
      <c r="L599" s="266"/>
      <c r="M599" s="266"/>
      <c r="N599" s="266"/>
      <c r="O599" s="266"/>
      <c r="P599" s="266"/>
      <c r="Q599" s="267"/>
      <c r="R599" s="71"/>
      <c r="S599" s="71"/>
      <c r="T599" s="222"/>
      <c r="U599" s="71"/>
      <c r="V599" s="71"/>
      <c r="W599" s="71"/>
      <c r="X599" s="71"/>
      <c r="Y599" s="71"/>
      <c r="Z599" s="71"/>
      <c r="AA599" s="71"/>
    </row>
    <row r="600" spans="1:27" ht="15.75" customHeight="1">
      <c r="A600" s="71"/>
      <c r="B600" s="263"/>
      <c r="C600" s="264"/>
      <c r="D600" s="71"/>
      <c r="E600" s="71"/>
      <c r="F600" s="265"/>
      <c r="G600" s="263"/>
      <c r="H600" s="71"/>
      <c r="I600" s="265"/>
      <c r="J600" s="71"/>
      <c r="K600" s="266"/>
      <c r="L600" s="266"/>
      <c r="M600" s="266"/>
      <c r="N600" s="266"/>
      <c r="O600" s="266"/>
      <c r="P600" s="266"/>
      <c r="Q600" s="267"/>
      <c r="R600" s="71"/>
      <c r="S600" s="71"/>
      <c r="T600" s="222"/>
      <c r="U600" s="71"/>
      <c r="V600" s="71"/>
      <c r="W600" s="71"/>
      <c r="X600" s="71"/>
      <c r="Y600" s="71"/>
      <c r="Z600" s="71"/>
      <c r="AA600" s="71"/>
    </row>
    <row r="601" spans="1:27" ht="15.75" customHeight="1">
      <c r="A601" s="71"/>
      <c r="B601" s="263"/>
      <c r="C601" s="264"/>
      <c r="D601" s="71"/>
      <c r="E601" s="71"/>
      <c r="F601" s="265"/>
      <c r="G601" s="263"/>
      <c r="H601" s="71"/>
      <c r="I601" s="265"/>
      <c r="J601" s="71"/>
      <c r="K601" s="266"/>
      <c r="L601" s="266"/>
      <c r="M601" s="266"/>
      <c r="N601" s="266"/>
      <c r="O601" s="266"/>
      <c r="P601" s="266"/>
      <c r="Q601" s="267"/>
      <c r="R601" s="71"/>
      <c r="S601" s="71"/>
      <c r="T601" s="222"/>
      <c r="U601" s="71"/>
      <c r="V601" s="71"/>
      <c r="W601" s="71"/>
      <c r="X601" s="71"/>
      <c r="Y601" s="71"/>
      <c r="Z601" s="71"/>
      <c r="AA601" s="71"/>
    </row>
    <row r="602" spans="1:27" ht="15.75" customHeight="1">
      <c r="A602" s="71"/>
      <c r="B602" s="263"/>
      <c r="C602" s="264"/>
      <c r="D602" s="71"/>
      <c r="E602" s="71"/>
      <c r="F602" s="265"/>
      <c r="G602" s="263"/>
      <c r="H602" s="71"/>
      <c r="I602" s="265"/>
      <c r="J602" s="71"/>
      <c r="K602" s="266"/>
      <c r="L602" s="266"/>
      <c r="M602" s="266"/>
      <c r="N602" s="266"/>
      <c r="O602" s="266"/>
      <c r="P602" s="266"/>
      <c r="Q602" s="267"/>
      <c r="R602" s="71"/>
      <c r="S602" s="71"/>
      <c r="T602" s="222"/>
      <c r="U602" s="71"/>
      <c r="V602" s="71"/>
      <c r="W602" s="71"/>
      <c r="X602" s="71"/>
      <c r="Y602" s="71"/>
      <c r="Z602" s="71"/>
      <c r="AA602" s="71"/>
    </row>
    <row r="603" spans="1:27" ht="15.75" customHeight="1">
      <c r="A603" s="71"/>
      <c r="B603" s="263"/>
      <c r="C603" s="264"/>
      <c r="D603" s="71"/>
      <c r="E603" s="71"/>
      <c r="F603" s="265"/>
      <c r="G603" s="263"/>
      <c r="H603" s="71"/>
      <c r="I603" s="265"/>
      <c r="J603" s="71"/>
      <c r="K603" s="266"/>
      <c r="L603" s="266"/>
      <c r="M603" s="266"/>
      <c r="N603" s="266"/>
      <c r="O603" s="266"/>
      <c r="P603" s="266"/>
      <c r="Q603" s="267"/>
      <c r="R603" s="71"/>
      <c r="S603" s="71"/>
      <c r="T603" s="222"/>
      <c r="U603" s="71"/>
      <c r="V603" s="71"/>
      <c r="W603" s="71"/>
      <c r="X603" s="71"/>
      <c r="Y603" s="71"/>
      <c r="Z603" s="71"/>
      <c r="AA603" s="71"/>
    </row>
    <row r="604" spans="1:27" ht="15.75" customHeight="1">
      <c r="A604" s="71"/>
      <c r="B604" s="263"/>
      <c r="C604" s="264"/>
      <c r="D604" s="71"/>
      <c r="E604" s="71"/>
      <c r="F604" s="265"/>
      <c r="G604" s="263"/>
      <c r="H604" s="71"/>
      <c r="I604" s="265"/>
      <c r="J604" s="71"/>
      <c r="K604" s="266"/>
      <c r="L604" s="266"/>
      <c r="M604" s="266"/>
      <c r="N604" s="266"/>
      <c r="O604" s="266"/>
      <c r="P604" s="266"/>
      <c r="Q604" s="267"/>
      <c r="R604" s="71"/>
      <c r="S604" s="71"/>
      <c r="T604" s="222"/>
      <c r="U604" s="71"/>
      <c r="V604" s="71"/>
      <c r="W604" s="71"/>
      <c r="X604" s="71"/>
      <c r="Y604" s="71"/>
      <c r="Z604" s="71"/>
      <c r="AA604" s="71"/>
    </row>
    <row r="605" spans="1:27" ht="15.75" customHeight="1">
      <c r="A605" s="71"/>
      <c r="B605" s="263"/>
      <c r="C605" s="264"/>
      <c r="D605" s="71"/>
      <c r="E605" s="71"/>
      <c r="F605" s="265"/>
      <c r="G605" s="263"/>
      <c r="H605" s="71"/>
      <c r="I605" s="265"/>
      <c r="J605" s="71"/>
      <c r="K605" s="266"/>
      <c r="L605" s="266"/>
      <c r="M605" s="266"/>
      <c r="N605" s="266"/>
      <c r="O605" s="266"/>
      <c r="P605" s="266"/>
      <c r="Q605" s="267"/>
      <c r="R605" s="71"/>
      <c r="S605" s="71"/>
      <c r="T605" s="222"/>
      <c r="U605" s="71"/>
      <c r="V605" s="71"/>
      <c r="W605" s="71"/>
      <c r="X605" s="71"/>
      <c r="Y605" s="71"/>
      <c r="Z605" s="71"/>
      <c r="AA605" s="71"/>
    </row>
    <row r="606" spans="1:27" ht="15.75" customHeight="1">
      <c r="A606" s="71"/>
      <c r="B606" s="263"/>
      <c r="C606" s="264"/>
      <c r="D606" s="71"/>
      <c r="E606" s="71"/>
      <c r="F606" s="265"/>
      <c r="G606" s="263"/>
      <c r="H606" s="71"/>
      <c r="I606" s="265"/>
      <c r="J606" s="71"/>
      <c r="K606" s="266"/>
      <c r="L606" s="266"/>
      <c r="M606" s="266"/>
      <c r="N606" s="266"/>
      <c r="O606" s="266"/>
      <c r="P606" s="266"/>
      <c r="Q606" s="267"/>
      <c r="R606" s="71"/>
      <c r="S606" s="71"/>
      <c r="T606" s="222"/>
      <c r="U606" s="71"/>
      <c r="V606" s="71"/>
      <c r="W606" s="71"/>
      <c r="X606" s="71"/>
      <c r="Y606" s="71"/>
      <c r="Z606" s="71"/>
      <c r="AA606" s="71"/>
    </row>
    <row r="607" spans="1:27" ht="15.75" customHeight="1">
      <c r="A607" s="71"/>
      <c r="B607" s="263"/>
      <c r="C607" s="264"/>
      <c r="D607" s="71"/>
      <c r="E607" s="71"/>
      <c r="F607" s="265"/>
      <c r="G607" s="263"/>
      <c r="H607" s="71"/>
      <c r="I607" s="265"/>
      <c r="J607" s="71"/>
      <c r="K607" s="266"/>
      <c r="L607" s="266"/>
      <c r="M607" s="266"/>
      <c r="N607" s="266"/>
      <c r="O607" s="266"/>
      <c r="P607" s="266"/>
      <c r="Q607" s="267"/>
      <c r="R607" s="71"/>
      <c r="S607" s="71"/>
      <c r="T607" s="222"/>
      <c r="U607" s="71"/>
      <c r="V607" s="71"/>
      <c r="W607" s="71"/>
      <c r="X607" s="71"/>
      <c r="Y607" s="71"/>
      <c r="Z607" s="71"/>
      <c r="AA607" s="71"/>
    </row>
    <row r="608" spans="1:27" ht="15.75" customHeight="1">
      <c r="A608" s="71"/>
      <c r="B608" s="263"/>
      <c r="C608" s="264"/>
      <c r="D608" s="71"/>
      <c r="E608" s="71"/>
      <c r="F608" s="265"/>
      <c r="G608" s="263"/>
      <c r="H608" s="71"/>
      <c r="I608" s="265"/>
      <c r="J608" s="71"/>
      <c r="K608" s="266"/>
      <c r="L608" s="266"/>
      <c r="M608" s="266"/>
      <c r="N608" s="266"/>
      <c r="O608" s="266"/>
      <c r="P608" s="266"/>
      <c r="Q608" s="267"/>
      <c r="R608" s="71"/>
      <c r="S608" s="71"/>
      <c r="T608" s="222"/>
      <c r="U608" s="71"/>
      <c r="V608" s="71"/>
      <c r="W608" s="71"/>
      <c r="X608" s="71"/>
      <c r="Y608" s="71"/>
      <c r="Z608" s="71"/>
      <c r="AA608" s="71"/>
    </row>
    <row r="609" spans="1:27" ht="15.75" customHeight="1">
      <c r="A609" s="71"/>
      <c r="B609" s="263"/>
      <c r="C609" s="264"/>
      <c r="D609" s="71"/>
      <c r="E609" s="71"/>
      <c r="F609" s="265"/>
      <c r="G609" s="263"/>
      <c r="H609" s="71"/>
      <c r="I609" s="265"/>
      <c r="J609" s="71"/>
      <c r="K609" s="266"/>
      <c r="L609" s="266"/>
      <c r="M609" s="266"/>
      <c r="N609" s="266"/>
      <c r="O609" s="266"/>
      <c r="P609" s="266"/>
      <c r="Q609" s="267"/>
      <c r="R609" s="71"/>
      <c r="S609" s="71"/>
      <c r="T609" s="222"/>
      <c r="U609" s="71"/>
      <c r="V609" s="71"/>
      <c r="W609" s="71"/>
      <c r="X609" s="71"/>
      <c r="Y609" s="71"/>
      <c r="Z609" s="71"/>
      <c r="AA609" s="71"/>
    </row>
    <row r="610" spans="1:27" ht="15.75" customHeight="1">
      <c r="A610" s="71"/>
      <c r="B610" s="263"/>
      <c r="C610" s="264"/>
      <c r="D610" s="71"/>
      <c r="E610" s="71"/>
      <c r="F610" s="265"/>
      <c r="G610" s="263"/>
      <c r="H610" s="71"/>
      <c r="I610" s="265"/>
      <c r="J610" s="71"/>
      <c r="K610" s="266"/>
      <c r="L610" s="266"/>
      <c r="M610" s="266"/>
      <c r="N610" s="266"/>
      <c r="O610" s="266"/>
      <c r="P610" s="266"/>
      <c r="Q610" s="267"/>
      <c r="R610" s="71"/>
      <c r="S610" s="71"/>
      <c r="T610" s="222"/>
      <c r="U610" s="71"/>
      <c r="V610" s="71"/>
      <c r="W610" s="71"/>
      <c r="X610" s="71"/>
      <c r="Y610" s="71"/>
      <c r="Z610" s="71"/>
      <c r="AA610" s="71"/>
    </row>
    <row r="611" spans="1:27" ht="15.75" customHeight="1">
      <c r="A611" s="71"/>
      <c r="B611" s="263"/>
      <c r="C611" s="264"/>
      <c r="D611" s="71"/>
      <c r="E611" s="71"/>
      <c r="F611" s="265"/>
      <c r="G611" s="263"/>
      <c r="H611" s="71"/>
      <c r="I611" s="265"/>
      <c r="J611" s="71"/>
      <c r="K611" s="266"/>
      <c r="L611" s="266"/>
      <c r="M611" s="266"/>
      <c r="N611" s="266"/>
      <c r="O611" s="266"/>
      <c r="P611" s="266"/>
      <c r="Q611" s="267"/>
      <c r="R611" s="71"/>
      <c r="S611" s="71"/>
      <c r="T611" s="222"/>
      <c r="U611" s="71"/>
      <c r="V611" s="71"/>
      <c r="W611" s="71"/>
      <c r="X611" s="71"/>
      <c r="Y611" s="71"/>
      <c r="Z611" s="71"/>
      <c r="AA611" s="71"/>
    </row>
    <row r="612" spans="1:27" ht="15.75" customHeight="1">
      <c r="A612" s="71"/>
      <c r="B612" s="263"/>
      <c r="C612" s="264"/>
      <c r="D612" s="71"/>
      <c r="E612" s="71"/>
      <c r="F612" s="265"/>
      <c r="G612" s="263"/>
      <c r="H612" s="71"/>
      <c r="I612" s="265"/>
      <c r="J612" s="71"/>
      <c r="K612" s="266"/>
      <c r="L612" s="266"/>
      <c r="M612" s="266"/>
      <c r="N612" s="266"/>
      <c r="O612" s="266"/>
      <c r="P612" s="266"/>
      <c r="Q612" s="267"/>
      <c r="R612" s="71"/>
      <c r="S612" s="71"/>
      <c r="T612" s="222"/>
      <c r="U612" s="71"/>
      <c r="V612" s="71"/>
      <c r="W612" s="71"/>
      <c r="X612" s="71"/>
      <c r="Y612" s="71"/>
      <c r="Z612" s="71"/>
      <c r="AA612" s="71"/>
    </row>
    <row r="613" spans="1:27" ht="15.75" customHeight="1">
      <c r="A613" s="71"/>
      <c r="B613" s="263"/>
      <c r="C613" s="264"/>
      <c r="D613" s="71"/>
      <c r="E613" s="71"/>
      <c r="F613" s="265"/>
      <c r="G613" s="263"/>
      <c r="H613" s="71"/>
      <c r="I613" s="265"/>
      <c r="J613" s="71"/>
      <c r="K613" s="266"/>
      <c r="L613" s="266"/>
      <c r="M613" s="266"/>
      <c r="N613" s="266"/>
      <c r="O613" s="266"/>
      <c r="P613" s="266"/>
      <c r="Q613" s="267"/>
      <c r="R613" s="71"/>
      <c r="S613" s="71"/>
      <c r="T613" s="222"/>
      <c r="U613" s="71"/>
      <c r="V613" s="71"/>
      <c r="W613" s="71"/>
      <c r="X613" s="71"/>
      <c r="Y613" s="71"/>
      <c r="Z613" s="71"/>
      <c r="AA613" s="71"/>
    </row>
    <row r="614" spans="1:27" ht="15.75" customHeight="1">
      <c r="A614" s="71"/>
      <c r="B614" s="263"/>
      <c r="C614" s="264"/>
      <c r="D614" s="71"/>
      <c r="E614" s="71"/>
      <c r="F614" s="265"/>
      <c r="G614" s="263"/>
      <c r="H614" s="71"/>
      <c r="I614" s="265"/>
      <c r="J614" s="71"/>
      <c r="K614" s="266"/>
      <c r="L614" s="266"/>
      <c r="M614" s="266"/>
      <c r="N614" s="266"/>
      <c r="O614" s="266"/>
      <c r="P614" s="266"/>
      <c r="Q614" s="267"/>
      <c r="R614" s="71"/>
      <c r="S614" s="71"/>
      <c r="T614" s="222"/>
      <c r="U614" s="71"/>
      <c r="V614" s="71"/>
      <c r="W614" s="71"/>
      <c r="X614" s="71"/>
      <c r="Y614" s="71"/>
      <c r="Z614" s="71"/>
      <c r="AA614" s="71"/>
    </row>
    <row r="615" spans="1:27" ht="15.75" customHeight="1">
      <c r="A615" s="71"/>
      <c r="B615" s="263"/>
      <c r="C615" s="264"/>
      <c r="D615" s="71"/>
      <c r="E615" s="71"/>
      <c r="F615" s="265"/>
      <c r="G615" s="263"/>
      <c r="H615" s="71"/>
      <c r="I615" s="265"/>
      <c r="J615" s="71"/>
      <c r="K615" s="266"/>
      <c r="L615" s="266"/>
      <c r="M615" s="266"/>
      <c r="N615" s="266"/>
      <c r="O615" s="266"/>
      <c r="P615" s="266"/>
      <c r="Q615" s="267"/>
      <c r="R615" s="71"/>
      <c r="S615" s="71"/>
      <c r="T615" s="222"/>
      <c r="U615" s="71"/>
      <c r="V615" s="71"/>
      <c r="W615" s="71"/>
      <c r="X615" s="71"/>
      <c r="Y615" s="71"/>
      <c r="Z615" s="71"/>
      <c r="AA615" s="71"/>
    </row>
    <row r="616" spans="1:27" ht="15.75" customHeight="1">
      <c r="A616" s="71"/>
      <c r="B616" s="263"/>
      <c r="C616" s="264"/>
      <c r="D616" s="71"/>
      <c r="E616" s="71"/>
      <c r="F616" s="265"/>
      <c r="G616" s="263"/>
      <c r="H616" s="71"/>
      <c r="I616" s="265"/>
      <c r="J616" s="71"/>
      <c r="K616" s="266"/>
      <c r="L616" s="266"/>
      <c r="M616" s="266"/>
      <c r="N616" s="266"/>
      <c r="O616" s="266"/>
      <c r="P616" s="266"/>
      <c r="Q616" s="267"/>
      <c r="R616" s="71"/>
      <c r="S616" s="71"/>
      <c r="T616" s="222"/>
      <c r="U616" s="71"/>
      <c r="V616" s="71"/>
      <c r="W616" s="71"/>
      <c r="X616" s="71"/>
      <c r="Y616" s="71"/>
      <c r="Z616" s="71"/>
      <c r="AA616" s="71"/>
    </row>
    <row r="617" spans="1:27" ht="15.75" customHeight="1">
      <c r="A617" s="71"/>
      <c r="B617" s="263"/>
      <c r="C617" s="264"/>
      <c r="D617" s="71"/>
      <c r="E617" s="71"/>
      <c r="F617" s="265"/>
      <c r="G617" s="263"/>
      <c r="H617" s="71"/>
      <c r="I617" s="265"/>
      <c r="J617" s="71"/>
      <c r="K617" s="266"/>
      <c r="L617" s="266"/>
      <c r="M617" s="266"/>
      <c r="N617" s="266"/>
      <c r="O617" s="266"/>
      <c r="P617" s="266"/>
      <c r="Q617" s="267"/>
      <c r="R617" s="71"/>
      <c r="S617" s="71"/>
      <c r="T617" s="222"/>
      <c r="U617" s="71"/>
      <c r="V617" s="71"/>
      <c r="W617" s="71"/>
      <c r="X617" s="71"/>
      <c r="Y617" s="71"/>
      <c r="Z617" s="71"/>
      <c r="AA617" s="71"/>
    </row>
    <row r="618" spans="1:27" ht="15.75" customHeight="1">
      <c r="A618" s="71"/>
      <c r="B618" s="263"/>
      <c r="C618" s="264"/>
      <c r="D618" s="71"/>
      <c r="E618" s="71"/>
      <c r="F618" s="265"/>
      <c r="G618" s="263"/>
      <c r="H618" s="71"/>
      <c r="I618" s="265"/>
      <c r="J618" s="71"/>
      <c r="K618" s="266"/>
      <c r="L618" s="266"/>
      <c r="M618" s="266"/>
      <c r="N618" s="266"/>
      <c r="O618" s="266"/>
      <c r="P618" s="266"/>
      <c r="Q618" s="267"/>
      <c r="R618" s="71"/>
      <c r="S618" s="71"/>
      <c r="T618" s="222"/>
      <c r="U618" s="71"/>
      <c r="V618" s="71"/>
      <c r="W618" s="71"/>
      <c r="X618" s="71"/>
      <c r="Y618" s="71"/>
      <c r="Z618" s="71"/>
      <c r="AA618" s="71"/>
    </row>
    <row r="619" spans="1:27" ht="15.75" customHeight="1">
      <c r="A619" s="71"/>
      <c r="B619" s="263"/>
      <c r="C619" s="264"/>
      <c r="D619" s="71"/>
      <c r="E619" s="71"/>
      <c r="F619" s="265"/>
      <c r="G619" s="263"/>
      <c r="H619" s="71"/>
      <c r="I619" s="265"/>
      <c r="J619" s="71"/>
      <c r="K619" s="266"/>
      <c r="L619" s="266"/>
      <c r="M619" s="266"/>
      <c r="N619" s="266"/>
      <c r="O619" s="266"/>
      <c r="P619" s="266"/>
      <c r="Q619" s="267"/>
      <c r="R619" s="71"/>
      <c r="S619" s="71"/>
      <c r="T619" s="222"/>
      <c r="U619" s="71"/>
      <c r="V619" s="71"/>
      <c r="W619" s="71"/>
      <c r="X619" s="71"/>
      <c r="Y619" s="71"/>
      <c r="Z619" s="71"/>
      <c r="AA619" s="71"/>
    </row>
    <row r="620" spans="1:27" ht="15.75" customHeight="1">
      <c r="A620" s="71"/>
      <c r="B620" s="263"/>
      <c r="C620" s="264"/>
      <c r="D620" s="71"/>
      <c r="E620" s="71"/>
      <c r="F620" s="265"/>
      <c r="G620" s="263"/>
      <c r="H620" s="71"/>
      <c r="I620" s="265"/>
      <c r="J620" s="71"/>
      <c r="K620" s="266"/>
      <c r="L620" s="266"/>
      <c r="M620" s="266"/>
      <c r="N620" s="266"/>
      <c r="O620" s="266"/>
      <c r="P620" s="266"/>
      <c r="Q620" s="267"/>
      <c r="R620" s="71"/>
      <c r="S620" s="71"/>
      <c r="T620" s="222"/>
      <c r="U620" s="71"/>
      <c r="V620" s="71"/>
      <c r="W620" s="71"/>
      <c r="X620" s="71"/>
      <c r="Y620" s="71"/>
      <c r="Z620" s="71"/>
      <c r="AA620" s="71"/>
    </row>
    <row r="621" spans="1:27" ht="15.75" customHeight="1">
      <c r="A621" s="71"/>
      <c r="B621" s="263"/>
      <c r="C621" s="264"/>
      <c r="D621" s="71"/>
      <c r="E621" s="71"/>
      <c r="F621" s="265"/>
      <c r="G621" s="263"/>
      <c r="H621" s="71"/>
      <c r="I621" s="265"/>
      <c r="J621" s="71"/>
      <c r="K621" s="266"/>
      <c r="L621" s="266"/>
      <c r="M621" s="266"/>
      <c r="N621" s="266"/>
      <c r="O621" s="266"/>
      <c r="P621" s="266"/>
      <c r="Q621" s="267"/>
      <c r="R621" s="71"/>
      <c r="S621" s="71"/>
      <c r="T621" s="222"/>
      <c r="U621" s="71"/>
      <c r="V621" s="71"/>
      <c r="W621" s="71"/>
      <c r="X621" s="71"/>
      <c r="Y621" s="71"/>
      <c r="Z621" s="71"/>
      <c r="AA621" s="71"/>
    </row>
    <row r="622" spans="1:27" ht="15.75" customHeight="1">
      <c r="A622" s="71"/>
      <c r="B622" s="263"/>
      <c r="C622" s="264"/>
      <c r="D622" s="71"/>
      <c r="E622" s="71"/>
      <c r="F622" s="265"/>
      <c r="G622" s="263"/>
      <c r="H622" s="71"/>
      <c r="I622" s="265"/>
      <c r="J622" s="71"/>
      <c r="K622" s="266"/>
      <c r="L622" s="266"/>
      <c r="M622" s="266"/>
      <c r="N622" s="266"/>
      <c r="O622" s="266"/>
      <c r="P622" s="266"/>
      <c r="Q622" s="267"/>
      <c r="R622" s="71"/>
      <c r="S622" s="71"/>
      <c r="T622" s="222"/>
      <c r="U622" s="71"/>
      <c r="V622" s="71"/>
      <c r="W622" s="71"/>
      <c r="X622" s="71"/>
      <c r="Y622" s="71"/>
      <c r="Z622" s="71"/>
      <c r="AA622" s="71"/>
    </row>
    <row r="623" spans="1:27" ht="15.75" customHeight="1">
      <c r="A623" s="71"/>
      <c r="B623" s="263"/>
      <c r="C623" s="264"/>
      <c r="D623" s="71"/>
      <c r="E623" s="71"/>
      <c r="F623" s="265"/>
      <c r="G623" s="263"/>
      <c r="H623" s="71"/>
      <c r="I623" s="265"/>
      <c r="J623" s="71"/>
      <c r="K623" s="266"/>
      <c r="L623" s="266"/>
      <c r="M623" s="266"/>
      <c r="N623" s="266"/>
      <c r="O623" s="266"/>
      <c r="P623" s="266"/>
      <c r="Q623" s="267"/>
      <c r="R623" s="71"/>
      <c r="S623" s="71"/>
      <c r="T623" s="222"/>
      <c r="U623" s="71"/>
      <c r="V623" s="71"/>
      <c r="W623" s="71"/>
      <c r="X623" s="71"/>
      <c r="Y623" s="71"/>
      <c r="Z623" s="71"/>
      <c r="AA623" s="71"/>
    </row>
    <row r="624" spans="1:27" ht="15.75" customHeight="1">
      <c r="A624" s="71"/>
      <c r="B624" s="263"/>
      <c r="C624" s="264"/>
      <c r="D624" s="71"/>
      <c r="E624" s="71"/>
      <c r="F624" s="265"/>
      <c r="G624" s="263"/>
      <c r="H624" s="71"/>
      <c r="I624" s="265"/>
      <c r="J624" s="71"/>
      <c r="K624" s="266"/>
      <c r="L624" s="266"/>
      <c r="M624" s="266"/>
      <c r="N624" s="266"/>
      <c r="O624" s="266"/>
      <c r="P624" s="266"/>
      <c r="Q624" s="267"/>
      <c r="R624" s="71"/>
      <c r="S624" s="71"/>
      <c r="T624" s="222"/>
      <c r="U624" s="71"/>
      <c r="V624" s="71"/>
      <c r="W624" s="71"/>
      <c r="X624" s="71"/>
      <c r="Y624" s="71"/>
      <c r="Z624" s="71"/>
      <c r="AA624" s="71"/>
    </row>
    <row r="625" spans="1:27" ht="15.75" customHeight="1">
      <c r="A625" s="71"/>
      <c r="B625" s="263"/>
      <c r="C625" s="264"/>
      <c r="D625" s="71"/>
      <c r="E625" s="71"/>
      <c r="F625" s="265"/>
      <c r="G625" s="263"/>
      <c r="H625" s="71"/>
      <c r="I625" s="265"/>
      <c r="J625" s="71"/>
      <c r="K625" s="266"/>
      <c r="L625" s="266"/>
      <c r="M625" s="266"/>
      <c r="N625" s="266"/>
      <c r="O625" s="266"/>
      <c r="P625" s="266"/>
      <c r="Q625" s="267"/>
      <c r="R625" s="71"/>
      <c r="S625" s="71"/>
      <c r="T625" s="222"/>
      <c r="U625" s="71"/>
      <c r="V625" s="71"/>
      <c r="W625" s="71"/>
      <c r="X625" s="71"/>
      <c r="Y625" s="71"/>
      <c r="Z625" s="71"/>
      <c r="AA625" s="71"/>
    </row>
    <row r="626" spans="1:27" ht="15.75" customHeight="1">
      <c r="A626" s="71"/>
      <c r="B626" s="263"/>
      <c r="C626" s="264"/>
      <c r="D626" s="71"/>
      <c r="E626" s="71"/>
      <c r="F626" s="265"/>
      <c r="G626" s="263"/>
      <c r="H626" s="71"/>
      <c r="I626" s="265"/>
      <c r="J626" s="71"/>
      <c r="K626" s="266"/>
      <c r="L626" s="266"/>
      <c r="M626" s="266"/>
      <c r="N626" s="266"/>
      <c r="O626" s="266"/>
      <c r="P626" s="266"/>
      <c r="Q626" s="267"/>
      <c r="R626" s="71"/>
      <c r="S626" s="71"/>
      <c r="T626" s="222"/>
      <c r="U626" s="71"/>
      <c r="V626" s="71"/>
      <c r="W626" s="71"/>
      <c r="X626" s="71"/>
      <c r="Y626" s="71"/>
      <c r="Z626" s="71"/>
      <c r="AA626" s="71"/>
    </row>
    <row r="627" spans="1:27" ht="15.75" customHeight="1">
      <c r="A627" s="71"/>
      <c r="B627" s="263"/>
      <c r="C627" s="264"/>
      <c r="D627" s="71"/>
      <c r="E627" s="71"/>
      <c r="F627" s="265"/>
      <c r="G627" s="263"/>
      <c r="H627" s="71"/>
      <c r="I627" s="265"/>
      <c r="J627" s="71"/>
      <c r="K627" s="266"/>
      <c r="L627" s="266"/>
      <c r="M627" s="266"/>
      <c r="N627" s="266"/>
      <c r="O627" s="266"/>
      <c r="P627" s="266"/>
      <c r="Q627" s="267"/>
      <c r="R627" s="71"/>
      <c r="S627" s="71"/>
      <c r="T627" s="222"/>
      <c r="U627" s="71"/>
      <c r="V627" s="71"/>
      <c r="W627" s="71"/>
      <c r="X627" s="71"/>
      <c r="Y627" s="71"/>
      <c r="Z627" s="71"/>
      <c r="AA627" s="71"/>
    </row>
    <row r="628" spans="1:27" ht="15.75" customHeight="1">
      <c r="A628" s="71"/>
      <c r="B628" s="263"/>
      <c r="C628" s="264"/>
      <c r="D628" s="71"/>
      <c r="E628" s="71"/>
      <c r="F628" s="265"/>
      <c r="G628" s="263"/>
      <c r="H628" s="71"/>
      <c r="I628" s="265"/>
      <c r="J628" s="71"/>
      <c r="K628" s="266"/>
      <c r="L628" s="266"/>
      <c r="M628" s="266"/>
      <c r="N628" s="266"/>
      <c r="O628" s="266"/>
      <c r="P628" s="266"/>
      <c r="Q628" s="267"/>
      <c r="R628" s="71"/>
      <c r="S628" s="71"/>
      <c r="T628" s="222"/>
      <c r="U628" s="71"/>
      <c r="V628" s="71"/>
      <c r="W628" s="71"/>
      <c r="X628" s="71"/>
      <c r="Y628" s="71"/>
      <c r="Z628" s="71"/>
      <c r="AA628" s="71"/>
    </row>
    <row r="629" spans="1:27" ht="15.75" customHeight="1">
      <c r="A629" s="71"/>
      <c r="B629" s="263"/>
      <c r="C629" s="264"/>
      <c r="D629" s="71"/>
      <c r="E629" s="71"/>
      <c r="F629" s="265"/>
      <c r="G629" s="263"/>
      <c r="H629" s="71"/>
      <c r="I629" s="265"/>
      <c r="J629" s="71"/>
      <c r="K629" s="266"/>
      <c r="L629" s="266"/>
      <c r="M629" s="266"/>
      <c r="N629" s="266"/>
      <c r="O629" s="266"/>
      <c r="P629" s="266"/>
      <c r="Q629" s="267"/>
      <c r="R629" s="71"/>
      <c r="S629" s="71"/>
      <c r="T629" s="222"/>
      <c r="U629" s="71"/>
      <c r="V629" s="71"/>
      <c r="W629" s="71"/>
      <c r="X629" s="71"/>
      <c r="Y629" s="71"/>
      <c r="Z629" s="71"/>
      <c r="AA629" s="71"/>
    </row>
    <row r="630" spans="1:27" ht="15.75" customHeight="1">
      <c r="A630" s="71"/>
      <c r="B630" s="263"/>
      <c r="C630" s="264"/>
      <c r="D630" s="71"/>
      <c r="E630" s="71"/>
      <c r="F630" s="265"/>
      <c r="G630" s="263"/>
      <c r="H630" s="71"/>
      <c r="I630" s="265"/>
      <c r="J630" s="71"/>
      <c r="K630" s="266"/>
      <c r="L630" s="266"/>
      <c r="M630" s="266"/>
      <c r="N630" s="266"/>
      <c r="O630" s="266"/>
      <c r="P630" s="266"/>
      <c r="Q630" s="267"/>
      <c r="R630" s="71"/>
      <c r="S630" s="71"/>
      <c r="T630" s="222"/>
      <c r="U630" s="71"/>
      <c r="V630" s="71"/>
      <c r="W630" s="71"/>
      <c r="X630" s="71"/>
      <c r="Y630" s="71"/>
      <c r="Z630" s="71"/>
      <c r="AA630" s="71"/>
    </row>
    <row r="631" spans="1:27" ht="15.75" customHeight="1">
      <c r="A631" s="71"/>
      <c r="B631" s="263"/>
      <c r="C631" s="264"/>
      <c r="D631" s="71"/>
      <c r="E631" s="71"/>
      <c r="F631" s="265"/>
      <c r="G631" s="263"/>
      <c r="H631" s="71"/>
      <c r="I631" s="265"/>
      <c r="J631" s="71"/>
      <c r="K631" s="266"/>
      <c r="L631" s="266"/>
      <c r="M631" s="266"/>
      <c r="N631" s="266"/>
      <c r="O631" s="266"/>
      <c r="P631" s="266"/>
      <c r="Q631" s="267"/>
      <c r="R631" s="71"/>
      <c r="S631" s="71"/>
      <c r="T631" s="222"/>
      <c r="U631" s="71"/>
      <c r="V631" s="71"/>
      <c r="W631" s="71"/>
      <c r="X631" s="71"/>
      <c r="Y631" s="71"/>
      <c r="Z631" s="71"/>
      <c r="AA631" s="71"/>
    </row>
    <row r="632" spans="1:27" ht="15.75" customHeight="1">
      <c r="A632" s="71"/>
      <c r="B632" s="263"/>
      <c r="C632" s="264"/>
      <c r="D632" s="71"/>
      <c r="E632" s="71"/>
      <c r="F632" s="265"/>
      <c r="G632" s="263"/>
      <c r="H632" s="71"/>
      <c r="I632" s="265"/>
      <c r="J632" s="71"/>
      <c r="K632" s="266"/>
      <c r="L632" s="266"/>
      <c r="M632" s="266"/>
      <c r="N632" s="266"/>
      <c r="O632" s="266"/>
      <c r="P632" s="266"/>
      <c r="Q632" s="267"/>
      <c r="R632" s="71"/>
      <c r="S632" s="71"/>
      <c r="T632" s="222"/>
      <c r="U632" s="71"/>
      <c r="V632" s="71"/>
      <c r="W632" s="71"/>
      <c r="X632" s="71"/>
      <c r="Y632" s="71"/>
      <c r="Z632" s="71"/>
      <c r="AA632" s="71"/>
    </row>
    <row r="633" spans="1:27" ht="15.75" customHeight="1">
      <c r="A633" s="71"/>
      <c r="B633" s="263"/>
      <c r="C633" s="264"/>
      <c r="D633" s="71"/>
      <c r="E633" s="71"/>
      <c r="F633" s="265"/>
      <c r="G633" s="263"/>
      <c r="H633" s="71"/>
      <c r="I633" s="265"/>
      <c r="J633" s="71"/>
      <c r="K633" s="266"/>
      <c r="L633" s="266"/>
      <c r="M633" s="266"/>
      <c r="N633" s="266"/>
      <c r="O633" s="266"/>
      <c r="P633" s="266"/>
      <c r="Q633" s="267"/>
      <c r="R633" s="71"/>
      <c r="S633" s="71"/>
      <c r="T633" s="222"/>
      <c r="U633" s="71"/>
      <c r="V633" s="71"/>
      <c r="W633" s="71"/>
      <c r="X633" s="71"/>
      <c r="Y633" s="71"/>
      <c r="Z633" s="71"/>
      <c r="AA633" s="71"/>
    </row>
    <row r="634" spans="1:27" ht="15.75" customHeight="1">
      <c r="A634" s="71"/>
      <c r="B634" s="263"/>
      <c r="C634" s="264"/>
      <c r="D634" s="71"/>
      <c r="E634" s="71"/>
      <c r="F634" s="265"/>
      <c r="G634" s="263"/>
      <c r="H634" s="71"/>
      <c r="I634" s="265"/>
      <c r="J634" s="71"/>
      <c r="K634" s="266"/>
      <c r="L634" s="266"/>
      <c r="M634" s="266"/>
      <c r="N634" s="266"/>
      <c r="O634" s="266"/>
      <c r="P634" s="266"/>
      <c r="Q634" s="267"/>
      <c r="R634" s="71"/>
      <c r="S634" s="71"/>
      <c r="T634" s="222"/>
      <c r="U634" s="71"/>
      <c r="V634" s="71"/>
      <c r="W634" s="71"/>
      <c r="X634" s="71"/>
      <c r="Y634" s="71"/>
      <c r="Z634" s="71"/>
      <c r="AA634" s="71"/>
    </row>
    <row r="635" spans="1:27" ht="15.75" customHeight="1">
      <c r="A635" s="71"/>
      <c r="B635" s="263"/>
      <c r="C635" s="264"/>
      <c r="D635" s="71"/>
      <c r="E635" s="71"/>
      <c r="F635" s="265"/>
      <c r="G635" s="263"/>
      <c r="H635" s="71"/>
      <c r="I635" s="265"/>
      <c r="J635" s="71"/>
      <c r="K635" s="266"/>
      <c r="L635" s="266"/>
      <c r="M635" s="266"/>
      <c r="N635" s="266"/>
      <c r="O635" s="266"/>
      <c r="P635" s="266"/>
      <c r="Q635" s="267"/>
      <c r="R635" s="71"/>
      <c r="S635" s="71"/>
      <c r="T635" s="222"/>
      <c r="U635" s="71"/>
      <c r="V635" s="71"/>
      <c r="W635" s="71"/>
      <c r="X635" s="71"/>
      <c r="Y635" s="71"/>
      <c r="Z635" s="71"/>
      <c r="AA635" s="71"/>
    </row>
    <row r="636" spans="1:27" ht="15.75" customHeight="1">
      <c r="A636" s="71"/>
      <c r="B636" s="263"/>
      <c r="C636" s="264"/>
      <c r="D636" s="71"/>
      <c r="E636" s="71"/>
      <c r="F636" s="265"/>
      <c r="G636" s="263"/>
      <c r="H636" s="71"/>
      <c r="I636" s="265"/>
      <c r="J636" s="71"/>
      <c r="K636" s="266"/>
      <c r="L636" s="266"/>
      <c r="M636" s="266"/>
      <c r="N636" s="266"/>
      <c r="O636" s="266"/>
      <c r="P636" s="266"/>
      <c r="Q636" s="267"/>
      <c r="R636" s="71"/>
      <c r="S636" s="71"/>
      <c r="T636" s="222"/>
      <c r="U636" s="71"/>
      <c r="V636" s="71"/>
      <c r="W636" s="71"/>
      <c r="X636" s="71"/>
      <c r="Y636" s="71"/>
      <c r="Z636" s="71"/>
      <c r="AA636" s="71"/>
    </row>
    <row r="637" spans="1:27" ht="15.75" customHeight="1">
      <c r="A637" s="71"/>
      <c r="B637" s="263"/>
      <c r="C637" s="264"/>
      <c r="D637" s="71"/>
      <c r="E637" s="71"/>
      <c r="F637" s="265"/>
      <c r="G637" s="263"/>
      <c r="H637" s="71"/>
      <c r="I637" s="265"/>
      <c r="J637" s="71"/>
      <c r="K637" s="266"/>
      <c r="L637" s="266"/>
      <c r="M637" s="266"/>
      <c r="N637" s="266"/>
      <c r="O637" s="266"/>
      <c r="P637" s="266"/>
      <c r="Q637" s="267"/>
      <c r="R637" s="71"/>
      <c r="S637" s="71"/>
      <c r="T637" s="222"/>
      <c r="U637" s="71"/>
      <c r="V637" s="71"/>
      <c r="W637" s="71"/>
      <c r="X637" s="71"/>
      <c r="Y637" s="71"/>
      <c r="Z637" s="71"/>
      <c r="AA637" s="71"/>
    </row>
    <row r="638" spans="1:27" ht="15.75" customHeight="1">
      <c r="A638" s="71"/>
      <c r="B638" s="263"/>
      <c r="C638" s="264"/>
      <c r="D638" s="71"/>
      <c r="E638" s="71"/>
      <c r="F638" s="265"/>
      <c r="G638" s="263"/>
      <c r="H638" s="71"/>
      <c r="I638" s="265"/>
      <c r="J638" s="71"/>
      <c r="K638" s="266"/>
      <c r="L638" s="266"/>
      <c r="M638" s="266"/>
      <c r="N638" s="266"/>
      <c r="O638" s="266"/>
      <c r="P638" s="266"/>
      <c r="Q638" s="267"/>
      <c r="R638" s="71"/>
      <c r="S638" s="71"/>
      <c r="T638" s="222"/>
      <c r="U638" s="71"/>
      <c r="V638" s="71"/>
      <c r="W638" s="71"/>
      <c r="X638" s="71"/>
      <c r="Y638" s="71"/>
      <c r="Z638" s="71"/>
      <c r="AA638" s="71"/>
    </row>
    <row r="639" spans="1:27" ht="15.75" customHeight="1">
      <c r="A639" s="71"/>
      <c r="B639" s="263"/>
      <c r="C639" s="264"/>
      <c r="D639" s="71"/>
      <c r="E639" s="71"/>
      <c r="F639" s="265"/>
      <c r="G639" s="263"/>
      <c r="H639" s="71"/>
      <c r="I639" s="265"/>
      <c r="J639" s="71"/>
      <c r="K639" s="266"/>
      <c r="L639" s="266"/>
      <c r="M639" s="266"/>
      <c r="N639" s="266"/>
      <c r="O639" s="266"/>
      <c r="P639" s="266"/>
      <c r="Q639" s="267"/>
      <c r="R639" s="71"/>
      <c r="S639" s="71"/>
      <c r="T639" s="222"/>
      <c r="U639" s="71"/>
      <c r="V639" s="71"/>
      <c r="W639" s="71"/>
      <c r="X639" s="71"/>
      <c r="Y639" s="71"/>
      <c r="Z639" s="71"/>
      <c r="AA639" s="71"/>
    </row>
    <row r="640" spans="1:27" ht="15.75" customHeight="1">
      <c r="A640" s="71"/>
      <c r="B640" s="263"/>
      <c r="C640" s="264"/>
      <c r="D640" s="71"/>
      <c r="E640" s="71"/>
      <c r="F640" s="265"/>
      <c r="G640" s="263"/>
      <c r="H640" s="71"/>
      <c r="I640" s="265"/>
      <c r="J640" s="71"/>
      <c r="K640" s="266"/>
      <c r="L640" s="266"/>
      <c r="M640" s="266"/>
      <c r="N640" s="266"/>
      <c r="O640" s="266"/>
      <c r="P640" s="266"/>
      <c r="Q640" s="267"/>
      <c r="R640" s="71"/>
      <c r="S640" s="71"/>
      <c r="T640" s="222"/>
      <c r="U640" s="71"/>
      <c r="V640" s="71"/>
      <c r="W640" s="71"/>
      <c r="X640" s="71"/>
      <c r="Y640" s="71"/>
      <c r="Z640" s="71"/>
      <c r="AA640" s="71"/>
    </row>
    <row r="641" spans="1:27" ht="15.75" customHeight="1">
      <c r="A641" s="71"/>
      <c r="B641" s="263"/>
      <c r="C641" s="264"/>
      <c r="D641" s="71"/>
      <c r="E641" s="71"/>
      <c r="F641" s="265"/>
      <c r="G641" s="263"/>
      <c r="H641" s="71"/>
      <c r="I641" s="265"/>
      <c r="J641" s="71"/>
      <c r="K641" s="266"/>
      <c r="L641" s="266"/>
      <c r="M641" s="266"/>
      <c r="N641" s="266"/>
      <c r="O641" s="266"/>
      <c r="P641" s="266"/>
      <c r="Q641" s="267"/>
      <c r="R641" s="71"/>
      <c r="S641" s="71"/>
      <c r="T641" s="222"/>
      <c r="U641" s="71"/>
      <c r="V641" s="71"/>
      <c r="W641" s="71"/>
      <c r="X641" s="71"/>
      <c r="Y641" s="71"/>
      <c r="Z641" s="71"/>
      <c r="AA641" s="71"/>
    </row>
    <row r="642" spans="1:27" ht="15.75" customHeight="1">
      <c r="A642" s="71"/>
      <c r="B642" s="263"/>
      <c r="C642" s="264"/>
      <c r="D642" s="71"/>
      <c r="E642" s="71"/>
      <c r="F642" s="265"/>
      <c r="G642" s="263"/>
      <c r="H642" s="71"/>
      <c r="I642" s="265"/>
      <c r="J642" s="71"/>
      <c r="K642" s="266"/>
      <c r="L642" s="266"/>
      <c r="M642" s="266"/>
      <c r="N642" s="266"/>
      <c r="O642" s="266"/>
      <c r="P642" s="266"/>
      <c r="Q642" s="267"/>
      <c r="R642" s="71"/>
      <c r="S642" s="71"/>
      <c r="T642" s="222"/>
      <c r="U642" s="71"/>
      <c r="V642" s="71"/>
      <c r="W642" s="71"/>
      <c r="X642" s="71"/>
      <c r="Y642" s="71"/>
      <c r="Z642" s="71"/>
      <c r="AA642" s="71"/>
    </row>
    <row r="643" spans="1:27" ht="15.75" customHeight="1">
      <c r="A643" s="71"/>
      <c r="B643" s="263"/>
      <c r="C643" s="264"/>
      <c r="D643" s="71"/>
      <c r="E643" s="71"/>
      <c r="F643" s="265"/>
      <c r="G643" s="263"/>
      <c r="H643" s="71"/>
      <c r="I643" s="265"/>
      <c r="J643" s="71"/>
      <c r="K643" s="266"/>
      <c r="L643" s="266"/>
      <c r="M643" s="266"/>
      <c r="N643" s="266"/>
      <c r="O643" s="266"/>
      <c r="P643" s="266"/>
      <c r="Q643" s="267"/>
      <c r="R643" s="71"/>
      <c r="S643" s="71"/>
      <c r="T643" s="222"/>
      <c r="U643" s="71"/>
      <c r="V643" s="71"/>
      <c r="W643" s="71"/>
      <c r="X643" s="71"/>
      <c r="Y643" s="71"/>
      <c r="Z643" s="71"/>
      <c r="AA643" s="71"/>
    </row>
    <row r="644" spans="1:27" ht="15.75" customHeight="1">
      <c r="A644" s="71"/>
      <c r="B644" s="263"/>
      <c r="C644" s="264"/>
      <c r="D644" s="71"/>
      <c r="E644" s="71"/>
      <c r="F644" s="265"/>
      <c r="G644" s="263"/>
      <c r="H644" s="71"/>
      <c r="I644" s="265"/>
      <c r="J644" s="71"/>
      <c r="K644" s="266"/>
      <c r="L644" s="266"/>
      <c r="M644" s="266"/>
      <c r="N644" s="266"/>
      <c r="O644" s="266"/>
      <c r="P644" s="266"/>
      <c r="Q644" s="267"/>
      <c r="R644" s="71"/>
      <c r="S644" s="71"/>
      <c r="T644" s="222"/>
      <c r="U644" s="71"/>
      <c r="V644" s="71"/>
      <c r="W644" s="71"/>
      <c r="X644" s="71"/>
      <c r="Y644" s="71"/>
      <c r="Z644" s="71"/>
      <c r="AA644" s="71"/>
    </row>
    <row r="645" spans="1:27" ht="15.75" customHeight="1">
      <c r="A645" s="71"/>
      <c r="B645" s="263"/>
      <c r="C645" s="264"/>
      <c r="D645" s="71"/>
      <c r="E645" s="71"/>
      <c r="F645" s="265"/>
      <c r="G645" s="263"/>
      <c r="H645" s="71"/>
      <c r="I645" s="265"/>
      <c r="J645" s="71"/>
      <c r="K645" s="266"/>
      <c r="L645" s="266"/>
      <c r="M645" s="266"/>
      <c r="N645" s="266"/>
      <c r="O645" s="266"/>
      <c r="P645" s="266"/>
      <c r="Q645" s="267"/>
      <c r="R645" s="71"/>
      <c r="S645" s="71"/>
      <c r="T645" s="222"/>
      <c r="U645" s="71"/>
      <c r="V645" s="71"/>
      <c r="W645" s="71"/>
      <c r="X645" s="71"/>
      <c r="Y645" s="71"/>
      <c r="Z645" s="71"/>
      <c r="AA645" s="71"/>
    </row>
    <row r="646" spans="1:27" ht="15.75" customHeight="1">
      <c r="A646" s="71"/>
      <c r="B646" s="263"/>
      <c r="C646" s="264"/>
      <c r="D646" s="71"/>
      <c r="E646" s="71"/>
      <c r="F646" s="265"/>
      <c r="G646" s="263"/>
      <c r="H646" s="71"/>
      <c r="I646" s="265"/>
      <c r="J646" s="71"/>
      <c r="K646" s="266"/>
      <c r="L646" s="266"/>
      <c r="M646" s="266"/>
      <c r="N646" s="266"/>
      <c r="O646" s="266"/>
      <c r="P646" s="266"/>
      <c r="Q646" s="267"/>
      <c r="R646" s="71"/>
      <c r="S646" s="71"/>
      <c r="T646" s="222"/>
      <c r="U646" s="71"/>
      <c r="V646" s="71"/>
      <c r="W646" s="71"/>
      <c r="X646" s="71"/>
      <c r="Y646" s="71"/>
      <c r="Z646" s="71"/>
      <c r="AA646" s="71"/>
    </row>
    <row r="647" spans="1:27" ht="15.75" customHeight="1">
      <c r="A647" s="71"/>
      <c r="B647" s="263"/>
      <c r="C647" s="264"/>
      <c r="D647" s="71"/>
      <c r="E647" s="71"/>
      <c r="F647" s="265"/>
      <c r="G647" s="263"/>
      <c r="H647" s="71"/>
      <c r="I647" s="265"/>
      <c r="J647" s="71"/>
      <c r="K647" s="266"/>
      <c r="L647" s="266"/>
      <c r="M647" s="266"/>
      <c r="N647" s="266"/>
      <c r="O647" s="266"/>
      <c r="P647" s="266"/>
      <c r="Q647" s="267"/>
      <c r="R647" s="71"/>
      <c r="S647" s="71"/>
      <c r="T647" s="222"/>
      <c r="U647" s="71"/>
      <c r="V647" s="71"/>
      <c r="W647" s="71"/>
      <c r="X647" s="71"/>
      <c r="Y647" s="71"/>
      <c r="Z647" s="71"/>
      <c r="AA647" s="71"/>
    </row>
    <row r="648" spans="1:27" ht="15.75" customHeight="1">
      <c r="A648" s="71"/>
      <c r="B648" s="263"/>
      <c r="C648" s="264"/>
      <c r="D648" s="71"/>
      <c r="E648" s="71"/>
      <c r="F648" s="265"/>
      <c r="G648" s="263"/>
      <c r="H648" s="71"/>
      <c r="I648" s="265"/>
      <c r="J648" s="71"/>
      <c r="K648" s="266"/>
      <c r="L648" s="266"/>
      <c r="M648" s="266"/>
      <c r="N648" s="266"/>
      <c r="O648" s="266"/>
      <c r="P648" s="266"/>
      <c r="Q648" s="267"/>
      <c r="R648" s="71"/>
      <c r="S648" s="71"/>
      <c r="T648" s="222"/>
      <c r="U648" s="71"/>
      <c r="V648" s="71"/>
      <c r="W648" s="71"/>
      <c r="X648" s="71"/>
      <c r="Y648" s="71"/>
      <c r="Z648" s="71"/>
      <c r="AA648" s="71"/>
    </row>
    <row r="649" spans="1:27" ht="15.75" customHeight="1">
      <c r="A649" s="71"/>
      <c r="B649" s="263"/>
      <c r="C649" s="264"/>
      <c r="D649" s="71"/>
      <c r="E649" s="71"/>
      <c r="F649" s="265"/>
      <c r="G649" s="263"/>
      <c r="H649" s="71"/>
      <c r="I649" s="265"/>
      <c r="J649" s="71"/>
      <c r="K649" s="266"/>
      <c r="L649" s="266"/>
      <c r="M649" s="266"/>
      <c r="N649" s="266"/>
      <c r="O649" s="266"/>
      <c r="P649" s="266"/>
      <c r="Q649" s="267"/>
      <c r="R649" s="71"/>
      <c r="S649" s="71"/>
      <c r="T649" s="222"/>
      <c r="U649" s="71"/>
      <c r="V649" s="71"/>
      <c r="W649" s="71"/>
      <c r="X649" s="71"/>
      <c r="Y649" s="71"/>
      <c r="Z649" s="71"/>
      <c r="AA649" s="71"/>
    </row>
    <row r="650" spans="1:27" ht="15.75" customHeight="1">
      <c r="A650" s="71"/>
      <c r="B650" s="263"/>
      <c r="C650" s="264"/>
      <c r="D650" s="71"/>
      <c r="E650" s="71"/>
      <c r="F650" s="265"/>
      <c r="G650" s="263"/>
      <c r="H650" s="71"/>
      <c r="I650" s="265"/>
      <c r="J650" s="71"/>
      <c r="K650" s="266"/>
      <c r="L650" s="266"/>
      <c r="M650" s="266"/>
      <c r="N650" s="266"/>
      <c r="O650" s="266"/>
      <c r="P650" s="266"/>
      <c r="Q650" s="267"/>
      <c r="R650" s="71"/>
      <c r="S650" s="71"/>
      <c r="T650" s="222"/>
      <c r="U650" s="71"/>
      <c r="V650" s="71"/>
      <c r="W650" s="71"/>
      <c r="X650" s="71"/>
      <c r="Y650" s="71"/>
      <c r="Z650" s="71"/>
      <c r="AA650" s="71"/>
    </row>
    <row r="651" spans="1:27" ht="15.75" customHeight="1">
      <c r="A651" s="71"/>
      <c r="B651" s="263"/>
      <c r="C651" s="264"/>
      <c r="D651" s="71"/>
      <c r="E651" s="71"/>
      <c r="F651" s="265"/>
      <c r="G651" s="263"/>
      <c r="H651" s="71"/>
      <c r="I651" s="265"/>
      <c r="J651" s="71"/>
      <c r="K651" s="266"/>
      <c r="L651" s="266"/>
      <c r="M651" s="266"/>
      <c r="N651" s="266"/>
      <c r="O651" s="266"/>
      <c r="P651" s="266"/>
      <c r="Q651" s="267"/>
      <c r="R651" s="71"/>
      <c r="S651" s="71"/>
      <c r="T651" s="222"/>
      <c r="U651" s="71"/>
      <c r="V651" s="71"/>
      <c r="W651" s="71"/>
      <c r="X651" s="71"/>
      <c r="Y651" s="71"/>
      <c r="Z651" s="71"/>
      <c r="AA651" s="71"/>
    </row>
    <row r="652" spans="1:27" ht="15.75" customHeight="1">
      <c r="A652" s="71"/>
      <c r="B652" s="263"/>
      <c r="C652" s="264"/>
      <c r="D652" s="71"/>
      <c r="E652" s="71"/>
      <c r="F652" s="265"/>
      <c r="G652" s="263"/>
      <c r="H652" s="71"/>
      <c r="I652" s="265"/>
      <c r="J652" s="71"/>
      <c r="K652" s="266"/>
      <c r="L652" s="266"/>
      <c r="M652" s="266"/>
      <c r="N652" s="266"/>
      <c r="O652" s="266"/>
      <c r="P652" s="266"/>
      <c r="Q652" s="267"/>
      <c r="R652" s="71"/>
      <c r="S652" s="71"/>
      <c r="T652" s="222"/>
      <c r="U652" s="71"/>
      <c r="V652" s="71"/>
      <c r="W652" s="71"/>
      <c r="X652" s="71"/>
      <c r="Y652" s="71"/>
      <c r="Z652" s="71"/>
      <c r="AA652" s="71"/>
    </row>
    <row r="653" spans="1:27" ht="15.75" customHeight="1">
      <c r="A653" s="71"/>
      <c r="B653" s="263"/>
      <c r="C653" s="264"/>
      <c r="D653" s="71"/>
      <c r="E653" s="71"/>
      <c r="F653" s="265"/>
      <c r="G653" s="263"/>
      <c r="H653" s="71"/>
      <c r="I653" s="265"/>
      <c r="J653" s="71"/>
      <c r="K653" s="266"/>
      <c r="L653" s="266"/>
      <c r="M653" s="266"/>
      <c r="N653" s="266"/>
      <c r="O653" s="266"/>
      <c r="P653" s="266"/>
      <c r="Q653" s="267"/>
      <c r="R653" s="71"/>
      <c r="S653" s="71"/>
      <c r="T653" s="222"/>
      <c r="U653" s="71"/>
      <c r="V653" s="71"/>
      <c r="W653" s="71"/>
      <c r="X653" s="71"/>
      <c r="Y653" s="71"/>
      <c r="Z653" s="71"/>
      <c r="AA653" s="71"/>
    </row>
    <row r="654" spans="1:27" ht="15.75" customHeight="1">
      <c r="A654" s="71"/>
      <c r="B654" s="263"/>
      <c r="C654" s="264"/>
      <c r="D654" s="71"/>
      <c r="E654" s="71"/>
      <c r="F654" s="265"/>
      <c r="G654" s="263"/>
      <c r="H654" s="71"/>
      <c r="I654" s="265"/>
      <c r="J654" s="71"/>
      <c r="K654" s="266"/>
      <c r="L654" s="266"/>
      <c r="M654" s="266"/>
      <c r="N654" s="266"/>
      <c r="O654" s="266"/>
      <c r="P654" s="266"/>
      <c r="Q654" s="267"/>
      <c r="R654" s="71"/>
      <c r="S654" s="71"/>
      <c r="T654" s="222"/>
      <c r="U654" s="71"/>
      <c r="V654" s="71"/>
      <c r="W654" s="71"/>
      <c r="X654" s="71"/>
      <c r="Y654" s="71"/>
      <c r="Z654" s="71"/>
      <c r="AA654" s="71"/>
    </row>
    <row r="655" spans="1:27" ht="15.75" customHeight="1">
      <c r="A655" s="71"/>
      <c r="B655" s="263"/>
      <c r="C655" s="264"/>
      <c r="D655" s="71"/>
      <c r="E655" s="71"/>
      <c r="F655" s="265"/>
      <c r="G655" s="263"/>
      <c r="H655" s="71"/>
      <c r="I655" s="265"/>
      <c r="J655" s="71"/>
      <c r="K655" s="266"/>
      <c r="L655" s="266"/>
      <c r="M655" s="266"/>
      <c r="N655" s="266"/>
      <c r="O655" s="266"/>
      <c r="P655" s="266"/>
      <c r="Q655" s="267"/>
      <c r="R655" s="71"/>
      <c r="S655" s="71"/>
      <c r="T655" s="222"/>
      <c r="U655" s="71"/>
      <c r="V655" s="71"/>
      <c r="W655" s="71"/>
      <c r="X655" s="71"/>
      <c r="Y655" s="71"/>
      <c r="Z655" s="71"/>
      <c r="AA655" s="71"/>
    </row>
    <row r="656" spans="1:27" ht="15.75" customHeight="1">
      <c r="A656" s="71"/>
      <c r="B656" s="263"/>
      <c r="C656" s="264"/>
      <c r="D656" s="71"/>
      <c r="E656" s="71"/>
      <c r="F656" s="265"/>
      <c r="G656" s="263"/>
      <c r="H656" s="71"/>
      <c r="I656" s="265"/>
      <c r="J656" s="71"/>
      <c r="K656" s="266"/>
      <c r="L656" s="266"/>
      <c r="M656" s="266"/>
      <c r="N656" s="266"/>
      <c r="O656" s="266"/>
      <c r="P656" s="266"/>
      <c r="Q656" s="267"/>
      <c r="R656" s="71"/>
      <c r="S656" s="71"/>
      <c r="T656" s="222"/>
      <c r="U656" s="71"/>
      <c r="V656" s="71"/>
      <c r="W656" s="71"/>
      <c r="X656" s="71"/>
      <c r="Y656" s="71"/>
      <c r="Z656" s="71"/>
      <c r="AA656" s="71"/>
    </row>
    <row r="657" spans="1:27" ht="15.75" customHeight="1">
      <c r="A657" s="71"/>
      <c r="B657" s="263"/>
      <c r="C657" s="264"/>
      <c r="D657" s="71"/>
      <c r="E657" s="71"/>
      <c r="F657" s="265"/>
      <c r="G657" s="263"/>
      <c r="H657" s="71"/>
      <c r="I657" s="265"/>
      <c r="J657" s="71"/>
      <c r="K657" s="266"/>
      <c r="L657" s="266"/>
      <c r="M657" s="266"/>
      <c r="N657" s="266"/>
      <c r="O657" s="266"/>
      <c r="P657" s="266"/>
      <c r="Q657" s="267"/>
      <c r="R657" s="71"/>
      <c r="S657" s="71"/>
      <c r="T657" s="222"/>
      <c r="U657" s="71"/>
      <c r="V657" s="71"/>
      <c r="W657" s="71"/>
      <c r="X657" s="71"/>
      <c r="Y657" s="71"/>
      <c r="Z657" s="71"/>
      <c r="AA657" s="71"/>
    </row>
    <row r="658" spans="1:27" ht="15.75" customHeight="1">
      <c r="A658" s="71"/>
      <c r="B658" s="263"/>
      <c r="C658" s="264"/>
      <c r="D658" s="71"/>
      <c r="E658" s="71"/>
      <c r="F658" s="265"/>
      <c r="G658" s="263"/>
      <c r="H658" s="71"/>
      <c r="I658" s="265"/>
      <c r="J658" s="71"/>
      <c r="K658" s="266"/>
      <c r="L658" s="266"/>
      <c r="M658" s="266"/>
      <c r="N658" s="266"/>
      <c r="O658" s="266"/>
      <c r="P658" s="266"/>
      <c r="Q658" s="267"/>
      <c r="R658" s="71"/>
      <c r="S658" s="71"/>
      <c r="T658" s="222"/>
      <c r="U658" s="71"/>
      <c r="V658" s="71"/>
      <c r="W658" s="71"/>
      <c r="X658" s="71"/>
      <c r="Y658" s="71"/>
      <c r="Z658" s="71"/>
      <c r="AA658" s="71"/>
    </row>
    <row r="659" spans="1:27" ht="15.75" customHeight="1">
      <c r="A659" s="71"/>
      <c r="B659" s="263"/>
      <c r="C659" s="264"/>
      <c r="D659" s="71"/>
      <c r="E659" s="71"/>
      <c r="F659" s="265"/>
      <c r="G659" s="263"/>
      <c r="H659" s="71"/>
      <c r="I659" s="265"/>
      <c r="J659" s="71"/>
      <c r="K659" s="266"/>
      <c r="L659" s="266"/>
      <c r="M659" s="266"/>
      <c r="N659" s="266"/>
      <c r="O659" s="266"/>
      <c r="P659" s="266"/>
      <c r="Q659" s="267"/>
      <c r="R659" s="71"/>
      <c r="S659" s="71"/>
      <c r="T659" s="222"/>
      <c r="U659" s="71"/>
      <c r="V659" s="71"/>
      <c r="W659" s="71"/>
      <c r="X659" s="71"/>
      <c r="Y659" s="71"/>
      <c r="Z659" s="71"/>
      <c r="AA659" s="71"/>
    </row>
    <row r="660" spans="1:27" ht="15.75" customHeight="1">
      <c r="A660" s="71"/>
      <c r="B660" s="263"/>
      <c r="C660" s="264"/>
      <c r="D660" s="71"/>
      <c r="E660" s="71"/>
      <c r="F660" s="265"/>
      <c r="G660" s="263"/>
      <c r="H660" s="71"/>
      <c r="I660" s="265"/>
      <c r="J660" s="71"/>
      <c r="K660" s="266"/>
      <c r="L660" s="266"/>
      <c r="M660" s="266"/>
      <c r="N660" s="266"/>
      <c r="O660" s="266"/>
      <c r="P660" s="266"/>
      <c r="Q660" s="267"/>
      <c r="R660" s="71"/>
      <c r="S660" s="71"/>
      <c r="T660" s="222"/>
      <c r="U660" s="71"/>
      <c r="V660" s="71"/>
      <c r="W660" s="71"/>
      <c r="X660" s="71"/>
      <c r="Y660" s="71"/>
      <c r="Z660" s="71"/>
      <c r="AA660" s="71"/>
    </row>
    <row r="661" spans="1:27" ht="15.75" customHeight="1">
      <c r="A661" s="71"/>
      <c r="B661" s="263"/>
      <c r="C661" s="264"/>
      <c r="D661" s="71"/>
      <c r="E661" s="71"/>
      <c r="F661" s="265"/>
      <c r="G661" s="263"/>
      <c r="H661" s="71"/>
      <c r="I661" s="265"/>
      <c r="J661" s="71"/>
      <c r="K661" s="266"/>
      <c r="L661" s="266"/>
      <c r="M661" s="266"/>
      <c r="N661" s="266"/>
      <c r="O661" s="266"/>
      <c r="P661" s="266"/>
      <c r="Q661" s="267"/>
      <c r="R661" s="71"/>
      <c r="S661" s="71"/>
      <c r="T661" s="222"/>
      <c r="U661" s="71"/>
      <c r="V661" s="71"/>
      <c r="W661" s="71"/>
      <c r="X661" s="71"/>
      <c r="Y661" s="71"/>
      <c r="Z661" s="71"/>
      <c r="AA661" s="71"/>
    </row>
    <row r="662" spans="1:27" ht="15.75" customHeight="1">
      <c r="A662" s="71"/>
      <c r="B662" s="263"/>
      <c r="C662" s="264"/>
      <c r="D662" s="71"/>
      <c r="E662" s="71"/>
      <c r="F662" s="265"/>
      <c r="G662" s="263"/>
      <c r="H662" s="71"/>
      <c r="I662" s="265"/>
      <c r="J662" s="71"/>
      <c r="K662" s="266"/>
      <c r="L662" s="266"/>
      <c r="M662" s="266"/>
      <c r="N662" s="266"/>
      <c r="O662" s="266"/>
      <c r="P662" s="266"/>
      <c r="Q662" s="267"/>
      <c r="R662" s="71"/>
      <c r="S662" s="71"/>
      <c r="T662" s="222"/>
      <c r="U662" s="71"/>
      <c r="V662" s="71"/>
      <c r="W662" s="71"/>
      <c r="X662" s="71"/>
      <c r="Y662" s="71"/>
      <c r="Z662" s="71"/>
      <c r="AA662" s="71"/>
    </row>
    <row r="663" spans="1:27" ht="15.75" customHeight="1">
      <c r="A663" s="71"/>
      <c r="B663" s="263"/>
      <c r="C663" s="264"/>
      <c r="D663" s="71"/>
      <c r="E663" s="71"/>
      <c r="F663" s="265"/>
      <c r="G663" s="263"/>
      <c r="H663" s="71"/>
      <c r="I663" s="265"/>
      <c r="J663" s="71"/>
      <c r="K663" s="266"/>
      <c r="L663" s="266"/>
      <c r="M663" s="266"/>
      <c r="N663" s="266"/>
      <c r="O663" s="266"/>
      <c r="P663" s="266"/>
      <c r="Q663" s="267"/>
      <c r="R663" s="71"/>
      <c r="S663" s="71"/>
      <c r="T663" s="222"/>
      <c r="U663" s="71"/>
      <c r="V663" s="71"/>
      <c r="W663" s="71"/>
      <c r="X663" s="71"/>
      <c r="Y663" s="71"/>
      <c r="Z663" s="71"/>
      <c r="AA663" s="71"/>
    </row>
    <row r="664" spans="1:27" ht="15.75" customHeight="1">
      <c r="A664" s="71"/>
      <c r="B664" s="263"/>
      <c r="C664" s="264"/>
      <c r="D664" s="71"/>
      <c r="E664" s="71"/>
      <c r="F664" s="265"/>
      <c r="G664" s="263"/>
      <c r="H664" s="71"/>
      <c r="I664" s="265"/>
      <c r="J664" s="71"/>
      <c r="K664" s="266"/>
      <c r="L664" s="266"/>
      <c r="M664" s="266"/>
      <c r="N664" s="266"/>
      <c r="O664" s="266"/>
      <c r="P664" s="266"/>
      <c r="Q664" s="267"/>
      <c r="R664" s="71"/>
      <c r="S664" s="71"/>
      <c r="T664" s="222"/>
      <c r="U664" s="71"/>
      <c r="V664" s="71"/>
      <c r="W664" s="71"/>
      <c r="X664" s="71"/>
      <c r="Y664" s="71"/>
      <c r="Z664" s="71"/>
      <c r="AA664" s="71"/>
    </row>
    <row r="665" spans="1:27" ht="15.75" customHeight="1">
      <c r="A665" s="71"/>
      <c r="B665" s="263"/>
      <c r="C665" s="264"/>
      <c r="D665" s="71"/>
      <c r="E665" s="71"/>
      <c r="F665" s="265"/>
      <c r="G665" s="263"/>
      <c r="H665" s="71"/>
      <c r="I665" s="265"/>
      <c r="J665" s="71"/>
      <c r="K665" s="266"/>
      <c r="L665" s="266"/>
      <c r="M665" s="266"/>
      <c r="N665" s="266"/>
      <c r="O665" s="266"/>
      <c r="P665" s="266"/>
      <c r="Q665" s="267"/>
      <c r="R665" s="71"/>
      <c r="S665" s="71"/>
      <c r="T665" s="222"/>
      <c r="U665" s="71"/>
      <c r="V665" s="71"/>
      <c r="W665" s="71"/>
      <c r="X665" s="71"/>
      <c r="Y665" s="71"/>
      <c r="Z665" s="71"/>
      <c r="AA665" s="71"/>
    </row>
    <row r="666" spans="1:27" ht="15.75" customHeight="1">
      <c r="A666" s="71"/>
      <c r="B666" s="263"/>
      <c r="C666" s="264"/>
      <c r="D666" s="71"/>
      <c r="E666" s="71"/>
      <c r="F666" s="265"/>
      <c r="G666" s="263"/>
      <c r="H666" s="71"/>
      <c r="I666" s="265"/>
      <c r="J666" s="71"/>
      <c r="K666" s="266"/>
      <c r="L666" s="266"/>
      <c r="M666" s="266"/>
      <c r="N666" s="266"/>
      <c r="O666" s="266"/>
      <c r="P666" s="266"/>
      <c r="Q666" s="267"/>
      <c r="R666" s="71"/>
      <c r="S666" s="71"/>
      <c r="T666" s="222"/>
      <c r="U666" s="71"/>
      <c r="V666" s="71"/>
      <c r="W666" s="71"/>
      <c r="X666" s="71"/>
      <c r="Y666" s="71"/>
      <c r="Z666" s="71"/>
      <c r="AA666" s="71"/>
    </row>
    <row r="667" spans="1:27" ht="15.75" customHeight="1">
      <c r="A667" s="71"/>
      <c r="B667" s="263"/>
      <c r="C667" s="264"/>
      <c r="D667" s="71"/>
      <c r="E667" s="71"/>
      <c r="F667" s="265"/>
      <c r="G667" s="263"/>
      <c r="H667" s="71"/>
      <c r="I667" s="265"/>
      <c r="J667" s="71"/>
      <c r="K667" s="266"/>
      <c r="L667" s="266"/>
      <c r="M667" s="266"/>
      <c r="N667" s="266"/>
      <c r="O667" s="266"/>
      <c r="P667" s="266"/>
      <c r="Q667" s="267"/>
      <c r="R667" s="71"/>
      <c r="S667" s="71"/>
      <c r="T667" s="222"/>
      <c r="U667" s="71"/>
      <c r="V667" s="71"/>
      <c r="W667" s="71"/>
      <c r="X667" s="71"/>
      <c r="Y667" s="71"/>
      <c r="Z667" s="71"/>
      <c r="AA667" s="71"/>
    </row>
    <row r="668" spans="1:27" ht="15.75" customHeight="1">
      <c r="A668" s="71"/>
      <c r="B668" s="263"/>
      <c r="C668" s="264"/>
      <c r="D668" s="71"/>
      <c r="E668" s="71"/>
      <c r="F668" s="265"/>
      <c r="G668" s="263"/>
      <c r="H668" s="71"/>
      <c r="I668" s="265"/>
      <c r="J668" s="71"/>
      <c r="K668" s="266"/>
      <c r="L668" s="266"/>
      <c r="M668" s="266"/>
      <c r="N668" s="266"/>
      <c r="O668" s="266"/>
      <c r="P668" s="266"/>
      <c r="Q668" s="267"/>
      <c r="R668" s="71"/>
      <c r="S668" s="71"/>
      <c r="T668" s="222"/>
      <c r="U668" s="71"/>
      <c r="V668" s="71"/>
      <c r="W668" s="71"/>
      <c r="X668" s="71"/>
      <c r="Y668" s="71"/>
      <c r="Z668" s="71"/>
      <c r="AA668" s="71"/>
    </row>
    <row r="669" spans="1:27" ht="15.75" customHeight="1">
      <c r="A669" s="71"/>
      <c r="B669" s="263"/>
      <c r="C669" s="264"/>
      <c r="D669" s="71"/>
      <c r="E669" s="71"/>
      <c r="F669" s="265"/>
      <c r="G669" s="263"/>
      <c r="H669" s="71"/>
      <c r="I669" s="265"/>
      <c r="J669" s="71"/>
      <c r="K669" s="266"/>
      <c r="L669" s="266"/>
      <c r="M669" s="266"/>
      <c r="N669" s="266"/>
      <c r="O669" s="266"/>
      <c r="P669" s="266"/>
      <c r="Q669" s="267"/>
      <c r="R669" s="71"/>
      <c r="S669" s="71"/>
      <c r="T669" s="222"/>
      <c r="U669" s="71"/>
      <c r="V669" s="71"/>
      <c r="W669" s="71"/>
      <c r="X669" s="71"/>
      <c r="Y669" s="71"/>
      <c r="Z669" s="71"/>
      <c r="AA669" s="71"/>
    </row>
    <row r="670" spans="1:27" ht="15.75" customHeight="1">
      <c r="A670" s="71"/>
      <c r="B670" s="263"/>
      <c r="C670" s="264"/>
      <c r="D670" s="71"/>
      <c r="E670" s="71"/>
      <c r="F670" s="265"/>
      <c r="G670" s="263"/>
      <c r="H670" s="71"/>
      <c r="I670" s="265"/>
      <c r="J670" s="71"/>
      <c r="K670" s="266"/>
      <c r="L670" s="266"/>
      <c r="M670" s="266"/>
      <c r="N670" s="266"/>
      <c r="O670" s="266"/>
      <c r="P670" s="266"/>
      <c r="Q670" s="267"/>
      <c r="R670" s="71"/>
      <c r="S670" s="71"/>
      <c r="T670" s="222"/>
      <c r="U670" s="71"/>
      <c r="V670" s="71"/>
      <c r="W670" s="71"/>
      <c r="X670" s="71"/>
      <c r="Y670" s="71"/>
      <c r="Z670" s="71"/>
      <c r="AA670" s="71"/>
    </row>
    <row r="671" spans="1:27" ht="15.75" customHeight="1">
      <c r="A671" s="71"/>
      <c r="B671" s="263"/>
      <c r="C671" s="264"/>
      <c r="D671" s="71"/>
      <c r="E671" s="71"/>
      <c r="F671" s="265"/>
      <c r="G671" s="263"/>
      <c r="H671" s="71"/>
      <c r="I671" s="265"/>
      <c r="J671" s="71"/>
      <c r="K671" s="266"/>
      <c r="L671" s="266"/>
      <c r="M671" s="266"/>
      <c r="N671" s="266"/>
      <c r="O671" s="266"/>
      <c r="P671" s="266"/>
      <c r="Q671" s="267"/>
      <c r="R671" s="71"/>
      <c r="S671" s="71"/>
      <c r="T671" s="222"/>
      <c r="U671" s="71"/>
      <c r="V671" s="71"/>
      <c r="W671" s="71"/>
      <c r="X671" s="71"/>
      <c r="Y671" s="71"/>
      <c r="Z671" s="71"/>
      <c r="AA671" s="71"/>
    </row>
    <row r="672" spans="1:27" ht="15.75" customHeight="1">
      <c r="A672" s="71"/>
      <c r="B672" s="263"/>
      <c r="C672" s="264"/>
      <c r="D672" s="71"/>
      <c r="E672" s="71"/>
      <c r="F672" s="265"/>
      <c r="G672" s="263"/>
      <c r="H672" s="71"/>
      <c r="I672" s="265"/>
      <c r="J672" s="71"/>
      <c r="K672" s="266"/>
      <c r="L672" s="266"/>
      <c r="M672" s="266"/>
      <c r="N672" s="266"/>
      <c r="O672" s="266"/>
      <c r="P672" s="266"/>
      <c r="Q672" s="267"/>
      <c r="R672" s="71"/>
      <c r="S672" s="71"/>
      <c r="T672" s="222"/>
      <c r="U672" s="71"/>
      <c r="V672" s="71"/>
      <c r="W672" s="71"/>
      <c r="X672" s="71"/>
      <c r="Y672" s="71"/>
      <c r="Z672" s="71"/>
      <c r="AA672" s="71"/>
    </row>
    <row r="673" spans="1:27" ht="15.75" customHeight="1">
      <c r="A673" s="71"/>
      <c r="B673" s="263"/>
      <c r="C673" s="264"/>
      <c r="D673" s="71"/>
      <c r="E673" s="71"/>
      <c r="F673" s="265"/>
      <c r="G673" s="263"/>
      <c r="H673" s="71"/>
      <c r="I673" s="265"/>
      <c r="J673" s="71"/>
      <c r="K673" s="266"/>
      <c r="L673" s="266"/>
      <c r="M673" s="266"/>
      <c r="N673" s="266"/>
      <c r="O673" s="266"/>
      <c r="P673" s="266"/>
      <c r="Q673" s="267"/>
      <c r="R673" s="71"/>
      <c r="S673" s="71"/>
      <c r="T673" s="222"/>
      <c r="U673" s="71"/>
      <c r="V673" s="71"/>
      <c r="W673" s="71"/>
      <c r="X673" s="71"/>
      <c r="Y673" s="71"/>
      <c r="Z673" s="71"/>
      <c r="AA673" s="71"/>
    </row>
    <row r="674" spans="1:27" ht="15.75" customHeight="1">
      <c r="A674" s="71"/>
      <c r="B674" s="263"/>
      <c r="C674" s="264"/>
      <c r="D674" s="71"/>
      <c r="E674" s="71"/>
      <c r="F674" s="265"/>
      <c r="G674" s="263"/>
      <c r="H674" s="71"/>
      <c r="I674" s="265"/>
      <c r="J674" s="71"/>
      <c r="K674" s="266"/>
      <c r="L674" s="266"/>
      <c r="M674" s="266"/>
      <c r="N674" s="266"/>
      <c r="O674" s="266"/>
      <c r="P674" s="266"/>
      <c r="Q674" s="267"/>
      <c r="R674" s="71"/>
      <c r="S674" s="71"/>
      <c r="T674" s="222"/>
      <c r="U674" s="71"/>
      <c r="V674" s="71"/>
      <c r="W674" s="71"/>
      <c r="X674" s="71"/>
      <c r="Y674" s="71"/>
      <c r="Z674" s="71"/>
      <c r="AA674" s="71"/>
    </row>
    <row r="675" spans="1:27" ht="15.75" customHeight="1">
      <c r="A675" s="71"/>
      <c r="B675" s="263"/>
      <c r="C675" s="264"/>
      <c r="D675" s="71"/>
      <c r="E675" s="71"/>
      <c r="F675" s="265"/>
      <c r="G675" s="263"/>
      <c r="H675" s="71"/>
      <c r="I675" s="265"/>
      <c r="J675" s="71"/>
      <c r="K675" s="266"/>
      <c r="L675" s="266"/>
      <c r="M675" s="266"/>
      <c r="N675" s="266"/>
      <c r="O675" s="266"/>
      <c r="P675" s="266"/>
      <c r="Q675" s="267"/>
      <c r="R675" s="71"/>
      <c r="S675" s="71"/>
      <c r="T675" s="222"/>
      <c r="U675" s="71"/>
      <c r="V675" s="71"/>
      <c r="W675" s="71"/>
      <c r="X675" s="71"/>
      <c r="Y675" s="71"/>
      <c r="Z675" s="71"/>
      <c r="AA675" s="71"/>
    </row>
    <row r="676" spans="1:27" ht="15.75" customHeight="1">
      <c r="A676" s="71"/>
      <c r="B676" s="263"/>
      <c r="C676" s="264"/>
      <c r="D676" s="71"/>
      <c r="E676" s="71"/>
      <c r="F676" s="265"/>
      <c r="G676" s="263"/>
      <c r="H676" s="71"/>
      <c r="I676" s="265"/>
      <c r="J676" s="71"/>
      <c r="K676" s="266"/>
      <c r="L676" s="266"/>
      <c r="M676" s="266"/>
      <c r="N676" s="266"/>
      <c r="O676" s="266"/>
      <c r="P676" s="266"/>
      <c r="Q676" s="267"/>
      <c r="R676" s="71"/>
      <c r="S676" s="71"/>
      <c r="T676" s="222"/>
      <c r="U676" s="71"/>
      <c r="V676" s="71"/>
      <c r="W676" s="71"/>
      <c r="X676" s="71"/>
      <c r="Y676" s="71"/>
      <c r="Z676" s="71"/>
      <c r="AA676" s="71"/>
    </row>
    <row r="677" spans="1:27" ht="15.75" customHeight="1">
      <c r="A677" s="71"/>
      <c r="B677" s="263"/>
      <c r="C677" s="264"/>
      <c r="D677" s="71"/>
      <c r="E677" s="71"/>
      <c r="F677" s="265"/>
      <c r="G677" s="263"/>
      <c r="H677" s="71"/>
      <c r="I677" s="265"/>
      <c r="J677" s="71"/>
      <c r="K677" s="266"/>
      <c r="L677" s="266"/>
      <c r="M677" s="266"/>
      <c r="N677" s="266"/>
      <c r="O677" s="266"/>
      <c r="P677" s="266"/>
      <c r="Q677" s="267"/>
      <c r="R677" s="71"/>
      <c r="S677" s="71"/>
      <c r="T677" s="222"/>
      <c r="U677" s="71"/>
      <c r="V677" s="71"/>
      <c r="W677" s="71"/>
      <c r="X677" s="71"/>
      <c r="Y677" s="71"/>
      <c r="Z677" s="71"/>
      <c r="AA677" s="71"/>
    </row>
    <row r="678" spans="1:27" ht="15.75" customHeight="1">
      <c r="A678" s="71"/>
      <c r="B678" s="263"/>
      <c r="C678" s="264"/>
      <c r="D678" s="71"/>
      <c r="E678" s="71"/>
      <c r="F678" s="265"/>
      <c r="G678" s="263"/>
      <c r="H678" s="71"/>
      <c r="I678" s="265"/>
      <c r="J678" s="71"/>
      <c r="K678" s="266"/>
      <c r="L678" s="266"/>
      <c r="M678" s="266"/>
      <c r="N678" s="266"/>
      <c r="O678" s="266"/>
      <c r="P678" s="266"/>
      <c r="Q678" s="267"/>
      <c r="R678" s="71"/>
      <c r="S678" s="71"/>
      <c r="T678" s="222"/>
      <c r="U678" s="71"/>
      <c r="V678" s="71"/>
      <c r="W678" s="71"/>
      <c r="X678" s="71"/>
      <c r="Y678" s="71"/>
      <c r="Z678" s="71"/>
      <c r="AA678" s="71"/>
    </row>
    <row r="679" spans="1:27" ht="15.75" customHeight="1">
      <c r="A679" s="71"/>
      <c r="B679" s="263"/>
      <c r="C679" s="264"/>
      <c r="D679" s="71"/>
      <c r="E679" s="71"/>
      <c r="F679" s="265"/>
      <c r="G679" s="263"/>
      <c r="H679" s="71"/>
      <c r="I679" s="265"/>
      <c r="J679" s="71"/>
      <c r="K679" s="266"/>
      <c r="L679" s="266"/>
      <c r="M679" s="266"/>
      <c r="N679" s="266"/>
      <c r="O679" s="266"/>
      <c r="P679" s="266"/>
      <c r="Q679" s="267"/>
      <c r="R679" s="71"/>
      <c r="S679" s="71"/>
      <c r="T679" s="222"/>
      <c r="U679" s="71"/>
      <c r="V679" s="71"/>
      <c r="W679" s="71"/>
      <c r="X679" s="71"/>
      <c r="Y679" s="71"/>
      <c r="Z679" s="71"/>
      <c r="AA679" s="71"/>
    </row>
    <row r="680" spans="1:27" ht="15.75" customHeight="1">
      <c r="A680" s="71"/>
      <c r="B680" s="263"/>
      <c r="C680" s="264"/>
      <c r="D680" s="71"/>
      <c r="E680" s="71"/>
      <c r="F680" s="265"/>
      <c r="G680" s="263"/>
      <c r="H680" s="71"/>
      <c r="I680" s="265"/>
      <c r="J680" s="71"/>
      <c r="K680" s="266"/>
      <c r="L680" s="266"/>
      <c r="M680" s="266"/>
      <c r="N680" s="266"/>
      <c r="O680" s="266"/>
      <c r="P680" s="266"/>
      <c r="Q680" s="267"/>
      <c r="R680" s="71"/>
      <c r="S680" s="71"/>
      <c r="T680" s="222"/>
      <c r="U680" s="71"/>
      <c r="V680" s="71"/>
      <c r="W680" s="71"/>
      <c r="X680" s="71"/>
      <c r="Y680" s="71"/>
      <c r="Z680" s="71"/>
      <c r="AA680" s="71"/>
    </row>
    <row r="681" spans="1:27" ht="15.75" customHeight="1">
      <c r="A681" s="71"/>
      <c r="B681" s="263"/>
      <c r="C681" s="264"/>
      <c r="D681" s="71"/>
      <c r="E681" s="71"/>
      <c r="F681" s="265"/>
      <c r="G681" s="263"/>
      <c r="H681" s="71"/>
      <c r="I681" s="265"/>
      <c r="J681" s="71"/>
      <c r="K681" s="266"/>
      <c r="L681" s="266"/>
      <c r="M681" s="266"/>
      <c r="N681" s="266"/>
      <c r="O681" s="266"/>
      <c r="P681" s="266"/>
      <c r="Q681" s="267"/>
      <c r="R681" s="71"/>
      <c r="S681" s="71"/>
      <c r="T681" s="222"/>
      <c r="U681" s="71"/>
      <c r="V681" s="71"/>
      <c r="W681" s="71"/>
      <c r="X681" s="71"/>
      <c r="Y681" s="71"/>
      <c r="Z681" s="71"/>
      <c r="AA681" s="71"/>
    </row>
    <row r="682" spans="1:27" ht="15.75" customHeight="1">
      <c r="A682" s="71"/>
      <c r="B682" s="263"/>
      <c r="C682" s="264"/>
      <c r="D682" s="71"/>
      <c r="E682" s="71"/>
      <c r="F682" s="265"/>
      <c r="G682" s="263"/>
      <c r="H682" s="71"/>
      <c r="I682" s="265"/>
      <c r="J682" s="71"/>
      <c r="K682" s="266"/>
      <c r="L682" s="266"/>
      <c r="M682" s="266"/>
      <c r="N682" s="266"/>
      <c r="O682" s="266"/>
      <c r="P682" s="266"/>
      <c r="Q682" s="267"/>
      <c r="R682" s="71"/>
      <c r="S682" s="71"/>
      <c r="T682" s="222"/>
      <c r="U682" s="71"/>
      <c r="V682" s="71"/>
      <c r="W682" s="71"/>
      <c r="X682" s="71"/>
      <c r="Y682" s="71"/>
      <c r="Z682" s="71"/>
      <c r="AA682" s="71"/>
    </row>
    <row r="683" spans="1:27" ht="15.75" customHeight="1">
      <c r="A683" s="71"/>
      <c r="B683" s="263"/>
      <c r="C683" s="264"/>
      <c r="D683" s="71"/>
      <c r="E683" s="71"/>
      <c r="F683" s="265"/>
      <c r="G683" s="263"/>
      <c r="H683" s="71"/>
      <c r="I683" s="265"/>
      <c r="J683" s="71"/>
      <c r="K683" s="266"/>
      <c r="L683" s="266"/>
      <c r="M683" s="266"/>
      <c r="N683" s="266"/>
      <c r="O683" s="266"/>
      <c r="P683" s="266"/>
      <c r="Q683" s="267"/>
      <c r="R683" s="71"/>
      <c r="S683" s="71"/>
      <c r="T683" s="222"/>
      <c r="U683" s="71"/>
      <c r="V683" s="71"/>
      <c r="W683" s="71"/>
      <c r="X683" s="71"/>
      <c r="Y683" s="71"/>
      <c r="Z683" s="71"/>
      <c r="AA683" s="71"/>
    </row>
    <row r="684" spans="1:27" ht="15.75" customHeight="1">
      <c r="A684" s="71"/>
      <c r="B684" s="263"/>
      <c r="C684" s="264"/>
      <c r="D684" s="71"/>
      <c r="E684" s="71"/>
      <c r="F684" s="265"/>
      <c r="G684" s="263"/>
      <c r="H684" s="71"/>
      <c r="I684" s="265"/>
      <c r="J684" s="71"/>
      <c r="K684" s="266"/>
      <c r="L684" s="266"/>
      <c r="M684" s="266"/>
      <c r="N684" s="266"/>
      <c r="O684" s="266"/>
      <c r="P684" s="266"/>
      <c r="Q684" s="267"/>
      <c r="R684" s="71"/>
      <c r="S684" s="71"/>
      <c r="T684" s="222"/>
      <c r="U684" s="71"/>
      <c r="V684" s="71"/>
      <c r="W684" s="71"/>
      <c r="X684" s="71"/>
      <c r="Y684" s="71"/>
      <c r="Z684" s="71"/>
      <c r="AA684" s="71"/>
    </row>
    <row r="685" spans="1:27" ht="15.75" customHeight="1">
      <c r="A685" s="71"/>
      <c r="B685" s="263"/>
      <c r="C685" s="264"/>
      <c r="D685" s="71"/>
      <c r="E685" s="71"/>
      <c r="F685" s="265"/>
      <c r="G685" s="263"/>
      <c r="H685" s="71"/>
      <c r="I685" s="265"/>
      <c r="J685" s="71"/>
      <c r="K685" s="266"/>
      <c r="L685" s="266"/>
      <c r="M685" s="266"/>
      <c r="N685" s="266"/>
      <c r="O685" s="266"/>
      <c r="P685" s="266"/>
      <c r="Q685" s="267"/>
      <c r="R685" s="71"/>
      <c r="S685" s="71"/>
      <c r="T685" s="222"/>
      <c r="U685" s="71"/>
      <c r="V685" s="71"/>
      <c r="W685" s="71"/>
      <c r="X685" s="71"/>
      <c r="Y685" s="71"/>
      <c r="Z685" s="71"/>
      <c r="AA685" s="71"/>
    </row>
    <row r="686" spans="1:27" ht="15.75" customHeight="1">
      <c r="A686" s="71"/>
      <c r="B686" s="263"/>
      <c r="C686" s="264"/>
      <c r="D686" s="71"/>
      <c r="E686" s="71"/>
      <c r="F686" s="265"/>
      <c r="G686" s="263"/>
      <c r="H686" s="71"/>
      <c r="I686" s="265"/>
      <c r="J686" s="71"/>
      <c r="K686" s="266"/>
      <c r="L686" s="266"/>
      <c r="M686" s="266"/>
      <c r="N686" s="266"/>
      <c r="O686" s="266"/>
      <c r="P686" s="266"/>
      <c r="Q686" s="267"/>
      <c r="R686" s="71"/>
      <c r="S686" s="71"/>
      <c r="T686" s="222"/>
      <c r="U686" s="71"/>
      <c r="V686" s="71"/>
      <c r="W686" s="71"/>
      <c r="X686" s="71"/>
      <c r="Y686" s="71"/>
      <c r="Z686" s="71"/>
      <c r="AA686" s="71"/>
    </row>
    <row r="687" spans="1:27" ht="15.75" customHeight="1">
      <c r="A687" s="71"/>
      <c r="B687" s="263"/>
      <c r="C687" s="264"/>
      <c r="D687" s="71"/>
      <c r="E687" s="71"/>
      <c r="F687" s="265"/>
      <c r="G687" s="263"/>
      <c r="H687" s="71"/>
      <c r="I687" s="265"/>
      <c r="J687" s="71"/>
      <c r="K687" s="266"/>
      <c r="L687" s="266"/>
      <c r="M687" s="266"/>
      <c r="N687" s="266"/>
      <c r="O687" s="266"/>
      <c r="P687" s="266"/>
      <c r="Q687" s="267"/>
      <c r="R687" s="71"/>
      <c r="S687" s="71"/>
      <c r="T687" s="222"/>
      <c r="U687" s="71"/>
      <c r="V687" s="71"/>
      <c r="W687" s="71"/>
      <c r="X687" s="71"/>
      <c r="Y687" s="71"/>
      <c r="Z687" s="71"/>
      <c r="AA687" s="71"/>
    </row>
    <row r="688" spans="1:27" ht="15.75" customHeight="1">
      <c r="A688" s="71"/>
      <c r="B688" s="263"/>
      <c r="C688" s="264"/>
      <c r="D688" s="71"/>
      <c r="E688" s="71"/>
      <c r="F688" s="265"/>
      <c r="G688" s="263"/>
      <c r="H688" s="71"/>
      <c r="I688" s="265"/>
      <c r="J688" s="71"/>
      <c r="K688" s="266"/>
      <c r="L688" s="266"/>
      <c r="M688" s="266"/>
      <c r="N688" s="266"/>
      <c r="O688" s="266"/>
      <c r="P688" s="266"/>
      <c r="Q688" s="267"/>
      <c r="R688" s="71"/>
      <c r="S688" s="71"/>
      <c r="T688" s="222"/>
      <c r="U688" s="71"/>
      <c r="V688" s="71"/>
      <c r="W688" s="71"/>
      <c r="X688" s="71"/>
      <c r="Y688" s="71"/>
      <c r="Z688" s="71"/>
      <c r="AA688" s="71"/>
    </row>
    <row r="689" spans="1:27" ht="15.75" customHeight="1">
      <c r="A689" s="71"/>
      <c r="B689" s="263"/>
      <c r="C689" s="264"/>
      <c r="D689" s="71"/>
      <c r="E689" s="71"/>
      <c r="F689" s="265"/>
      <c r="G689" s="263"/>
      <c r="H689" s="71"/>
      <c r="I689" s="265"/>
      <c r="J689" s="71"/>
      <c r="K689" s="266"/>
      <c r="L689" s="266"/>
      <c r="M689" s="266"/>
      <c r="N689" s="266"/>
      <c r="O689" s="266"/>
      <c r="P689" s="266"/>
      <c r="Q689" s="267"/>
      <c r="R689" s="71"/>
      <c r="S689" s="71"/>
      <c r="T689" s="222"/>
      <c r="U689" s="71"/>
      <c r="V689" s="71"/>
      <c r="W689" s="71"/>
      <c r="X689" s="71"/>
      <c r="Y689" s="71"/>
      <c r="Z689" s="71"/>
      <c r="AA689" s="71"/>
    </row>
    <row r="690" spans="1:27" ht="15.75" customHeight="1">
      <c r="A690" s="71"/>
      <c r="B690" s="263"/>
      <c r="C690" s="264"/>
      <c r="D690" s="71"/>
      <c r="E690" s="71"/>
      <c r="F690" s="265"/>
      <c r="G690" s="263"/>
      <c r="H690" s="71"/>
      <c r="I690" s="265"/>
      <c r="J690" s="71"/>
      <c r="K690" s="266"/>
      <c r="L690" s="266"/>
      <c r="M690" s="266"/>
      <c r="N690" s="266"/>
      <c r="O690" s="266"/>
      <c r="P690" s="266"/>
      <c r="Q690" s="267"/>
      <c r="R690" s="71"/>
      <c r="S690" s="71"/>
      <c r="T690" s="222"/>
      <c r="U690" s="71"/>
      <c r="V690" s="71"/>
      <c r="W690" s="71"/>
      <c r="X690" s="71"/>
      <c r="Y690" s="71"/>
      <c r="Z690" s="71"/>
      <c r="AA690" s="71"/>
    </row>
    <row r="691" spans="1:27" ht="15.75" customHeight="1">
      <c r="A691" s="71"/>
      <c r="B691" s="263"/>
      <c r="C691" s="264"/>
      <c r="D691" s="71"/>
      <c r="E691" s="71"/>
      <c r="F691" s="265"/>
      <c r="G691" s="263"/>
      <c r="H691" s="71"/>
      <c r="I691" s="265"/>
      <c r="J691" s="71"/>
      <c r="K691" s="266"/>
      <c r="L691" s="266"/>
      <c r="M691" s="266"/>
      <c r="N691" s="266"/>
      <c r="O691" s="266"/>
      <c r="P691" s="266"/>
      <c r="Q691" s="267"/>
      <c r="R691" s="71"/>
      <c r="S691" s="71"/>
      <c r="T691" s="222"/>
      <c r="U691" s="71"/>
      <c r="V691" s="71"/>
      <c r="W691" s="71"/>
      <c r="X691" s="71"/>
      <c r="Y691" s="71"/>
      <c r="Z691" s="71"/>
      <c r="AA691" s="71"/>
    </row>
    <row r="692" spans="1:27" ht="15.75" customHeight="1">
      <c r="A692" s="71"/>
      <c r="B692" s="263"/>
      <c r="C692" s="264"/>
      <c r="D692" s="71"/>
      <c r="E692" s="71"/>
      <c r="F692" s="265"/>
      <c r="G692" s="263"/>
      <c r="H692" s="71"/>
      <c r="I692" s="265"/>
      <c r="J692" s="71"/>
      <c r="K692" s="266"/>
      <c r="L692" s="266"/>
      <c r="M692" s="266"/>
      <c r="N692" s="266"/>
      <c r="O692" s="266"/>
      <c r="P692" s="266"/>
      <c r="Q692" s="267"/>
      <c r="R692" s="71"/>
      <c r="S692" s="71"/>
      <c r="T692" s="222"/>
      <c r="U692" s="71"/>
      <c r="V692" s="71"/>
      <c r="W692" s="71"/>
      <c r="X692" s="71"/>
      <c r="Y692" s="71"/>
      <c r="Z692" s="71"/>
      <c r="AA692" s="71"/>
    </row>
    <row r="693" spans="1:27" ht="15.75" customHeight="1">
      <c r="A693" s="71"/>
      <c r="B693" s="263"/>
      <c r="C693" s="264"/>
      <c r="D693" s="71"/>
      <c r="E693" s="71"/>
      <c r="F693" s="265"/>
      <c r="G693" s="263"/>
      <c r="H693" s="71"/>
      <c r="I693" s="265"/>
      <c r="J693" s="71"/>
      <c r="K693" s="266"/>
      <c r="L693" s="266"/>
      <c r="M693" s="266"/>
      <c r="N693" s="266"/>
      <c r="O693" s="266"/>
      <c r="P693" s="266"/>
      <c r="Q693" s="267"/>
      <c r="R693" s="71"/>
      <c r="S693" s="71"/>
      <c r="T693" s="222"/>
      <c r="U693" s="71"/>
      <c r="V693" s="71"/>
      <c r="W693" s="71"/>
      <c r="X693" s="71"/>
      <c r="Y693" s="71"/>
      <c r="Z693" s="71"/>
      <c r="AA693" s="71"/>
    </row>
    <row r="694" spans="1:27" ht="15.75" customHeight="1">
      <c r="A694" s="71"/>
      <c r="B694" s="263"/>
      <c r="C694" s="264"/>
      <c r="D694" s="71"/>
      <c r="E694" s="71"/>
      <c r="F694" s="265"/>
      <c r="G694" s="263"/>
      <c r="H694" s="71"/>
      <c r="I694" s="265"/>
      <c r="J694" s="71"/>
      <c r="K694" s="266"/>
      <c r="L694" s="266"/>
      <c r="M694" s="266"/>
      <c r="N694" s="266"/>
      <c r="O694" s="266"/>
      <c r="P694" s="266"/>
      <c r="Q694" s="267"/>
      <c r="R694" s="71"/>
      <c r="S694" s="71"/>
      <c r="T694" s="222"/>
      <c r="U694" s="71"/>
      <c r="V694" s="71"/>
      <c r="W694" s="71"/>
      <c r="X694" s="71"/>
      <c r="Y694" s="71"/>
      <c r="Z694" s="71"/>
      <c r="AA694" s="71"/>
    </row>
    <row r="695" spans="1:27" ht="15.75" customHeight="1">
      <c r="A695" s="71"/>
      <c r="B695" s="263"/>
      <c r="C695" s="264"/>
      <c r="D695" s="71"/>
      <c r="E695" s="71"/>
      <c r="F695" s="265"/>
      <c r="G695" s="263"/>
      <c r="H695" s="71"/>
      <c r="I695" s="265"/>
      <c r="J695" s="71"/>
      <c r="K695" s="266"/>
      <c r="L695" s="266"/>
      <c r="M695" s="266"/>
      <c r="N695" s="266"/>
      <c r="O695" s="266"/>
      <c r="P695" s="266"/>
      <c r="Q695" s="267"/>
      <c r="R695" s="71"/>
      <c r="S695" s="71"/>
      <c r="T695" s="222"/>
      <c r="U695" s="71"/>
      <c r="V695" s="71"/>
      <c r="W695" s="71"/>
      <c r="X695" s="71"/>
      <c r="Y695" s="71"/>
      <c r="Z695" s="71"/>
      <c r="AA695" s="71"/>
    </row>
    <row r="696" spans="1:27" ht="15.75" customHeight="1">
      <c r="A696" s="71"/>
      <c r="B696" s="263"/>
      <c r="C696" s="264"/>
      <c r="D696" s="71"/>
      <c r="E696" s="71"/>
      <c r="F696" s="265"/>
      <c r="G696" s="263"/>
      <c r="H696" s="71"/>
      <c r="I696" s="265"/>
      <c r="J696" s="71"/>
      <c r="K696" s="266"/>
      <c r="L696" s="266"/>
      <c r="M696" s="266"/>
      <c r="N696" s="266"/>
      <c r="O696" s="266"/>
      <c r="P696" s="266"/>
      <c r="Q696" s="267"/>
      <c r="R696" s="71"/>
      <c r="S696" s="71"/>
      <c r="T696" s="222"/>
      <c r="U696" s="71"/>
      <c r="V696" s="71"/>
      <c r="W696" s="71"/>
      <c r="X696" s="71"/>
      <c r="Y696" s="71"/>
      <c r="Z696" s="71"/>
      <c r="AA696" s="71"/>
    </row>
    <row r="697" spans="1:27" ht="15.75" customHeight="1">
      <c r="A697" s="71"/>
      <c r="B697" s="263"/>
      <c r="C697" s="264"/>
      <c r="D697" s="71"/>
      <c r="E697" s="71"/>
      <c r="F697" s="265"/>
      <c r="G697" s="263"/>
      <c r="H697" s="71"/>
      <c r="I697" s="265"/>
      <c r="J697" s="71"/>
      <c r="K697" s="266"/>
      <c r="L697" s="266"/>
      <c r="M697" s="266"/>
      <c r="N697" s="266"/>
      <c r="O697" s="266"/>
      <c r="P697" s="266"/>
      <c r="Q697" s="267"/>
      <c r="R697" s="71"/>
      <c r="S697" s="71"/>
      <c r="T697" s="222"/>
      <c r="U697" s="71"/>
      <c r="V697" s="71"/>
      <c r="W697" s="71"/>
      <c r="X697" s="71"/>
      <c r="Y697" s="71"/>
      <c r="Z697" s="71"/>
      <c r="AA697" s="71"/>
    </row>
    <row r="698" spans="1:27" ht="15.75" customHeight="1">
      <c r="A698" s="71"/>
      <c r="B698" s="263"/>
      <c r="C698" s="264"/>
      <c r="D698" s="71"/>
      <c r="E698" s="71"/>
      <c r="F698" s="265"/>
      <c r="G698" s="263"/>
      <c r="H698" s="71"/>
      <c r="I698" s="265"/>
      <c r="J698" s="71"/>
      <c r="K698" s="266"/>
      <c r="L698" s="266"/>
      <c r="M698" s="266"/>
      <c r="N698" s="266"/>
      <c r="O698" s="266"/>
      <c r="P698" s="266"/>
      <c r="Q698" s="267"/>
      <c r="R698" s="71"/>
      <c r="S698" s="71"/>
      <c r="T698" s="222"/>
      <c r="U698" s="71"/>
      <c r="V698" s="71"/>
      <c r="W698" s="71"/>
      <c r="X698" s="71"/>
      <c r="Y698" s="71"/>
      <c r="Z698" s="71"/>
      <c r="AA698" s="71"/>
    </row>
    <row r="699" spans="1:27" ht="15.75" customHeight="1">
      <c r="A699" s="71"/>
      <c r="B699" s="263"/>
      <c r="C699" s="264"/>
      <c r="D699" s="71"/>
      <c r="E699" s="71"/>
      <c r="F699" s="265"/>
      <c r="G699" s="263"/>
      <c r="H699" s="71"/>
      <c r="I699" s="265"/>
      <c r="J699" s="71"/>
      <c r="K699" s="266"/>
      <c r="L699" s="266"/>
      <c r="M699" s="266"/>
      <c r="N699" s="266"/>
      <c r="O699" s="266"/>
      <c r="P699" s="266"/>
      <c r="Q699" s="267"/>
      <c r="R699" s="71"/>
      <c r="S699" s="71"/>
      <c r="T699" s="222"/>
      <c r="U699" s="71"/>
      <c r="V699" s="71"/>
      <c r="W699" s="71"/>
      <c r="X699" s="71"/>
      <c r="Y699" s="71"/>
      <c r="Z699" s="71"/>
      <c r="AA699" s="71"/>
    </row>
    <row r="700" spans="1:27" ht="15.75" customHeight="1">
      <c r="A700" s="71"/>
      <c r="B700" s="263"/>
      <c r="C700" s="264"/>
      <c r="D700" s="71"/>
      <c r="E700" s="71"/>
      <c r="F700" s="265"/>
      <c r="G700" s="263"/>
      <c r="H700" s="71"/>
      <c r="I700" s="265"/>
      <c r="J700" s="71"/>
      <c r="K700" s="266"/>
      <c r="L700" s="266"/>
      <c r="M700" s="266"/>
      <c r="N700" s="266"/>
      <c r="O700" s="266"/>
      <c r="P700" s="266"/>
      <c r="Q700" s="267"/>
      <c r="R700" s="71"/>
      <c r="S700" s="71"/>
      <c r="T700" s="222"/>
      <c r="U700" s="71"/>
      <c r="V700" s="71"/>
      <c r="W700" s="71"/>
      <c r="X700" s="71"/>
      <c r="Y700" s="71"/>
      <c r="Z700" s="71"/>
      <c r="AA700" s="71"/>
    </row>
    <row r="701" spans="1:27" ht="15.75" customHeight="1">
      <c r="A701" s="71"/>
      <c r="B701" s="263"/>
      <c r="C701" s="264"/>
      <c r="D701" s="71"/>
      <c r="E701" s="71"/>
      <c r="F701" s="265"/>
      <c r="G701" s="263"/>
      <c r="H701" s="71"/>
      <c r="I701" s="265"/>
      <c r="J701" s="71"/>
      <c r="K701" s="266"/>
      <c r="L701" s="266"/>
      <c r="M701" s="266"/>
      <c r="N701" s="266"/>
      <c r="O701" s="266"/>
      <c r="P701" s="266"/>
      <c r="Q701" s="267"/>
      <c r="R701" s="71"/>
      <c r="S701" s="71"/>
      <c r="T701" s="222"/>
      <c r="U701" s="71"/>
      <c r="V701" s="71"/>
      <c r="W701" s="71"/>
      <c r="X701" s="71"/>
      <c r="Y701" s="71"/>
      <c r="Z701" s="71"/>
      <c r="AA701" s="71"/>
    </row>
    <row r="702" spans="1:27" ht="15.75" customHeight="1">
      <c r="A702" s="71"/>
      <c r="B702" s="263"/>
      <c r="C702" s="264"/>
      <c r="D702" s="71"/>
      <c r="E702" s="71"/>
      <c r="F702" s="265"/>
      <c r="G702" s="263"/>
      <c r="H702" s="71"/>
      <c r="I702" s="265"/>
      <c r="J702" s="71"/>
      <c r="K702" s="266"/>
      <c r="L702" s="266"/>
      <c r="M702" s="266"/>
      <c r="N702" s="266"/>
      <c r="O702" s="266"/>
      <c r="P702" s="266"/>
      <c r="Q702" s="267"/>
      <c r="R702" s="71"/>
      <c r="S702" s="71"/>
      <c r="T702" s="222"/>
      <c r="U702" s="71"/>
      <c r="V702" s="71"/>
      <c r="W702" s="71"/>
      <c r="X702" s="71"/>
      <c r="Y702" s="71"/>
      <c r="Z702" s="71"/>
      <c r="AA702" s="71"/>
    </row>
    <row r="703" spans="1:27" ht="15.75" customHeight="1">
      <c r="A703" s="71"/>
      <c r="B703" s="263"/>
      <c r="C703" s="264"/>
      <c r="D703" s="71"/>
      <c r="E703" s="71"/>
      <c r="F703" s="265"/>
      <c r="G703" s="263"/>
      <c r="H703" s="71"/>
      <c r="I703" s="265"/>
      <c r="J703" s="71"/>
      <c r="K703" s="266"/>
      <c r="L703" s="266"/>
      <c r="M703" s="266"/>
      <c r="N703" s="266"/>
      <c r="O703" s="266"/>
      <c r="P703" s="266"/>
      <c r="Q703" s="267"/>
      <c r="R703" s="71"/>
      <c r="S703" s="71"/>
      <c r="T703" s="222"/>
      <c r="U703" s="71"/>
      <c r="V703" s="71"/>
      <c r="W703" s="71"/>
      <c r="X703" s="71"/>
      <c r="Y703" s="71"/>
      <c r="Z703" s="71"/>
      <c r="AA703" s="71"/>
    </row>
    <row r="704" spans="1:27" ht="15.75" customHeight="1">
      <c r="A704" s="71"/>
      <c r="B704" s="263"/>
      <c r="C704" s="264"/>
      <c r="D704" s="71"/>
      <c r="E704" s="71"/>
      <c r="F704" s="265"/>
      <c r="G704" s="263"/>
      <c r="H704" s="71"/>
      <c r="I704" s="265"/>
      <c r="J704" s="71"/>
      <c r="K704" s="266"/>
      <c r="L704" s="266"/>
      <c r="M704" s="266"/>
      <c r="N704" s="266"/>
      <c r="O704" s="266"/>
      <c r="P704" s="266"/>
      <c r="Q704" s="267"/>
      <c r="R704" s="71"/>
      <c r="S704" s="71"/>
      <c r="T704" s="222"/>
      <c r="U704" s="71"/>
      <c r="V704" s="71"/>
      <c r="W704" s="71"/>
      <c r="X704" s="71"/>
      <c r="Y704" s="71"/>
      <c r="Z704" s="71"/>
      <c r="AA704" s="71"/>
    </row>
    <row r="705" spans="1:27" ht="15.75" customHeight="1">
      <c r="A705" s="71"/>
      <c r="B705" s="263"/>
      <c r="C705" s="264"/>
      <c r="D705" s="71"/>
      <c r="E705" s="71"/>
      <c r="F705" s="265"/>
      <c r="G705" s="263"/>
      <c r="H705" s="71"/>
      <c r="I705" s="265"/>
      <c r="J705" s="71"/>
      <c r="K705" s="266"/>
      <c r="L705" s="266"/>
      <c r="M705" s="266"/>
      <c r="N705" s="266"/>
      <c r="O705" s="266"/>
      <c r="P705" s="266"/>
      <c r="Q705" s="267"/>
      <c r="R705" s="71"/>
      <c r="S705" s="71"/>
      <c r="T705" s="222"/>
      <c r="U705" s="71"/>
      <c r="V705" s="71"/>
      <c r="W705" s="71"/>
      <c r="X705" s="71"/>
      <c r="Y705" s="71"/>
      <c r="Z705" s="71"/>
      <c r="AA705" s="71"/>
    </row>
    <row r="706" spans="1:27" ht="15.75" customHeight="1">
      <c r="A706" s="71"/>
      <c r="B706" s="263"/>
      <c r="C706" s="264"/>
      <c r="D706" s="71"/>
      <c r="E706" s="71"/>
      <c r="F706" s="265"/>
      <c r="G706" s="263"/>
      <c r="H706" s="71"/>
      <c r="I706" s="265"/>
      <c r="J706" s="71"/>
      <c r="K706" s="266"/>
      <c r="L706" s="266"/>
      <c r="M706" s="266"/>
      <c r="N706" s="266"/>
      <c r="O706" s="266"/>
      <c r="P706" s="266"/>
      <c r="Q706" s="267"/>
      <c r="R706" s="71"/>
      <c r="S706" s="71"/>
      <c r="T706" s="222"/>
      <c r="U706" s="71"/>
      <c r="V706" s="71"/>
      <c r="W706" s="71"/>
      <c r="X706" s="71"/>
      <c r="Y706" s="71"/>
      <c r="Z706" s="71"/>
      <c r="AA706" s="71"/>
    </row>
    <row r="707" spans="1:27" ht="15.75" customHeight="1">
      <c r="A707" s="71"/>
      <c r="B707" s="263"/>
      <c r="C707" s="264"/>
      <c r="D707" s="71"/>
      <c r="E707" s="71"/>
      <c r="F707" s="265"/>
      <c r="G707" s="263"/>
      <c r="H707" s="71"/>
      <c r="I707" s="265"/>
      <c r="J707" s="71"/>
      <c r="K707" s="266"/>
      <c r="L707" s="266"/>
      <c r="M707" s="266"/>
      <c r="N707" s="266"/>
      <c r="O707" s="266"/>
      <c r="P707" s="266"/>
      <c r="Q707" s="267"/>
      <c r="R707" s="71"/>
      <c r="S707" s="71"/>
      <c r="T707" s="222"/>
      <c r="U707" s="71"/>
      <c r="V707" s="71"/>
      <c r="W707" s="71"/>
      <c r="X707" s="71"/>
      <c r="Y707" s="71"/>
      <c r="Z707" s="71"/>
      <c r="AA707" s="71"/>
    </row>
    <row r="708" spans="1:27" ht="15.75" customHeight="1">
      <c r="A708" s="71"/>
      <c r="B708" s="263"/>
      <c r="C708" s="264"/>
      <c r="D708" s="71"/>
      <c r="E708" s="71"/>
      <c r="F708" s="265"/>
      <c r="G708" s="263"/>
      <c r="H708" s="71"/>
      <c r="I708" s="265"/>
      <c r="J708" s="71"/>
      <c r="K708" s="266"/>
      <c r="L708" s="266"/>
      <c r="M708" s="266"/>
      <c r="N708" s="266"/>
      <c r="O708" s="266"/>
      <c r="P708" s="266"/>
      <c r="Q708" s="267"/>
      <c r="R708" s="71"/>
      <c r="S708" s="71"/>
      <c r="T708" s="222"/>
      <c r="U708" s="71"/>
      <c r="V708" s="71"/>
      <c r="W708" s="71"/>
      <c r="X708" s="71"/>
      <c r="Y708" s="71"/>
      <c r="Z708" s="71"/>
      <c r="AA708" s="71"/>
    </row>
    <row r="709" spans="1:27" ht="15.75" customHeight="1">
      <c r="A709" s="71"/>
      <c r="B709" s="263"/>
      <c r="C709" s="264"/>
      <c r="D709" s="71"/>
      <c r="E709" s="71"/>
      <c r="F709" s="265"/>
      <c r="G709" s="263"/>
      <c r="H709" s="71"/>
      <c r="I709" s="265"/>
      <c r="J709" s="71"/>
      <c r="K709" s="266"/>
      <c r="L709" s="266"/>
      <c r="M709" s="266"/>
      <c r="N709" s="266"/>
      <c r="O709" s="266"/>
      <c r="P709" s="266"/>
      <c r="Q709" s="267"/>
      <c r="R709" s="71"/>
      <c r="S709" s="71"/>
      <c r="T709" s="222"/>
      <c r="U709" s="71"/>
      <c r="V709" s="71"/>
      <c r="W709" s="71"/>
      <c r="X709" s="71"/>
      <c r="Y709" s="71"/>
      <c r="Z709" s="71"/>
      <c r="AA709" s="71"/>
    </row>
    <row r="710" spans="1:27" ht="15.75" customHeight="1">
      <c r="A710" s="71"/>
      <c r="B710" s="263"/>
      <c r="C710" s="264"/>
      <c r="D710" s="71"/>
      <c r="E710" s="71"/>
      <c r="F710" s="265"/>
      <c r="G710" s="263"/>
      <c r="H710" s="71"/>
      <c r="I710" s="265"/>
      <c r="J710" s="71"/>
      <c r="K710" s="266"/>
      <c r="L710" s="266"/>
      <c r="M710" s="266"/>
      <c r="N710" s="266"/>
      <c r="O710" s="266"/>
      <c r="P710" s="266"/>
      <c r="Q710" s="267"/>
      <c r="R710" s="71"/>
      <c r="S710" s="71"/>
      <c r="T710" s="222"/>
      <c r="U710" s="71"/>
      <c r="V710" s="71"/>
      <c r="W710" s="71"/>
      <c r="X710" s="71"/>
      <c r="Y710" s="71"/>
      <c r="Z710" s="71"/>
      <c r="AA710" s="71"/>
    </row>
    <row r="711" spans="1:27" ht="15.75" customHeight="1">
      <c r="A711" s="71"/>
      <c r="B711" s="263"/>
      <c r="C711" s="264"/>
      <c r="D711" s="71"/>
      <c r="E711" s="71"/>
      <c r="F711" s="265"/>
      <c r="G711" s="263"/>
      <c r="H711" s="71"/>
      <c r="I711" s="265"/>
      <c r="J711" s="71"/>
      <c r="K711" s="266"/>
      <c r="L711" s="266"/>
      <c r="M711" s="266"/>
      <c r="N711" s="266"/>
      <c r="O711" s="266"/>
      <c r="P711" s="266"/>
      <c r="Q711" s="267"/>
      <c r="R711" s="71"/>
      <c r="S711" s="71"/>
      <c r="T711" s="222"/>
      <c r="U711" s="71"/>
      <c r="V711" s="71"/>
      <c r="W711" s="71"/>
      <c r="X711" s="71"/>
      <c r="Y711" s="71"/>
      <c r="Z711" s="71"/>
      <c r="AA711" s="71"/>
    </row>
    <row r="712" spans="1:27" ht="15.75" customHeight="1">
      <c r="A712" s="71"/>
      <c r="B712" s="263"/>
      <c r="C712" s="264"/>
      <c r="D712" s="71"/>
      <c r="E712" s="71"/>
      <c r="F712" s="265"/>
      <c r="G712" s="263"/>
      <c r="H712" s="71"/>
      <c r="I712" s="265"/>
      <c r="J712" s="71"/>
      <c r="K712" s="266"/>
      <c r="L712" s="266"/>
      <c r="M712" s="266"/>
      <c r="N712" s="266"/>
      <c r="O712" s="266"/>
      <c r="P712" s="266"/>
      <c r="Q712" s="267"/>
      <c r="R712" s="71"/>
      <c r="S712" s="71"/>
      <c r="T712" s="222"/>
      <c r="U712" s="71"/>
      <c r="V712" s="71"/>
      <c r="W712" s="71"/>
      <c r="X712" s="71"/>
      <c r="Y712" s="71"/>
      <c r="Z712" s="71"/>
      <c r="AA712" s="71"/>
    </row>
    <row r="713" spans="1:27" ht="15.75" customHeight="1">
      <c r="A713" s="71"/>
      <c r="B713" s="263"/>
      <c r="C713" s="264"/>
      <c r="D713" s="71"/>
      <c r="E713" s="71"/>
      <c r="F713" s="265"/>
      <c r="G713" s="263"/>
      <c r="H713" s="71"/>
      <c r="I713" s="265"/>
      <c r="J713" s="71"/>
      <c r="K713" s="266"/>
      <c r="L713" s="266"/>
      <c r="M713" s="266"/>
      <c r="N713" s="266"/>
      <c r="O713" s="266"/>
      <c r="P713" s="266"/>
      <c r="Q713" s="267"/>
      <c r="R713" s="71"/>
      <c r="S713" s="71"/>
      <c r="T713" s="222"/>
      <c r="U713" s="71"/>
      <c r="V713" s="71"/>
      <c r="W713" s="71"/>
      <c r="X713" s="71"/>
      <c r="Y713" s="71"/>
      <c r="Z713" s="71"/>
      <c r="AA713" s="71"/>
    </row>
    <row r="714" spans="1:27" ht="15.75" customHeight="1">
      <c r="A714" s="71"/>
      <c r="B714" s="263"/>
      <c r="C714" s="264"/>
      <c r="D714" s="71"/>
      <c r="E714" s="71"/>
      <c r="F714" s="265"/>
      <c r="G714" s="263"/>
      <c r="H714" s="71"/>
      <c r="I714" s="265"/>
      <c r="J714" s="71"/>
      <c r="K714" s="266"/>
      <c r="L714" s="266"/>
      <c r="M714" s="266"/>
      <c r="N714" s="266"/>
      <c r="O714" s="266"/>
      <c r="P714" s="266"/>
      <c r="Q714" s="267"/>
      <c r="R714" s="71"/>
      <c r="S714" s="71"/>
      <c r="T714" s="222"/>
      <c r="U714" s="71"/>
      <c r="V714" s="71"/>
      <c r="W714" s="71"/>
      <c r="X714" s="71"/>
      <c r="Y714" s="71"/>
      <c r="Z714" s="71"/>
      <c r="AA714" s="71"/>
    </row>
    <row r="715" spans="1:27" ht="15.75" customHeight="1">
      <c r="A715" s="71"/>
      <c r="B715" s="263"/>
      <c r="C715" s="264"/>
      <c r="D715" s="71"/>
      <c r="E715" s="71"/>
      <c r="F715" s="265"/>
      <c r="G715" s="263"/>
      <c r="H715" s="71"/>
      <c r="I715" s="265"/>
      <c r="J715" s="71"/>
      <c r="K715" s="266"/>
      <c r="L715" s="266"/>
      <c r="M715" s="266"/>
      <c r="N715" s="266"/>
      <c r="O715" s="266"/>
      <c r="P715" s="266"/>
      <c r="Q715" s="267"/>
      <c r="R715" s="71"/>
      <c r="S715" s="71"/>
      <c r="T715" s="222"/>
      <c r="U715" s="71"/>
      <c r="V715" s="71"/>
      <c r="W715" s="71"/>
      <c r="X715" s="71"/>
      <c r="Y715" s="71"/>
      <c r="Z715" s="71"/>
      <c r="AA715" s="71"/>
    </row>
    <row r="716" spans="1:27" ht="15.75" customHeight="1">
      <c r="A716" s="71"/>
      <c r="B716" s="263"/>
      <c r="C716" s="264"/>
      <c r="D716" s="71"/>
      <c r="E716" s="71"/>
      <c r="F716" s="265"/>
      <c r="G716" s="263"/>
      <c r="H716" s="71"/>
      <c r="I716" s="265"/>
      <c r="J716" s="71"/>
      <c r="K716" s="266"/>
      <c r="L716" s="266"/>
      <c r="M716" s="266"/>
      <c r="N716" s="266"/>
      <c r="O716" s="266"/>
      <c r="P716" s="266"/>
      <c r="Q716" s="267"/>
      <c r="R716" s="71"/>
      <c r="S716" s="71"/>
      <c r="T716" s="222"/>
      <c r="U716" s="71"/>
      <c r="V716" s="71"/>
      <c r="W716" s="71"/>
      <c r="X716" s="71"/>
      <c r="Y716" s="71"/>
      <c r="Z716" s="71"/>
      <c r="AA716" s="71"/>
    </row>
    <row r="717" spans="1:27" ht="15.75" customHeight="1">
      <c r="A717" s="71"/>
      <c r="B717" s="263"/>
      <c r="C717" s="264"/>
      <c r="D717" s="71"/>
      <c r="E717" s="71"/>
      <c r="F717" s="265"/>
      <c r="G717" s="263"/>
      <c r="H717" s="71"/>
      <c r="I717" s="265"/>
      <c r="J717" s="71"/>
      <c r="K717" s="266"/>
      <c r="L717" s="266"/>
      <c r="M717" s="266"/>
      <c r="N717" s="266"/>
      <c r="O717" s="266"/>
      <c r="P717" s="266"/>
      <c r="Q717" s="267"/>
      <c r="R717" s="71"/>
      <c r="S717" s="71"/>
      <c r="T717" s="222"/>
      <c r="U717" s="71"/>
      <c r="V717" s="71"/>
      <c r="W717" s="71"/>
      <c r="X717" s="71"/>
      <c r="Y717" s="71"/>
      <c r="Z717" s="71"/>
      <c r="AA717" s="71"/>
    </row>
    <row r="718" spans="1:27" ht="15.75" customHeight="1">
      <c r="A718" s="71"/>
      <c r="B718" s="263"/>
      <c r="C718" s="264"/>
      <c r="D718" s="71"/>
      <c r="E718" s="71"/>
      <c r="F718" s="265"/>
      <c r="G718" s="263"/>
      <c r="H718" s="71"/>
      <c r="I718" s="265"/>
      <c r="J718" s="71"/>
      <c r="K718" s="266"/>
      <c r="L718" s="266"/>
      <c r="M718" s="266"/>
      <c r="N718" s="266"/>
      <c r="O718" s="266"/>
      <c r="P718" s="266"/>
      <c r="Q718" s="267"/>
      <c r="R718" s="71"/>
      <c r="S718" s="71"/>
      <c r="T718" s="222"/>
      <c r="U718" s="71"/>
      <c r="V718" s="71"/>
      <c r="W718" s="71"/>
      <c r="X718" s="71"/>
      <c r="Y718" s="71"/>
      <c r="Z718" s="71"/>
      <c r="AA718" s="71"/>
    </row>
    <row r="719" spans="1:27" ht="15.75" customHeight="1">
      <c r="A719" s="71"/>
      <c r="B719" s="263"/>
      <c r="C719" s="264"/>
      <c r="D719" s="71"/>
      <c r="E719" s="71"/>
      <c r="F719" s="265"/>
      <c r="G719" s="263"/>
      <c r="H719" s="71"/>
      <c r="I719" s="265"/>
      <c r="J719" s="71"/>
      <c r="K719" s="266"/>
      <c r="L719" s="266"/>
      <c r="M719" s="266"/>
      <c r="N719" s="266"/>
      <c r="O719" s="266"/>
      <c r="P719" s="266"/>
      <c r="Q719" s="267"/>
      <c r="R719" s="71"/>
      <c r="S719" s="71"/>
      <c r="T719" s="222"/>
      <c r="U719" s="71"/>
      <c r="V719" s="71"/>
      <c r="W719" s="71"/>
      <c r="X719" s="71"/>
      <c r="Y719" s="71"/>
      <c r="Z719" s="71"/>
      <c r="AA719" s="71"/>
    </row>
    <row r="720" spans="1:27" ht="15.75" customHeight="1">
      <c r="A720" s="71"/>
      <c r="B720" s="263"/>
      <c r="C720" s="264"/>
      <c r="D720" s="71"/>
      <c r="E720" s="71"/>
      <c r="F720" s="265"/>
      <c r="G720" s="263"/>
      <c r="H720" s="71"/>
      <c r="I720" s="265"/>
      <c r="J720" s="71"/>
      <c r="K720" s="266"/>
      <c r="L720" s="266"/>
      <c r="M720" s="266"/>
      <c r="N720" s="266"/>
      <c r="O720" s="266"/>
      <c r="P720" s="266"/>
      <c r="Q720" s="267"/>
      <c r="R720" s="71"/>
      <c r="S720" s="71"/>
      <c r="T720" s="222"/>
      <c r="U720" s="71"/>
      <c r="V720" s="71"/>
      <c r="W720" s="71"/>
      <c r="X720" s="71"/>
      <c r="Y720" s="71"/>
      <c r="Z720" s="71"/>
      <c r="AA720" s="71"/>
    </row>
    <row r="721" spans="1:27" ht="15.75" customHeight="1">
      <c r="A721" s="71"/>
      <c r="B721" s="263"/>
      <c r="C721" s="264"/>
      <c r="D721" s="71"/>
      <c r="E721" s="71"/>
      <c r="F721" s="265"/>
      <c r="G721" s="263"/>
      <c r="H721" s="71"/>
      <c r="I721" s="265"/>
      <c r="J721" s="71"/>
      <c r="K721" s="266"/>
      <c r="L721" s="266"/>
      <c r="M721" s="266"/>
      <c r="N721" s="266"/>
      <c r="O721" s="266"/>
      <c r="P721" s="266"/>
      <c r="Q721" s="267"/>
      <c r="R721" s="71"/>
      <c r="S721" s="71"/>
      <c r="T721" s="222"/>
      <c r="U721" s="71"/>
      <c r="V721" s="71"/>
      <c r="W721" s="71"/>
      <c r="X721" s="71"/>
      <c r="Y721" s="71"/>
      <c r="Z721" s="71"/>
      <c r="AA721" s="71"/>
    </row>
    <row r="722" spans="1:27" ht="15.75" customHeight="1">
      <c r="A722" s="71"/>
      <c r="B722" s="263"/>
      <c r="C722" s="264"/>
      <c r="D722" s="71"/>
      <c r="E722" s="71"/>
      <c r="F722" s="265"/>
      <c r="G722" s="263"/>
      <c r="H722" s="71"/>
      <c r="I722" s="265"/>
      <c r="J722" s="71"/>
      <c r="K722" s="266"/>
      <c r="L722" s="266"/>
      <c r="M722" s="266"/>
      <c r="N722" s="266"/>
      <c r="O722" s="266"/>
      <c r="P722" s="266"/>
      <c r="Q722" s="267"/>
      <c r="R722" s="71"/>
      <c r="S722" s="71"/>
      <c r="T722" s="222"/>
      <c r="U722" s="71"/>
      <c r="V722" s="71"/>
      <c r="W722" s="71"/>
      <c r="X722" s="71"/>
      <c r="Y722" s="71"/>
      <c r="Z722" s="71"/>
      <c r="AA722" s="71"/>
    </row>
    <row r="723" spans="1:27" ht="15.75" customHeight="1">
      <c r="A723" s="71"/>
      <c r="B723" s="263"/>
      <c r="C723" s="264"/>
      <c r="D723" s="71"/>
      <c r="E723" s="71"/>
      <c r="F723" s="265"/>
      <c r="G723" s="263"/>
      <c r="H723" s="71"/>
      <c r="I723" s="265"/>
      <c r="J723" s="71"/>
      <c r="K723" s="266"/>
      <c r="L723" s="266"/>
      <c r="M723" s="266"/>
      <c r="N723" s="266"/>
      <c r="O723" s="266"/>
      <c r="P723" s="266"/>
      <c r="Q723" s="267"/>
      <c r="R723" s="71"/>
      <c r="S723" s="71"/>
      <c r="T723" s="222"/>
      <c r="U723" s="71"/>
      <c r="V723" s="71"/>
      <c r="W723" s="71"/>
      <c r="X723" s="71"/>
      <c r="Y723" s="71"/>
      <c r="Z723" s="71"/>
      <c r="AA723" s="71"/>
    </row>
    <row r="724" spans="1:27" ht="15.75" customHeight="1">
      <c r="A724" s="71"/>
      <c r="B724" s="263"/>
      <c r="C724" s="264"/>
      <c r="D724" s="71"/>
      <c r="E724" s="71"/>
      <c r="F724" s="265"/>
      <c r="G724" s="263"/>
      <c r="H724" s="71"/>
      <c r="I724" s="265"/>
      <c r="J724" s="71"/>
      <c r="K724" s="266"/>
      <c r="L724" s="266"/>
      <c r="M724" s="266"/>
      <c r="N724" s="266"/>
      <c r="O724" s="266"/>
      <c r="P724" s="266"/>
      <c r="Q724" s="267"/>
      <c r="R724" s="71"/>
      <c r="S724" s="71"/>
      <c r="T724" s="222"/>
      <c r="U724" s="71"/>
      <c r="V724" s="71"/>
      <c r="W724" s="71"/>
      <c r="X724" s="71"/>
      <c r="Y724" s="71"/>
      <c r="Z724" s="71"/>
      <c r="AA724" s="71"/>
    </row>
    <row r="725" spans="1:27" ht="15.75" customHeight="1">
      <c r="A725" s="71"/>
      <c r="B725" s="263"/>
      <c r="C725" s="264"/>
      <c r="D725" s="71"/>
      <c r="E725" s="71"/>
      <c r="F725" s="265"/>
      <c r="G725" s="263"/>
      <c r="H725" s="71"/>
      <c r="I725" s="265"/>
      <c r="J725" s="71"/>
      <c r="K725" s="266"/>
      <c r="L725" s="266"/>
      <c r="M725" s="266"/>
      <c r="N725" s="266"/>
      <c r="O725" s="266"/>
      <c r="P725" s="266"/>
      <c r="Q725" s="267"/>
      <c r="R725" s="71"/>
      <c r="S725" s="71"/>
      <c r="T725" s="222"/>
      <c r="U725" s="71"/>
      <c r="V725" s="71"/>
      <c r="W725" s="71"/>
      <c r="X725" s="71"/>
      <c r="Y725" s="71"/>
      <c r="Z725" s="71"/>
      <c r="AA725" s="71"/>
    </row>
    <row r="726" spans="1:27" ht="15.75" customHeight="1">
      <c r="A726" s="71"/>
      <c r="B726" s="263"/>
      <c r="C726" s="264"/>
      <c r="D726" s="71"/>
      <c r="E726" s="71"/>
      <c r="F726" s="265"/>
      <c r="G726" s="263"/>
      <c r="H726" s="71"/>
      <c r="I726" s="265"/>
      <c r="J726" s="71"/>
      <c r="K726" s="266"/>
      <c r="L726" s="266"/>
      <c r="M726" s="266"/>
      <c r="N726" s="266"/>
      <c r="O726" s="266"/>
      <c r="P726" s="266"/>
      <c r="Q726" s="267"/>
      <c r="R726" s="71"/>
      <c r="S726" s="71"/>
      <c r="T726" s="222"/>
      <c r="U726" s="71"/>
      <c r="V726" s="71"/>
      <c r="W726" s="71"/>
      <c r="X726" s="71"/>
      <c r="Y726" s="71"/>
      <c r="Z726" s="71"/>
      <c r="AA726" s="71"/>
    </row>
    <row r="727" spans="1:27" ht="15.75" customHeight="1">
      <c r="A727" s="71"/>
      <c r="B727" s="263"/>
      <c r="C727" s="264"/>
      <c r="D727" s="71"/>
      <c r="E727" s="71"/>
      <c r="F727" s="265"/>
      <c r="G727" s="263"/>
      <c r="H727" s="71"/>
      <c r="I727" s="265"/>
      <c r="J727" s="71"/>
      <c r="K727" s="266"/>
      <c r="L727" s="266"/>
      <c r="M727" s="266"/>
      <c r="N727" s="266"/>
      <c r="O727" s="266"/>
      <c r="P727" s="266"/>
      <c r="Q727" s="267"/>
      <c r="R727" s="71"/>
      <c r="S727" s="71"/>
      <c r="T727" s="222"/>
      <c r="U727" s="71"/>
      <c r="V727" s="71"/>
      <c r="W727" s="71"/>
      <c r="X727" s="71"/>
      <c r="Y727" s="71"/>
      <c r="Z727" s="71"/>
      <c r="AA727" s="71"/>
    </row>
    <row r="728" spans="1:27" ht="15.75" customHeight="1">
      <c r="A728" s="71"/>
      <c r="B728" s="263"/>
      <c r="C728" s="264"/>
      <c r="D728" s="71"/>
      <c r="E728" s="71"/>
      <c r="F728" s="265"/>
      <c r="G728" s="263"/>
      <c r="H728" s="71"/>
      <c r="I728" s="265"/>
      <c r="J728" s="71"/>
      <c r="K728" s="266"/>
      <c r="L728" s="266"/>
      <c r="M728" s="266"/>
      <c r="N728" s="266"/>
      <c r="O728" s="266"/>
      <c r="P728" s="266"/>
      <c r="Q728" s="267"/>
      <c r="R728" s="71"/>
      <c r="S728" s="71"/>
      <c r="T728" s="222"/>
      <c r="U728" s="71"/>
      <c r="V728" s="71"/>
      <c r="W728" s="71"/>
      <c r="X728" s="71"/>
      <c r="Y728" s="71"/>
      <c r="Z728" s="71"/>
      <c r="AA728" s="71"/>
    </row>
    <row r="729" spans="1:27" ht="15.75" customHeight="1">
      <c r="A729" s="71"/>
      <c r="B729" s="263"/>
      <c r="C729" s="264"/>
      <c r="D729" s="71"/>
      <c r="E729" s="71"/>
      <c r="F729" s="265"/>
      <c r="G729" s="263"/>
      <c r="H729" s="71"/>
      <c r="I729" s="265"/>
      <c r="J729" s="71"/>
      <c r="K729" s="266"/>
      <c r="L729" s="266"/>
      <c r="M729" s="266"/>
      <c r="N729" s="266"/>
      <c r="O729" s="266"/>
      <c r="P729" s="266"/>
      <c r="Q729" s="267"/>
      <c r="R729" s="71"/>
      <c r="S729" s="71"/>
      <c r="T729" s="222"/>
      <c r="U729" s="71"/>
      <c r="V729" s="71"/>
      <c r="W729" s="71"/>
      <c r="X729" s="71"/>
      <c r="Y729" s="71"/>
      <c r="Z729" s="71"/>
      <c r="AA729" s="71"/>
    </row>
    <row r="730" spans="1:27" ht="15.75" customHeight="1">
      <c r="A730" s="71"/>
      <c r="B730" s="263"/>
      <c r="C730" s="264"/>
      <c r="D730" s="71"/>
      <c r="E730" s="71"/>
      <c r="F730" s="265"/>
      <c r="G730" s="263"/>
      <c r="H730" s="71"/>
      <c r="I730" s="265"/>
      <c r="J730" s="71"/>
      <c r="K730" s="266"/>
      <c r="L730" s="266"/>
      <c r="M730" s="266"/>
      <c r="N730" s="266"/>
      <c r="O730" s="266"/>
      <c r="P730" s="266"/>
      <c r="Q730" s="267"/>
      <c r="R730" s="71"/>
      <c r="S730" s="71"/>
      <c r="T730" s="222"/>
      <c r="U730" s="71"/>
      <c r="V730" s="71"/>
      <c r="W730" s="71"/>
      <c r="X730" s="71"/>
      <c r="Y730" s="71"/>
      <c r="Z730" s="71"/>
      <c r="AA730" s="71"/>
    </row>
    <row r="731" spans="1:27" ht="15.75" customHeight="1">
      <c r="A731" s="71"/>
      <c r="B731" s="263"/>
      <c r="C731" s="264"/>
      <c r="D731" s="71"/>
      <c r="E731" s="71"/>
      <c r="F731" s="265"/>
      <c r="G731" s="263"/>
      <c r="H731" s="71"/>
      <c r="I731" s="265"/>
      <c r="J731" s="71"/>
      <c r="K731" s="266"/>
      <c r="L731" s="266"/>
      <c r="M731" s="266"/>
      <c r="N731" s="266"/>
      <c r="O731" s="266"/>
      <c r="P731" s="266"/>
      <c r="Q731" s="267"/>
      <c r="R731" s="71"/>
      <c r="S731" s="71"/>
      <c r="T731" s="222"/>
      <c r="U731" s="71"/>
      <c r="V731" s="71"/>
      <c r="W731" s="71"/>
      <c r="X731" s="71"/>
      <c r="Y731" s="71"/>
      <c r="Z731" s="71"/>
      <c r="AA731" s="71"/>
    </row>
    <row r="732" spans="1:27" ht="15.75" customHeight="1">
      <c r="A732" s="71"/>
      <c r="B732" s="263"/>
      <c r="C732" s="264"/>
      <c r="D732" s="71"/>
      <c r="E732" s="71"/>
      <c r="F732" s="265"/>
      <c r="G732" s="263"/>
      <c r="H732" s="71"/>
      <c r="I732" s="265"/>
      <c r="J732" s="71"/>
      <c r="K732" s="266"/>
      <c r="L732" s="266"/>
      <c r="M732" s="266"/>
      <c r="N732" s="266"/>
      <c r="O732" s="266"/>
      <c r="P732" s="266"/>
      <c r="Q732" s="267"/>
      <c r="R732" s="71"/>
      <c r="S732" s="71"/>
      <c r="T732" s="222"/>
      <c r="U732" s="71"/>
      <c r="V732" s="71"/>
      <c r="W732" s="71"/>
      <c r="X732" s="71"/>
      <c r="Y732" s="71"/>
      <c r="Z732" s="71"/>
      <c r="AA732" s="71"/>
    </row>
    <row r="733" spans="1:27" ht="15.75" customHeight="1">
      <c r="A733" s="71"/>
      <c r="B733" s="263"/>
      <c r="C733" s="264"/>
      <c r="D733" s="71"/>
      <c r="E733" s="71"/>
      <c r="F733" s="265"/>
      <c r="G733" s="263"/>
      <c r="H733" s="71"/>
      <c r="I733" s="265"/>
      <c r="J733" s="71"/>
      <c r="K733" s="266"/>
      <c r="L733" s="266"/>
      <c r="M733" s="266"/>
      <c r="N733" s="266"/>
      <c r="O733" s="266"/>
      <c r="P733" s="266"/>
      <c r="Q733" s="267"/>
      <c r="R733" s="71"/>
      <c r="S733" s="71"/>
      <c r="T733" s="222"/>
      <c r="U733" s="71"/>
      <c r="V733" s="71"/>
      <c r="W733" s="71"/>
      <c r="X733" s="71"/>
      <c r="Y733" s="71"/>
      <c r="Z733" s="71"/>
      <c r="AA733" s="71"/>
    </row>
    <row r="734" spans="1:27" ht="15.75" customHeight="1">
      <c r="A734" s="71"/>
      <c r="B734" s="263"/>
      <c r="C734" s="264"/>
      <c r="D734" s="71"/>
      <c r="E734" s="71"/>
      <c r="F734" s="265"/>
      <c r="G734" s="263"/>
      <c r="H734" s="71"/>
      <c r="I734" s="265"/>
      <c r="J734" s="71"/>
      <c r="K734" s="266"/>
      <c r="L734" s="266"/>
      <c r="M734" s="266"/>
      <c r="N734" s="266"/>
      <c r="O734" s="266"/>
      <c r="P734" s="266"/>
      <c r="Q734" s="267"/>
      <c r="R734" s="71"/>
      <c r="S734" s="71"/>
      <c r="T734" s="222"/>
      <c r="U734" s="71"/>
      <c r="V734" s="71"/>
      <c r="W734" s="71"/>
      <c r="X734" s="71"/>
      <c r="Y734" s="71"/>
      <c r="Z734" s="71"/>
      <c r="AA734" s="71"/>
    </row>
    <row r="735" spans="1:27" ht="15.75" customHeight="1">
      <c r="A735" s="71"/>
      <c r="B735" s="263"/>
      <c r="C735" s="264"/>
      <c r="D735" s="71"/>
      <c r="E735" s="71"/>
      <c r="F735" s="265"/>
      <c r="G735" s="263"/>
      <c r="H735" s="71"/>
      <c r="I735" s="265"/>
      <c r="J735" s="71"/>
      <c r="K735" s="266"/>
      <c r="L735" s="266"/>
      <c r="M735" s="266"/>
      <c r="N735" s="266"/>
      <c r="O735" s="266"/>
      <c r="P735" s="266"/>
      <c r="Q735" s="267"/>
      <c r="R735" s="71"/>
      <c r="S735" s="71"/>
      <c r="T735" s="222"/>
      <c r="U735" s="71"/>
      <c r="V735" s="71"/>
      <c r="W735" s="71"/>
      <c r="X735" s="71"/>
      <c r="Y735" s="71"/>
      <c r="Z735" s="71"/>
      <c r="AA735" s="71"/>
    </row>
    <row r="736" spans="1:27" ht="15.75" customHeight="1">
      <c r="A736" s="71"/>
      <c r="B736" s="263"/>
      <c r="C736" s="264"/>
      <c r="D736" s="71"/>
      <c r="E736" s="71"/>
      <c r="F736" s="265"/>
      <c r="G736" s="263"/>
      <c r="H736" s="71"/>
      <c r="I736" s="265"/>
      <c r="J736" s="71"/>
      <c r="K736" s="266"/>
      <c r="L736" s="266"/>
      <c r="M736" s="266"/>
      <c r="N736" s="266"/>
      <c r="O736" s="266"/>
      <c r="P736" s="266"/>
      <c r="Q736" s="267"/>
      <c r="R736" s="71"/>
      <c r="S736" s="71"/>
      <c r="T736" s="222"/>
      <c r="U736" s="71"/>
      <c r="V736" s="71"/>
      <c r="W736" s="71"/>
      <c r="X736" s="71"/>
      <c r="Y736" s="71"/>
      <c r="Z736" s="71"/>
      <c r="AA736" s="71"/>
    </row>
    <row r="737" spans="1:27" ht="15.75" customHeight="1">
      <c r="A737" s="71"/>
      <c r="B737" s="263"/>
      <c r="C737" s="264"/>
      <c r="D737" s="71"/>
      <c r="E737" s="71"/>
      <c r="F737" s="265"/>
      <c r="G737" s="263"/>
      <c r="H737" s="71"/>
      <c r="I737" s="265"/>
      <c r="J737" s="71"/>
      <c r="K737" s="266"/>
      <c r="L737" s="266"/>
      <c r="M737" s="266"/>
      <c r="N737" s="266"/>
      <c r="O737" s="266"/>
      <c r="P737" s="266"/>
      <c r="Q737" s="267"/>
      <c r="R737" s="71"/>
      <c r="S737" s="71"/>
      <c r="T737" s="222"/>
      <c r="U737" s="71"/>
      <c r="V737" s="71"/>
      <c r="W737" s="71"/>
      <c r="X737" s="71"/>
      <c r="Y737" s="71"/>
      <c r="Z737" s="71"/>
      <c r="AA737" s="71"/>
    </row>
    <row r="738" spans="1:27" ht="15.75" customHeight="1">
      <c r="A738" s="71"/>
      <c r="B738" s="263"/>
      <c r="C738" s="264"/>
      <c r="D738" s="71"/>
      <c r="E738" s="71"/>
      <c r="F738" s="265"/>
      <c r="G738" s="263"/>
      <c r="H738" s="71"/>
      <c r="I738" s="265"/>
      <c r="J738" s="71"/>
      <c r="K738" s="266"/>
      <c r="L738" s="266"/>
      <c r="M738" s="266"/>
      <c r="N738" s="266"/>
      <c r="O738" s="266"/>
      <c r="P738" s="266"/>
      <c r="Q738" s="267"/>
      <c r="R738" s="71"/>
      <c r="S738" s="71"/>
      <c r="T738" s="222"/>
      <c r="U738" s="71"/>
      <c r="V738" s="71"/>
      <c r="W738" s="71"/>
      <c r="X738" s="71"/>
      <c r="Y738" s="71"/>
      <c r="Z738" s="71"/>
      <c r="AA738" s="71"/>
    </row>
    <row r="739" spans="1:27" ht="15.75" customHeight="1">
      <c r="A739" s="71"/>
      <c r="B739" s="263"/>
      <c r="C739" s="264"/>
      <c r="D739" s="71"/>
      <c r="E739" s="71"/>
      <c r="F739" s="265"/>
      <c r="G739" s="263"/>
      <c r="H739" s="71"/>
      <c r="I739" s="265"/>
      <c r="J739" s="71"/>
      <c r="K739" s="266"/>
      <c r="L739" s="266"/>
      <c r="M739" s="266"/>
      <c r="N739" s="266"/>
      <c r="O739" s="266"/>
      <c r="P739" s="266"/>
      <c r="Q739" s="267"/>
      <c r="R739" s="71"/>
      <c r="S739" s="71"/>
      <c r="T739" s="222"/>
      <c r="U739" s="71"/>
      <c r="V739" s="71"/>
      <c r="W739" s="71"/>
      <c r="X739" s="71"/>
      <c r="Y739" s="71"/>
      <c r="Z739" s="71"/>
      <c r="AA739" s="71"/>
    </row>
    <row r="740" spans="1:27" ht="15.75" customHeight="1">
      <c r="A740" s="71"/>
      <c r="B740" s="263"/>
      <c r="C740" s="264"/>
      <c r="D740" s="71"/>
      <c r="E740" s="71"/>
      <c r="F740" s="265"/>
      <c r="G740" s="263"/>
      <c r="H740" s="71"/>
      <c r="I740" s="265"/>
      <c r="J740" s="71"/>
      <c r="K740" s="266"/>
      <c r="L740" s="266"/>
      <c r="M740" s="266"/>
      <c r="N740" s="266"/>
      <c r="O740" s="266"/>
      <c r="P740" s="266"/>
      <c r="Q740" s="267"/>
      <c r="R740" s="71"/>
      <c r="S740" s="71"/>
      <c r="T740" s="222"/>
      <c r="U740" s="71"/>
      <c r="V740" s="71"/>
      <c r="W740" s="71"/>
      <c r="X740" s="71"/>
      <c r="Y740" s="71"/>
      <c r="Z740" s="71"/>
      <c r="AA740" s="71"/>
    </row>
    <row r="741" spans="1:27" ht="15.75" customHeight="1">
      <c r="A741" s="71"/>
      <c r="B741" s="263"/>
      <c r="C741" s="264"/>
      <c r="D741" s="71"/>
      <c r="E741" s="71"/>
      <c r="F741" s="265"/>
      <c r="G741" s="263"/>
      <c r="H741" s="71"/>
      <c r="I741" s="265"/>
      <c r="J741" s="71"/>
      <c r="K741" s="266"/>
      <c r="L741" s="266"/>
      <c r="M741" s="266"/>
      <c r="N741" s="266"/>
      <c r="O741" s="266"/>
      <c r="P741" s="266"/>
      <c r="Q741" s="267"/>
      <c r="R741" s="71"/>
      <c r="S741" s="71"/>
      <c r="T741" s="222"/>
      <c r="U741" s="71"/>
      <c r="V741" s="71"/>
      <c r="W741" s="71"/>
      <c r="X741" s="71"/>
      <c r="Y741" s="71"/>
      <c r="Z741" s="71"/>
      <c r="AA741" s="71"/>
    </row>
    <row r="742" spans="1:27" ht="15.75" customHeight="1">
      <c r="A742" s="71"/>
      <c r="B742" s="263"/>
      <c r="C742" s="264"/>
      <c r="D742" s="71"/>
      <c r="E742" s="71"/>
      <c r="F742" s="265"/>
      <c r="G742" s="263"/>
      <c r="H742" s="71"/>
      <c r="I742" s="265"/>
      <c r="J742" s="71"/>
      <c r="K742" s="266"/>
      <c r="L742" s="266"/>
      <c r="M742" s="266"/>
      <c r="N742" s="266"/>
      <c r="O742" s="266"/>
      <c r="P742" s="266"/>
      <c r="Q742" s="267"/>
      <c r="R742" s="71"/>
      <c r="S742" s="71"/>
      <c r="T742" s="222"/>
      <c r="U742" s="71"/>
      <c r="V742" s="71"/>
      <c r="W742" s="71"/>
      <c r="X742" s="71"/>
      <c r="Y742" s="71"/>
      <c r="Z742" s="71"/>
      <c r="AA742" s="71"/>
    </row>
    <row r="743" spans="1:27" ht="15.75" customHeight="1">
      <c r="A743" s="71"/>
      <c r="B743" s="263"/>
      <c r="C743" s="264"/>
      <c r="D743" s="71"/>
      <c r="E743" s="71"/>
      <c r="F743" s="265"/>
      <c r="G743" s="263"/>
      <c r="H743" s="71"/>
      <c r="I743" s="265"/>
      <c r="J743" s="71"/>
      <c r="K743" s="266"/>
      <c r="L743" s="266"/>
      <c r="M743" s="266"/>
      <c r="N743" s="266"/>
      <c r="O743" s="266"/>
      <c r="P743" s="266"/>
      <c r="Q743" s="267"/>
      <c r="R743" s="71"/>
      <c r="S743" s="71"/>
      <c r="T743" s="222"/>
      <c r="U743" s="71"/>
      <c r="V743" s="71"/>
      <c r="W743" s="71"/>
      <c r="X743" s="71"/>
      <c r="Y743" s="71"/>
      <c r="Z743" s="71"/>
      <c r="AA743" s="71"/>
    </row>
    <row r="744" spans="1:27" ht="15.75" customHeight="1">
      <c r="A744" s="71"/>
      <c r="B744" s="263"/>
      <c r="C744" s="264"/>
      <c r="D744" s="71"/>
      <c r="E744" s="71"/>
      <c r="F744" s="265"/>
      <c r="G744" s="263"/>
      <c r="H744" s="71"/>
      <c r="I744" s="265"/>
      <c r="J744" s="71"/>
      <c r="K744" s="266"/>
      <c r="L744" s="266"/>
      <c r="M744" s="266"/>
      <c r="N744" s="266"/>
      <c r="O744" s="266"/>
      <c r="P744" s="266"/>
      <c r="Q744" s="267"/>
      <c r="R744" s="71"/>
      <c r="S744" s="71"/>
      <c r="T744" s="222"/>
      <c r="U744" s="71"/>
      <c r="V744" s="71"/>
      <c r="W744" s="71"/>
      <c r="X744" s="71"/>
      <c r="Y744" s="71"/>
      <c r="Z744" s="71"/>
      <c r="AA744" s="71"/>
    </row>
    <row r="745" spans="1:27" ht="15.75" customHeight="1">
      <c r="A745" s="71"/>
      <c r="B745" s="263"/>
      <c r="C745" s="264"/>
      <c r="D745" s="71"/>
      <c r="E745" s="71"/>
      <c r="F745" s="265"/>
      <c r="G745" s="263"/>
      <c r="H745" s="71"/>
      <c r="I745" s="265"/>
      <c r="J745" s="71"/>
      <c r="K745" s="266"/>
      <c r="L745" s="266"/>
      <c r="M745" s="266"/>
      <c r="N745" s="266"/>
      <c r="O745" s="266"/>
      <c r="P745" s="266"/>
      <c r="Q745" s="267"/>
      <c r="R745" s="71"/>
      <c r="S745" s="71"/>
      <c r="T745" s="222"/>
      <c r="U745" s="71"/>
      <c r="V745" s="71"/>
      <c r="W745" s="71"/>
      <c r="X745" s="71"/>
      <c r="Y745" s="71"/>
      <c r="Z745" s="71"/>
      <c r="AA745" s="71"/>
    </row>
    <row r="746" spans="1:27" ht="15.75" customHeight="1">
      <c r="A746" s="71"/>
      <c r="B746" s="263"/>
      <c r="C746" s="264"/>
      <c r="D746" s="71"/>
      <c r="E746" s="71"/>
      <c r="F746" s="265"/>
      <c r="G746" s="263"/>
      <c r="H746" s="71"/>
      <c r="I746" s="265"/>
      <c r="J746" s="71"/>
      <c r="K746" s="266"/>
      <c r="L746" s="266"/>
      <c r="M746" s="266"/>
      <c r="N746" s="266"/>
      <c r="O746" s="266"/>
      <c r="P746" s="266"/>
      <c r="Q746" s="267"/>
      <c r="R746" s="71"/>
      <c r="S746" s="71"/>
      <c r="T746" s="222"/>
      <c r="U746" s="71"/>
      <c r="V746" s="71"/>
      <c r="W746" s="71"/>
      <c r="X746" s="71"/>
      <c r="Y746" s="71"/>
      <c r="Z746" s="71"/>
      <c r="AA746" s="71"/>
    </row>
    <row r="747" spans="1:27" ht="15.75" customHeight="1">
      <c r="A747" s="71"/>
      <c r="B747" s="263"/>
      <c r="C747" s="264"/>
      <c r="D747" s="71"/>
      <c r="E747" s="71"/>
      <c r="F747" s="265"/>
      <c r="G747" s="263"/>
      <c r="H747" s="71"/>
      <c r="I747" s="265"/>
      <c r="J747" s="71"/>
      <c r="K747" s="266"/>
      <c r="L747" s="266"/>
      <c r="M747" s="266"/>
      <c r="N747" s="266"/>
      <c r="O747" s="266"/>
      <c r="P747" s="266"/>
      <c r="Q747" s="267"/>
      <c r="R747" s="71"/>
      <c r="S747" s="71"/>
      <c r="T747" s="222"/>
      <c r="U747" s="71"/>
      <c r="V747" s="71"/>
      <c r="W747" s="71"/>
      <c r="X747" s="71"/>
      <c r="Y747" s="71"/>
      <c r="Z747" s="71"/>
      <c r="AA747" s="71"/>
    </row>
    <row r="748" spans="1:27" ht="15.75" customHeight="1">
      <c r="A748" s="71"/>
      <c r="B748" s="263"/>
      <c r="C748" s="264"/>
      <c r="D748" s="71"/>
      <c r="E748" s="71"/>
      <c r="F748" s="265"/>
      <c r="G748" s="263"/>
      <c r="H748" s="71"/>
      <c r="I748" s="265"/>
      <c r="J748" s="71"/>
      <c r="K748" s="266"/>
      <c r="L748" s="266"/>
      <c r="M748" s="266"/>
      <c r="N748" s="266"/>
      <c r="O748" s="266"/>
      <c r="P748" s="266"/>
      <c r="Q748" s="267"/>
      <c r="R748" s="71"/>
      <c r="S748" s="71"/>
      <c r="T748" s="222"/>
      <c r="U748" s="71"/>
      <c r="V748" s="71"/>
      <c r="W748" s="71"/>
      <c r="X748" s="71"/>
      <c r="Y748" s="71"/>
      <c r="Z748" s="71"/>
      <c r="AA748" s="71"/>
    </row>
    <row r="749" spans="1:27" ht="15.75" customHeight="1">
      <c r="A749" s="71"/>
      <c r="B749" s="263"/>
      <c r="C749" s="264"/>
      <c r="D749" s="71"/>
      <c r="E749" s="71"/>
      <c r="F749" s="265"/>
      <c r="G749" s="263"/>
      <c r="H749" s="71"/>
      <c r="I749" s="265"/>
      <c r="J749" s="71"/>
      <c r="K749" s="266"/>
      <c r="L749" s="266"/>
      <c r="M749" s="266"/>
      <c r="N749" s="266"/>
      <c r="O749" s="266"/>
      <c r="P749" s="266"/>
      <c r="Q749" s="267"/>
      <c r="R749" s="71"/>
      <c r="S749" s="71"/>
      <c r="T749" s="222"/>
      <c r="U749" s="71"/>
      <c r="V749" s="71"/>
      <c r="W749" s="71"/>
      <c r="X749" s="71"/>
      <c r="Y749" s="71"/>
      <c r="Z749" s="71"/>
      <c r="AA749" s="71"/>
    </row>
    <row r="750" spans="1:27" ht="15.75" customHeight="1">
      <c r="A750" s="71"/>
      <c r="B750" s="263"/>
      <c r="C750" s="264"/>
      <c r="D750" s="71"/>
      <c r="E750" s="71"/>
      <c r="F750" s="265"/>
      <c r="G750" s="263"/>
      <c r="H750" s="71"/>
      <c r="I750" s="265"/>
      <c r="J750" s="71"/>
      <c r="K750" s="266"/>
      <c r="L750" s="266"/>
      <c r="M750" s="266"/>
      <c r="N750" s="266"/>
      <c r="O750" s="266"/>
      <c r="P750" s="266"/>
      <c r="Q750" s="267"/>
      <c r="R750" s="71"/>
      <c r="S750" s="71"/>
      <c r="T750" s="222"/>
      <c r="U750" s="71"/>
      <c r="V750" s="71"/>
      <c r="W750" s="71"/>
      <c r="X750" s="71"/>
      <c r="Y750" s="71"/>
      <c r="Z750" s="71"/>
      <c r="AA750" s="71"/>
    </row>
    <row r="751" spans="1:27" ht="15.75" customHeight="1">
      <c r="A751" s="71"/>
      <c r="B751" s="263"/>
      <c r="C751" s="264"/>
      <c r="D751" s="71"/>
      <c r="E751" s="71"/>
      <c r="F751" s="265"/>
      <c r="G751" s="263"/>
      <c r="H751" s="71"/>
      <c r="I751" s="265"/>
      <c r="J751" s="71"/>
      <c r="K751" s="266"/>
      <c r="L751" s="266"/>
      <c r="M751" s="266"/>
      <c r="N751" s="266"/>
      <c r="O751" s="266"/>
      <c r="P751" s="266"/>
      <c r="Q751" s="267"/>
      <c r="R751" s="71"/>
      <c r="S751" s="71"/>
      <c r="T751" s="222"/>
      <c r="U751" s="71"/>
      <c r="V751" s="71"/>
      <c r="W751" s="71"/>
      <c r="X751" s="71"/>
      <c r="Y751" s="71"/>
      <c r="Z751" s="71"/>
      <c r="AA751" s="71"/>
    </row>
    <row r="752" spans="1:27" ht="15.75" customHeight="1">
      <c r="A752" s="71"/>
      <c r="B752" s="263"/>
      <c r="C752" s="264"/>
      <c r="D752" s="71"/>
      <c r="E752" s="71"/>
      <c r="F752" s="265"/>
      <c r="G752" s="263"/>
      <c r="H752" s="71"/>
      <c r="I752" s="265"/>
      <c r="J752" s="71"/>
      <c r="K752" s="266"/>
      <c r="L752" s="266"/>
      <c r="M752" s="266"/>
      <c r="N752" s="266"/>
      <c r="O752" s="266"/>
      <c r="P752" s="266"/>
      <c r="Q752" s="267"/>
      <c r="R752" s="71"/>
      <c r="S752" s="71"/>
      <c r="T752" s="222"/>
      <c r="U752" s="71"/>
      <c r="V752" s="71"/>
      <c r="W752" s="71"/>
      <c r="X752" s="71"/>
      <c r="Y752" s="71"/>
      <c r="Z752" s="71"/>
      <c r="AA752" s="71"/>
    </row>
    <row r="753" spans="1:27" ht="15.75" customHeight="1">
      <c r="A753" s="71"/>
      <c r="B753" s="263"/>
      <c r="C753" s="264"/>
      <c r="D753" s="71"/>
      <c r="E753" s="71"/>
      <c r="F753" s="265"/>
      <c r="G753" s="263"/>
      <c r="H753" s="71"/>
      <c r="I753" s="265"/>
      <c r="J753" s="71"/>
      <c r="K753" s="266"/>
      <c r="L753" s="266"/>
      <c r="M753" s="266"/>
      <c r="N753" s="266"/>
      <c r="O753" s="266"/>
      <c r="P753" s="266"/>
      <c r="Q753" s="267"/>
      <c r="R753" s="71"/>
      <c r="S753" s="71"/>
      <c r="T753" s="222"/>
      <c r="U753" s="71"/>
      <c r="V753" s="71"/>
      <c r="W753" s="71"/>
      <c r="X753" s="71"/>
      <c r="Y753" s="71"/>
      <c r="Z753" s="71"/>
      <c r="AA753" s="71"/>
    </row>
    <row r="754" spans="1:27" ht="15.75" customHeight="1">
      <c r="A754" s="71"/>
      <c r="B754" s="263"/>
      <c r="C754" s="264"/>
      <c r="D754" s="71"/>
      <c r="E754" s="71"/>
      <c r="F754" s="265"/>
      <c r="G754" s="263"/>
      <c r="H754" s="71"/>
      <c r="I754" s="265"/>
      <c r="J754" s="71"/>
      <c r="K754" s="266"/>
      <c r="L754" s="266"/>
      <c r="M754" s="266"/>
      <c r="N754" s="266"/>
      <c r="O754" s="266"/>
      <c r="P754" s="266"/>
      <c r="Q754" s="267"/>
      <c r="R754" s="71"/>
      <c r="S754" s="71"/>
      <c r="T754" s="222"/>
      <c r="U754" s="71"/>
      <c r="V754" s="71"/>
      <c r="W754" s="71"/>
      <c r="X754" s="71"/>
      <c r="Y754" s="71"/>
      <c r="Z754" s="71"/>
      <c r="AA754" s="71"/>
    </row>
    <row r="755" spans="1:27" ht="15.75" customHeight="1">
      <c r="A755" s="71"/>
      <c r="B755" s="263"/>
      <c r="C755" s="264"/>
      <c r="D755" s="71"/>
      <c r="E755" s="71"/>
      <c r="F755" s="265"/>
      <c r="G755" s="263"/>
      <c r="H755" s="71"/>
      <c r="I755" s="265"/>
      <c r="J755" s="71"/>
      <c r="K755" s="266"/>
      <c r="L755" s="266"/>
      <c r="M755" s="266"/>
      <c r="N755" s="266"/>
      <c r="O755" s="266"/>
      <c r="P755" s="266"/>
      <c r="Q755" s="267"/>
      <c r="R755" s="71"/>
      <c r="S755" s="71"/>
      <c r="T755" s="222"/>
      <c r="U755" s="71"/>
      <c r="V755" s="71"/>
      <c r="W755" s="71"/>
      <c r="X755" s="71"/>
      <c r="Y755" s="71"/>
      <c r="Z755" s="71"/>
      <c r="AA755" s="71"/>
    </row>
    <row r="756" spans="1:27" ht="15.75" customHeight="1">
      <c r="A756" s="71"/>
      <c r="B756" s="263"/>
      <c r="C756" s="264"/>
      <c r="D756" s="71"/>
      <c r="E756" s="71"/>
      <c r="F756" s="265"/>
      <c r="G756" s="263"/>
      <c r="H756" s="71"/>
      <c r="I756" s="265"/>
      <c r="J756" s="71"/>
      <c r="K756" s="266"/>
      <c r="L756" s="266"/>
      <c r="M756" s="266"/>
      <c r="N756" s="266"/>
      <c r="O756" s="266"/>
      <c r="P756" s="266"/>
      <c r="Q756" s="267"/>
      <c r="R756" s="71"/>
      <c r="S756" s="71"/>
      <c r="T756" s="222"/>
      <c r="U756" s="71"/>
      <c r="V756" s="71"/>
      <c r="W756" s="71"/>
      <c r="X756" s="71"/>
      <c r="Y756" s="71"/>
      <c r="Z756" s="71"/>
      <c r="AA756" s="71"/>
    </row>
    <row r="757" spans="1:27" ht="15.75" customHeight="1">
      <c r="A757" s="71"/>
      <c r="B757" s="263"/>
      <c r="C757" s="264"/>
      <c r="D757" s="71"/>
      <c r="E757" s="71"/>
      <c r="F757" s="265"/>
      <c r="G757" s="263"/>
      <c r="H757" s="71"/>
      <c r="I757" s="265"/>
      <c r="J757" s="71"/>
      <c r="K757" s="266"/>
      <c r="L757" s="266"/>
      <c r="M757" s="266"/>
      <c r="N757" s="266"/>
      <c r="O757" s="266"/>
      <c r="P757" s="266"/>
      <c r="Q757" s="267"/>
      <c r="R757" s="71"/>
      <c r="S757" s="71"/>
      <c r="T757" s="222"/>
      <c r="U757" s="71"/>
      <c r="V757" s="71"/>
      <c r="W757" s="71"/>
      <c r="X757" s="71"/>
      <c r="Y757" s="71"/>
      <c r="Z757" s="71"/>
      <c r="AA757" s="71"/>
    </row>
    <row r="758" spans="1:27" ht="15.75" customHeight="1">
      <c r="A758" s="71"/>
      <c r="B758" s="263"/>
      <c r="C758" s="264"/>
      <c r="D758" s="71"/>
      <c r="E758" s="71"/>
      <c r="F758" s="265"/>
      <c r="G758" s="263"/>
      <c r="H758" s="71"/>
      <c r="I758" s="265"/>
      <c r="J758" s="71"/>
      <c r="K758" s="266"/>
      <c r="L758" s="266"/>
      <c r="M758" s="266"/>
      <c r="N758" s="266"/>
      <c r="O758" s="266"/>
      <c r="P758" s="266"/>
      <c r="Q758" s="267"/>
      <c r="R758" s="71"/>
      <c r="S758" s="71"/>
      <c r="T758" s="222"/>
      <c r="U758" s="71"/>
      <c r="V758" s="71"/>
      <c r="W758" s="71"/>
      <c r="X758" s="71"/>
      <c r="Y758" s="71"/>
      <c r="Z758" s="71"/>
      <c r="AA758" s="71"/>
    </row>
    <row r="759" spans="1:27" ht="15.75" customHeight="1">
      <c r="A759" s="71"/>
      <c r="B759" s="263"/>
      <c r="C759" s="264"/>
      <c r="D759" s="71"/>
      <c r="E759" s="71"/>
      <c r="F759" s="265"/>
      <c r="G759" s="263"/>
      <c r="H759" s="71"/>
      <c r="I759" s="265"/>
      <c r="J759" s="71"/>
      <c r="K759" s="266"/>
      <c r="L759" s="266"/>
      <c r="M759" s="266"/>
      <c r="N759" s="266"/>
      <c r="O759" s="266"/>
      <c r="P759" s="266"/>
      <c r="Q759" s="267"/>
      <c r="R759" s="71"/>
      <c r="S759" s="71"/>
      <c r="T759" s="222"/>
      <c r="U759" s="71"/>
      <c r="V759" s="71"/>
      <c r="W759" s="71"/>
      <c r="X759" s="71"/>
      <c r="Y759" s="71"/>
      <c r="Z759" s="71"/>
      <c r="AA759" s="71"/>
    </row>
    <row r="760" spans="1:27" ht="15.75" customHeight="1">
      <c r="A760" s="71"/>
      <c r="B760" s="263"/>
      <c r="C760" s="264"/>
      <c r="D760" s="71"/>
      <c r="E760" s="71"/>
      <c r="F760" s="265"/>
      <c r="G760" s="263"/>
      <c r="H760" s="71"/>
      <c r="I760" s="265"/>
      <c r="J760" s="71"/>
      <c r="K760" s="266"/>
      <c r="L760" s="266"/>
      <c r="M760" s="266"/>
      <c r="N760" s="266"/>
      <c r="O760" s="266"/>
      <c r="P760" s="266"/>
      <c r="Q760" s="267"/>
      <c r="R760" s="71"/>
      <c r="S760" s="71"/>
      <c r="T760" s="222"/>
      <c r="U760" s="71"/>
      <c r="V760" s="71"/>
      <c r="W760" s="71"/>
      <c r="X760" s="71"/>
      <c r="Y760" s="71"/>
      <c r="Z760" s="71"/>
      <c r="AA760" s="71"/>
    </row>
    <row r="761" spans="1:27" ht="15.75" customHeight="1">
      <c r="A761" s="71"/>
      <c r="B761" s="263"/>
      <c r="C761" s="264"/>
      <c r="D761" s="71"/>
      <c r="E761" s="71"/>
      <c r="F761" s="265"/>
      <c r="G761" s="263"/>
      <c r="H761" s="71"/>
      <c r="I761" s="265"/>
      <c r="J761" s="71"/>
      <c r="K761" s="266"/>
      <c r="L761" s="266"/>
      <c r="M761" s="266"/>
      <c r="N761" s="266"/>
      <c r="O761" s="266"/>
      <c r="P761" s="266"/>
      <c r="Q761" s="267"/>
      <c r="R761" s="71"/>
      <c r="S761" s="71"/>
      <c r="T761" s="222"/>
      <c r="U761" s="71"/>
      <c r="V761" s="71"/>
      <c r="W761" s="71"/>
      <c r="X761" s="71"/>
      <c r="Y761" s="71"/>
      <c r="Z761" s="71"/>
      <c r="AA761" s="71"/>
    </row>
    <row r="762" spans="1:27" ht="15.75" customHeight="1">
      <c r="A762" s="71"/>
      <c r="B762" s="263"/>
      <c r="C762" s="264"/>
      <c r="D762" s="71"/>
      <c r="E762" s="71"/>
      <c r="F762" s="265"/>
      <c r="G762" s="263"/>
      <c r="H762" s="71"/>
      <c r="I762" s="265"/>
      <c r="J762" s="71"/>
      <c r="K762" s="266"/>
      <c r="L762" s="266"/>
      <c r="M762" s="266"/>
      <c r="N762" s="266"/>
      <c r="O762" s="266"/>
      <c r="P762" s="266"/>
      <c r="Q762" s="267"/>
      <c r="R762" s="71"/>
      <c r="S762" s="71"/>
      <c r="T762" s="222"/>
      <c r="U762" s="71"/>
      <c r="V762" s="71"/>
      <c r="W762" s="71"/>
      <c r="X762" s="71"/>
      <c r="Y762" s="71"/>
      <c r="Z762" s="71"/>
      <c r="AA762" s="71"/>
    </row>
    <row r="763" spans="1:27" ht="15.75" customHeight="1">
      <c r="A763" s="71"/>
      <c r="B763" s="263"/>
      <c r="C763" s="264"/>
      <c r="D763" s="71"/>
      <c r="E763" s="71"/>
      <c r="F763" s="265"/>
      <c r="G763" s="263"/>
      <c r="H763" s="71"/>
      <c r="I763" s="265"/>
      <c r="J763" s="71"/>
      <c r="K763" s="266"/>
      <c r="L763" s="266"/>
      <c r="M763" s="266"/>
      <c r="N763" s="266"/>
      <c r="O763" s="266"/>
      <c r="P763" s="266"/>
      <c r="Q763" s="267"/>
      <c r="R763" s="71"/>
      <c r="S763" s="71"/>
      <c r="T763" s="222"/>
      <c r="U763" s="71"/>
      <c r="V763" s="71"/>
      <c r="W763" s="71"/>
      <c r="X763" s="71"/>
      <c r="Y763" s="71"/>
      <c r="Z763" s="71"/>
      <c r="AA763" s="71"/>
    </row>
    <row r="764" spans="1:27" ht="15.75" customHeight="1">
      <c r="A764" s="71"/>
      <c r="B764" s="263"/>
      <c r="C764" s="264"/>
      <c r="D764" s="71"/>
      <c r="E764" s="71"/>
      <c r="F764" s="265"/>
      <c r="G764" s="263"/>
      <c r="H764" s="71"/>
      <c r="I764" s="265"/>
      <c r="J764" s="71"/>
      <c r="K764" s="266"/>
      <c r="L764" s="266"/>
      <c r="M764" s="266"/>
      <c r="N764" s="266"/>
      <c r="O764" s="266"/>
      <c r="P764" s="266"/>
      <c r="Q764" s="267"/>
      <c r="R764" s="71"/>
      <c r="S764" s="71"/>
      <c r="T764" s="222"/>
      <c r="U764" s="71"/>
      <c r="V764" s="71"/>
      <c r="W764" s="71"/>
      <c r="X764" s="71"/>
      <c r="Y764" s="71"/>
      <c r="Z764" s="71"/>
      <c r="AA764" s="71"/>
    </row>
    <row r="765" spans="1:27" ht="15.75" customHeight="1">
      <c r="A765" s="71"/>
      <c r="B765" s="263"/>
      <c r="C765" s="264"/>
      <c r="D765" s="71"/>
      <c r="E765" s="71"/>
      <c r="F765" s="265"/>
      <c r="G765" s="263"/>
      <c r="H765" s="71"/>
      <c r="I765" s="265"/>
      <c r="J765" s="71"/>
      <c r="K765" s="266"/>
      <c r="L765" s="266"/>
      <c r="M765" s="266"/>
      <c r="N765" s="266"/>
      <c r="O765" s="266"/>
      <c r="P765" s="266"/>
      <c r="Q765" s="267"/>
      <c r="R765" s="71"/>
      <c r="S765" s="71"/>
      <c r="T765" s="222"/>
      <c r="U765" s="71"/>
      <c r="V765" s="71"/>
      <c r="W765" s="71"/>
      <c r="X765" s="71"/>
      <c r="Y765" s="71"/>
      <c r="Z765" s="71"/>
      <c r="AA765" s="71"/>
    </row>
    <row r="766" spans="1:27" ht="15.75" customHeight="1">
      <c r="A766" s="71"/>
      <c r="B766" s="263"/>
      <c r="C766" s="264"/>
      <c r="D766" s="71"/>
      <c r="E766" s="71"/>
      <c r="F766" s="265"/>
      <c r="G766" s="263"/>
      <c r="H766" s="71"/>
      <c r="I766" s="265"/>
      <c r="J766" s="71"/>
      <c r="K766" s="266"/>
      <c r="L766" s="266"/>
      <c r="M766" s="266"/>
      <c r="N766" s="266"/>
      <c r="O766" s="266"/>
      <c r="P766" s="266"/>
      <c r="Q766" s="267"/>
      <c r="R766" s="71"/>
      <c r="S766" s="71"/>
      <c r="T766" s="222"/>
      <c r="U766" s="71"/>
      <c r="V766" s="71"/>
      <c r="W766" s="71"/>
      <c r="X766" s="71"/>
      <c r="Y766" s="71"/>
      <c r="Z766" s="71"/>
      <c r="AA766" s="71"/>
    </row>
    <row r="767" spans="1:27" ht="15.75" customHeight="1">
      <c r="A767" s="71"/>
      <c r="B767" s="263"/>
      <c r="C767" s="264"/>
      <c r="D767" s="71"/>
      <c r="E767" s="71"/>
      <c r="F767" s="265"/>
      <c r="G767" s="263"/>
      <c r="H767" s="71"/>
      <c r="I767" s="265"/>
      <c r="J767" s="71"/>
      <c r="K767" s="266"/>
      <c r="L767" s="266"/>
      <c r="M767" s="266"/>
      <c r="N767" s="266"/>
      <c r="O767" s="266"/>
      <c r="P767" s="266"/>
      <c r="Q767" s="267"/>
      <c r="R767" s="71"/>
      <c r="S767" s="71"/>
      <c r="T767" s="222"/>
      <c r="U767" s="71"/>
      <c r="V767" s="71"/>
      <c r="W767" s="71"/>
      <c r="X767" s="71"/>
      <c r="Y767" s="71"/>
      <c r="Z767" s="71"/>
      <c r="AA767" s="71"/>
    </row>
    <row r="768" spans="1:27" ht="15.75" customHeight="1">
      <c r="A768" s="71"/>
      <c r="B768" s="263"/>
      <c r="C768" s="264"/>
      <c r="D768" s="71"/>
      <c r="E768" s="71"/>
      <c r="F768" s="265"/>
      <c r="G768" s="263"/>
      <c r="H768" s="71"/>
      <c r="I768" s="265"/>
      <c r="J768" s="71"/>
      <c r="K768" s="266"/>
      <c r="L768" s="266"/>
      <c r="M768" s="266"/>
      <c r="N768" s="266"/>
      <c r="O768" s="266"/>
      <c r="P768" s="266"/>
      <c r="Q768" s="267"/>
      <c r="R768" s="71"/>
      <c r="S768" s="71"/>
      <c r="T768" s="222"/>
      <c r="U768" s="71"/>
      <c r="V768" s="71"/>
      <c r="W768" s="71"/>
      <c r="X768" s="71"/>
      <c r="Y768" s="71"/>
      <c r="Z768" s="71"/>
      <c r="AA768" s="71"/>
    </row>
    <row r="769" spans="1:27" ht="15.75" customHeight="1">
      <c r="A769" s="71"/>
      <c r="B769" s="263"/>
      <c r="C769" s="264"/>
      <c r="D769" s="71"/>
      <c r="E769" s="71"/>
      <c r="F769" s="265"/>
      <c r="G769" s="263"/>
      <c r="H769" s="71"/>
      <c r="I769" s="265"/>
      <c r="J769" s="71"/>
      <c r="K769" s="266"/>
      <c r="L769" s="266"/>
      <c r="M769" s="266"/>
      <c r="N769" s="266"/>
      <c r="O769" s="266"/>
      <c r="P769" s="266"/>
      <c r="Q769" s="267"/>
      <c r="R769" s="71"/>
      <c r="S769" s="71"/>
      <c r="T769" s="222"/>
      <c r="U769" s="71"/>
      <c r="V769" s="71"/>
      <c r="W769" s="71"/>
      <c r="X769" s="71"/>
      <c r="Y769" s="71"/>
      <c r="Z769" s="71"/>
      <c r="AA769" s="71"/>
    </row>
    <row r="770" spans="1:27" ht="15.75" customHeight="1">
      <c r="A770" s="71"/>
      <c r="B770" s="263"/>
      <c r="C770" s="264"/>
      <c r="D770" s="71"/>
      <c r="E770" s="71"/>
      <c r="F770" s="265"/>
      <c r="G770" s="263"/>
      <c r="H770" s="71"/>
      <c r="I770" s="265"/>
      <c r="J770" s="71"/>
      <c r="K770" s="266"/>
      <c r="L770" s="266"/>
      <c r="M770" s="266"/>
      <c r="N770" s="266"/>
      <c r="O770" s="266"/>
      <c r="P770" s="266"/>
      <c r="Q770" s="267"/>
      <c r="R770" s="71"/>
      <c r="S770" s="71"/>
      <c r="T770" s="222"/>
      <c r="U770" s="71"/>
      <c r="V770" s="71"/>
      <c r="W770" s="71"/>
      <c r="X770" s="71"/>
      <c r="Y770" s="71"/>
      <c r="Z770" s="71"/>
      <c r="AA770" s="71"/>
    </row>
    <row r="771" spans="1:27" ht="15.75" customHeight="1">
      <c r="A771" s="71"/>
      <c r="B771" s="263"/>
      <c r="C771" s="264"/>
      <c r="D771" s="71"/>
      <c r="E771" s="71"/>
      <c r="F771" s="265"/>
      <c r="G771" s="263"/>
      <c r="H771" s="71"/>
      <c r="I771" s="265"/>
      <c r="J771" s="71"/>
      <c r="K771" s="266"/>
      <c r="L771" s="266"/>
      <c r="M771" s="266"/>
      <c r="N771" s="266"/>
      <c r="O771" s="266"/>
      <c r="P771" s="266"/>
      <c r="Q771" s="267"/>
      <c r="R771" s="71"/>
      <c r="S771" s="71"/>
      <c r="T771" s="222"/>
      <c r="U771" s="71"/>
      <c r="V771" s="71"/>
      <c r="W771" s="71"/>
      <c r="X771" s="71"/>
      <c r="Y771" s="71"/>
      <c r="Z771" s="71"/>
      <c r="AA771" s="71"/>
    </row>
    <row r="772" spans="1:27" ht="15.75" customHeight="1">
      <c r="A772" s="71"/>
      <c r="B772" s="263"/>
      <c r="C772" s="264"/>
      <c r="D772" s="71"/>
      <c r="E772" s="71"/>
      <c r="F772" s="265"/>
      <c r="G772" s="263"/>
      <c r="H772" s="71"/>
      <c r="I772" s="265"/>
      <c r="J772" s="71"/>
      <c r="K772" s="266"/>
      <c r="L772" s="266"/>
      <c r="M772" s="266"/>
      <c r="N772" s="266"/>
      <c r="O772" s="266"/>
      <c r="P772" s="266"/>
      <c r="Q772" s="267"/>
      <c r="R772" s="71"/>
      <c r="S772" s="71"/>
      <c r="T772" s="222"/>
      <c r="U772" s="71"/>
      <c r="V772" s="71"/>
      <c r="W772" s="71"/>
      <c r="X772" s="71"/>
      <c r="Y772" s="71"/>
      <c r="Z772" s="71"/>
      <c r="AA772" s="71"/>
    </row>
    <row r="773" spans="1:27" ht="15.75" customHeight="1">
      <c r="A773" s="71"/>
      <c r="B773" s="263"/>
      <c r="C773" s="264"/>
      <c r="D773" s="71"/>
      <c r="E773" s="71"/>
      <c r="F773" s="265"/>
      <c r="G773" s="263"/>
      <c r="H773" s="71"/>
      <c r="I773" s="265"/>
      <c r="J773" s="71"/>
      <c r="K773" s="266"/>
      <c r="L773" s="266"/>
      <c r="M773" s="266"/>
      <c r="N773" s="266"/>
      <c r="O773" s="266"/>
      <c r="P773" s="266"/>
      <c r="Q773" s="267"/>
      <c r="R773" s="71"/>
      <c r="S773" s="71"/>
      <c r="T773" s="222"/>
      <c r="U773" s="71"/>
      <c r="V773" s="71"/>
      <c r="W773" s="71"/>
      <c r="X773" s="71"/>
      <c r="Y773" s="71"/>
      <c r="Z773" s="71"/>
      <c r="AA773" s="71"/>
    </row>
    <row r="774" spans="1:27" ht="15.75" customHeight="1">
      <c r="A774" s="71"/>
      <c r="B774" s="263"/>
      <c r="C774" s="264"/>
      <c r="D774" s="71"/>
      <c r="E774" s="71"/>
      <c r="F774" s="265"/>
      <c r="G774" s="263"/>
      <c r="H774" s="71"/>
      <c r="I774" s="265"/>
      <c r="J774" s="71"/>
      <c r="K774" s="266"/>
      <c r="L774" s="266"/>
      <c r="M774" s="266"/>
      <c r="N774" s="266"/>
      <c r="O774" s="266"/>
      <c r="P774" s="266"/>
      <c r="Q774" s="267"/>
      <c r="R774" s="71"/>
      <c r="S774" s="71"/>
      <c r="T774" s="222"/>
      <c r="U774" s="71"/>
      <c r="V774" s="71"/>
      <c r="W774" s="71"/>
      <c r="X774" s="71"/>
      <c r="Y774" s="71"/>
      <c r="Z774" s="71"/>
      <c r="AA774" s="71"/>
    </row>
    <row r="775" spans="1:27" ht="15.75" customHeight="1">
      <c r="A775" s="71"/>
      <c r="B775" s="263"/>
      <c r="C775" s="264"/>
      <c r="D775" s="71"/>
      <c r="E775" s="71"/>
      <c r="F775" s="265"/>
      <c r="G775" s="263"/>
      <c r="H775" s="71"/>
      <c r="I775" s="265"/>
      <c r="J775" s="71"/>
      <c r="K775" s="266"/>
      <c r="L775" s="266"/>
      <c r="M775" s="266"/>
      <c r="N775" s="266"/>
      <c r="O775" s="266"/>
      <c r="P775" s="266"/>
      <c r="Q775" s="267"/>
      <c r="R775" s="71"/>
      <c r="S775" s="71"/>
      <c r="T775" s="222"/>
      <c r="U775" s="71"/>
      <c r="V775" s="71"/>
      <c r="W775" s="71"/>
      <c r="X775" s="71"/>
      <c r="Y775" s="71"/>
      <c r="Z775" s="71"/>
      <c r="AA775" s="71"/>
    </row>
    <row r="776" spans="1:27" ht="15.75" customHeight="1">
      <c r="A776" s="71"/>
      <c r="B776" s="263"/>
      <c r="C776" s="264"/>
      <c r="D776" s="71"/>
      <c r="E776" s="71"/>
      <c r="F776" s="265"/>
      <c r="G776" s="263"/>
      <c r="H776" s="71"/>
      <c r="I776" s="265"/>
      <c r="J776" s="71"/>
      <c r="K776" s="266"/>
      <c r="L776" s="266"/>
      <c r="M776" s="266"/>
      <c r="N776" s="266"/>
      <c r="O776" s="266"/>
      <c r="P776" s="266"/>
      <c r="Q776" s="267"/>
      <c r="R776" s="71"/>
      <c r="S776" s="71"/>
      <c r="T776" s="222"/>
      <c r="U776" s="71"/>
      <c r="V776" s="71"/>
      <c r="W776" s="71"/>
      <c r="X776" s="71"/>
      <c r="Y776" s="71"/>
      <c r="Z776" s="71"/>
      <c r="AA776" s="71"/>
    </row>
    <row r="777" spans="1:27" ht="15.75" customHeight="1">
      <c r="A777" s="71"/>
      <c r="B777" s="263"/>
      <c r="C777" s="264"/>
      <c r="D777" s="71"/>
      <c r="E777" s="71"/>
      <c r="F777" s="265"/>
      <c r="G777" s="263"/>
      <c r="H777" s="71"/>
      <c r="I777" s="265"/>
      <c r="J777" s="71"/>
      <c r="K777" s="266"/>
      <c r="L777" s="266"/>
      <c r="M777" s="266"/>
      <c r="N777" s="266"/>
      <c r="O777" s="266"/>
      <c r="P777" s="266"/>
      <c r="Q777" s="267"/>
      <c r="R777" s="71"/>
      <c r="S777" s="71"/>
      <c r="T777" s="222"/>
      <c r="U777" s="71"/>
      <c r="V777" s="71"/>
      <c r="W777" s="71"/>
      <c r="X777" s="71"/>
      <c r="Y777" s="71"/>
      <c r="Z777" s="71"/>
      <c r="AA777" s="71"/>
    </row>
    <row r="778" spans="1:27" ht="15.75" customHeight="1">
      <c r="A778" s="71"/>
      <c r="B778" s="263"/>
      <c r="C778" s="264"/>
      <c r="D778" s="71"/>
      <c r="E778" s="71"/>
      <c r="F778" s="265"/>
      <c r="G778" s="263"/>
      <c r="H778" s="71"/>
      <c r="I778" s="265"/>
      <c r="J778" s="71"/>
      <c r="K778" s="266"/>
      <c r="L778" s="266"/>
      <c r="M778" s="266"/>
      <c r="N778" s="266"/>
      <c r="O778" s="266"/>
      <c r="P778" s="266"/>
      <c r="Q778" s="267"/>
      <c r="R778" s="71"/>
      <c r="S778" s="71"/>
      <c r="T778" s="222"/>
      <c r="U778" s="71"/>
      <c r="V778" s="71"/>
      <c r="W778" s="71"/>
      <c r="X778" s="71"/>
      <c r="Y778" s="71"/>
      <c r="Z778" s="71"/>
      <c r="AA778" s="71"/>
    </row>
    <row r="779" spans="1:27" ht="15.75" customHeight="1">
      <c r="A779" s="71"/>
      <c r="B779" s="263"/>
      <c r="C779" s="264"/>
      <c r="D779" s="71"/>
      <c r="E779" s="71"/>
      <c r="F779" s="265"/>
      <c r="G779" s="263"/>
      <c r="H779" s="71"/>
      <c r="I779" s="265"/>
      <c r="J779" s="71"/>
      <c r="K779" s="266"/>
      <c r="L779" s="266"/>
      <c r="M779" s="266"/>
      <c r="N779" s="266"/>
      <c r="O779" s="266"/>
      <c r="P779" s="266"/>
      <c r="Q779" s="267"/>
      <c r="R779" s="71"/>
      <c r="S779" s="71"/>
      <c r="T779" s="222"/>
      <c r="U779" s="71"/>
      <c r="V779" s="71"/>
      <c r="W779" s="71"/>
      <c r="X779" s="71"/>
      <c r="Y779" s="71"/>
      <c r="Z779" s="71"/>
      <c r="AA779" s="71"/>
    </row>
    <row r="780" spans="1:27" ht="15.75" customHeight="1">
      <c r="A780" s="71"/>
      <c r="B780" s="263"/>
      <c r="C780" s="264"/>
      <c r="D780" s="71"/>
      <c r="E780" s="71"/>
      <c r="F780" s="265"/>
      <c r="G780" s="263"/>
      <c r="H780" s="71"/>
      <c r="I780" s="265"/>
      <c r="J780" s="71"/>
      <c r="K780" s="266"/>
      <c r="L780" s="266"/>
      <c r="M780" s="266"/>
      <c r="N780" s="266"/>
      <c r="O780" s="266"/>
      <c r="P780" s="266"/>
      <c r="Q780" s="267"/>
      <c r="R780" s="71"/>
      <c r="S780" s="71"/>
      <c r="T780" s="222"/>
      <c r="U780" s="71"/>
      <c r="V780" s="71"/>
      <c r="W780" s="71"/>
      <c r="X780" s="71"/>
      <c r="Y780" s="71"/>
      <c r="Z780" s="71"/>
      <c r="AA780" s="71"/>
    </row>
    <row r="781" spans="1:27" ht="15.75" customHeight="1">
      <c r="A781" s="71"/>
      <c r="B781" s="263"/>
      <c r="C781" s="264"/>
      <c r="D781" s="71"/>
      <c r="E781" s="71"/>
      <c r="F781" s="265"/>
      <c r="G781" s="263"/>
      <c r="H781" s="71"/>
      <c r="I781" s="265"/>
      <c r="J781" s="71"/>
      <c r="K781" s="266"/>
      <c r="L781" s="266"/>
      <c r="M781" s="266"/>
      <c r="N781" s="266"/>
      <c r="O781" s="266"/>
      <c r="P781" s="266"/>
      <c r="Q781" s="267"/>
      <c r="R781" s="71"/>
      <c r="S781" s="71"/>
      <c r="T781" s="222"/>
      <c r="U781" s="71"/>
      <c r="V781" s="71"/>
      <c r="W781" s="71"/>
      <c r="X781" s="71"/>
      <c r="Y781" s="71"/>
      <c r="Z781" s="71"/>
      <c r="AA781" s="71"/>
    </row>
    <row r="782" spans="1:27" ht="15.75" customHeight="1">
      <c r="A782" s="71"/>
      <c r="B782" s="263"/>
      <c r="C782" s="264"/>
      <c r="D782" s="71"/>
      <c r="E782" s="71"/>
      <c r="F782" s="265"/>
      <c r="G782" s="263"/>
      <c r="H782" s="71"/>
      <c r="I782" s="265"/>
      <c r="J782" s="71"/>
      <c r="K782" s="266"/>
      <c r="L782" s="266"/>
      <c r="M782" s="266"/>
      <c r="N782" s="266"/>
      <c r="O782" s="266"/>
      <c r="P782" s="266"/>
      <c r="Q782" s="267"/>
      <c r="R782" s="71"/>
      <c r="S782" s="71"/>
      <c r="T782" s="222"/>
      <c r="U782" s="71"/>
      <c r="V782" s="71"/>
      <c r="W782" s="71"/>
      <c r="X782" s="71"/>
      <c r="Y782" s="71"/>
      <c r="Z782" s="71"/>
      <c r="AA782" s="71"/>
    </row>
    <row r="783" spans="1:27" ht="15.75" customHeight="1">
      <c r="A783" s="71"/>
      <c r="B783" s="263"/>
      <c r="C783" s="264"/>
      <c r="D783" s="71"/>
      <c r="E783" s="71"/>
      <c r="F783" s="265"/>
      <c r="G783" s="263"/>
      <c r="H783" s="71"/>
      <c r="I783" s="265"/>
      <c r="J783" s="71"/>
      <c r="K783" s="266"/>
      <c r="L783" s="266"/>
      <c r="M783" s="266"/>
      <c r="N783" s="266"/>
      <c r="O783" s="266"/>
      <c r="P783" s="266"/>
      <c r="Q783" s="267"/>
      <c r="R783" s="71"/>
      <c r="S783" s="71"/>
      <c r="T783" s="222"/>
      <c r="U783" s="71"/>
      <c r="V783" s="71"/>
      <c r="W783" s="71"/>
      <c r="X783" s="71"/>
      <c r="Y783" s="71"/>
      <c r="Z783" s="71"/>
      <c r="AA783" s="71"/>
    </row>
    <row r="784" spans="1:27" ht="15.75" customHeight="1">
      <c r="A784" s="71"/>
      <c r="B784" s="263"/>
      <c r="C784" s="264"/>
      <c r="D784" s="71"/>
      <c r="E784" s="71"/>
      <c r="F784" s="265"/>
      <c r="G784" s="263"/>
      <c r="H784" s="71"/>
      <c r="I784" s="265"/>
      <c r="J784" s="71"/>
      <c r="K784" s="266"/>
      <c r="L784" s="266"/>
      <c r="M784" s="266"/>
      <c r="N784" s="266"/>
      <c r="O784" s="266"/>
      <c r="P784" s="266"/>
      <c r="Q784" s="267"/>
      <c r="R784" s="71"/>
      <c r="S784" s="71"/>
      <c r="T784" s="222"/>
      <c r="U784" s="71"/>
      <c r="V784" s="71"/>
      <c r="W784" s="71"/>
      <c r="X784" s="71"/>
      <c r="Y784" s="71"/>
      <c r="Z784" s="71"/>
      <c r="AA784" s="71"/>
    </row>
    <row r="785" spans="1:27" ht="15.75" customHeight="1">
      <c r="A785" s="71"/>
      <c r="B785" s="263"/>
      <c r="C785" s="264"/>
      <c r="D785" s="71"/>
      <c r="E785" s="71"/>
      <c r="F785" s="265"/>
      <c r="G785" s="263"/>
      <c r="H785" s="71"/>
      <c r="I785" s="265"/>
      <c r="J785" s="71"/>
      <c r="K785" s="266"/>
      <c r="L785" s="266"/>
      <c r="M785" s="266"/>
      <c r="N785" s="266"/>
      <c r="O785" s="266"/>
      <c r="P785" s="266"/>
      <c r="Q785" s="267"/>
      <c r="R785" s="71"/>
      <c r="S785" s="71"/>
      <c r="T785" s="222"/>
      <c r="U785" s="71"/>
      <c r="V785" s="71"/>
      <c r="W785" s="71"/>
      <c r="X785" s="71"/>
      <c r="Y785" s="71"/>
      <c r="Z785" s="71"/>
      <c r="AA785" s="71"/>
    </row>
    <row r="786" spans="1:27" ht="15.75" customHeight="1">
      <c r="A786" s="71"/>
      <c r="B786" s="263"/>
      <c r="C786" s="264"/>
      <c r="D786" s="71"/>
      <c r="E786" s="71"/>
      <c r="F786" s="265"/>
      <c r="G786" s="263"/>
      <c r="H786" s="71"/>
      <c r="I786" s="265"/>
      <c r="J786" s="71"/>
      <c r="K786" s="266"/>
      <c r="L786" s="266"/>
      <c r="M786" s="266"/>
      <c r="N786" s="266"/>
      <c r="O786" s="266"/>
      <c r="P786" s="266"/>
      <c r="Q786" s="267"/>
      <c r="R786" s="71"/>
      <c r="S786" s="71"/>
      <c r="T786" s="222"/>
      <c r="U786" s="71"/>
      <c r="V786" s="71"/>
      <c r="W786" s="71"/>
      <c r="X786" s="71"/>
      <c r="Y786" s="71"/>
      <c r="Z786" s="71"/>
      <c r="AA786" s="71"/>
    </row>
    <row r="787" spans="1:27" ht="15.75" customHeight="1">
      <c r="A787" s="71"/>
      <c r="B787" s="263"/>
      <c r="C787" s="264"/>
      <c r="D787" s="71"/>
      <c r="E787" s="71"/>
      <c r="F787" s="265"/>
      <c r="G787" s="263"/>
      <c r="H787" s="71"/>
      <c r="I787" s="265"/>
      <c r="J787" s="71"/>
      <c r="K787" s="266"/>
      <c r="L787" s="266"/>
      <c r="M787" s="266"/>
      <c r="N787" s="266"/>
      <c r="O787" s="266"/>
      <c r="P787" s="266"/>
      <c r="Q787" s="267"/>
      <c r="R787" s="71"/>
      <c r="S787" s="71"/>
      <c r="T787" s="222"/>
      <c r="U787" s="71"/>
      <c r="V787" s="71"/>
      <c r="W787" s="71"/>
      <c r="X787" s="71"/>
      <c r="Y787" s="71"/>
      <c r="Z787" s="71"/>
      <c r="AA787" s="71"/>
    </row>
    <row r="788" spans="1:27" ht="15.75" customHeight="1">
      <c r="A788" s="71"/>
      <c r="B788" s="263"/>
      <c r="C788" s="264"/>
      <c r="D788" s="71"/>
      <c r="E788" s="71"/>
      <c r="F788" s="265"/>
      <c r="G788" s="263"/>
      <c r="H788" s="71"/>
      <c r="I788" s="265"/>
      <c r="J788" s="71"/>
      <c r="K788" s="266"/>
      <c r="L788" s="266"/>
      <c r="M788" s="266"/>
      <c r="N788" s="266"/>
      <c r="O788" s="266"/>
      <c r="P788" s="266"/>
      <c r="Q788" s="267"/>
      <c r="R788" s="71"/>
      <c r="S788" s="71"/>
      <c r="T788" s="222"/>
      <c r="U788" s="71"/>
      <c r="V788" s="71"/>
      <c r="W788" s="71"/>
      <c r="X788" s="71"/>
      <c r="Y788" s="71"/>
      <c r="Z788" s="71"/>
      <c r="AA788" s="71"/>
    </row>
    <row r="789" spans="1:27" ht="15.75" customHeight="1">
      <c r="A789" s="71"/>
      <c r="B789" s="263"/>
      <c r="C789" s="264"/>
      <c r="D789" s="71"/>
      <c r="E789" s="71"/>
      <c r="F789" s="265"/>
      <c r="G789" s="263"/>
      <c r="H789" s="71"/>
      <c r="I789" s="265"/>
      <c r="J789" s="71"/>
      <c r="K789" s="266"/>
      <c r="L789" s="266"/>
      <c r="M789" s="266"/>
      <c r="N789" s="266"/>
      <c r="O789" s="266"/>
      <c r="P789" s="266"/>
      <c r="Q789" s="267"/>
      <c r="R789" s="71"/>
      <c r="S789" s="71"/>
      <c r="T789" s="222"/>
      <c r="U789" s="71"/>
      <c r="V789" s="71"/>
      <c r="W789" s="71"/>
      <c r="X789" s="71"/>
      <c r="Y789" s="71"/>
      <c r="Z789" s="71"/>
      <c r="AA789" s="71"/>
    </row>
    <row r="790" spans="1:27" ht="15.75" customHeight="1">
      <c r="A790" s="71"/>
      <c r="B790" s="263"/>
      <c r="C790" s="264"/>
      <c r="D790" s="71"/>
      <c r="E790" s="71"/>
      <c r="F790" s="265"/>
      <c r="G790" s="263"/>
      <c r="H790" s="71"/>
      <c r="I790" s="265"/>
      <c r="J790" s="71"/>
      <c r="K790" s="266"/>
      <c r="L790" s="266"/>
      <c r="M790" s="266"/>
      <c r="N790" s="266"/>
      <c r="O790" s="266"/>
      <c r="P790" s="266"/>
      <c r="Q790" s="267"/>
      <c r="R790" s="71"/>
      <c r="S790" s="71"/>
      <c r="T790" s="222"/>
      <c r="U790" s="71"/>
      <c r="V790" s="71"/>
      <c r="W790" s="71"/>
      <c r="X790" s="71"/>
      <c r="Y790" s="71"/>
      <c r="Z790" s="71"/>
      <c r="AA790" s="71"/>
    </row>
    <row r="791" spans="1:27" ht="15.75" customHeight="1">
      <c r="A791" s="71"/>
      <c r="B791" s="263"/>
      <c r="C791" s="264"/>
      <c r="D791" s="71"/>
      <c r="E791" s="71"/>
      <c r="F791" s="265"/>
      <c r="G791" s="263"/>
      <c r="H791" s="71"/>
      <c r="I791" s="265"/>
      <c r="J791" s="71"/>
      <c r="K791" s="266"/>
      <c r="L791" s="266"/>
      <c r="M791" s="266"/>
      <c r="N791" s="266"/>
      <c r="O791" s="266"/>
      <c r="P791" s="266"/>
      <c r="Q791" s="267"/>
      <c r="R791" s="71"/>
      <c r="S791" s="71"/>
      <c r="T791" s="222"/>
      <c r="U791" s="71"/>
      <c r="V791" s="71"/>
      <c r="W791" s="71"/>
      <c r="X791" s="71"/>
      <c r="Y791" s="71"/>
      <c r="Z791" s="71"/>
      <c r="AA791" s="71"/>
    </row>
    <row r="792" spans="1:27" ht="15.75" customHeight="1">
      <c r="A792" s="71"/>
      <c r="B792" s="263"/>
      <c r="C792" s="264"/>
      <c r="D792" s="71"/>
      <c r="E792" s="71"/>
      <c r="F792" s="265"/>
      <c r="G792" s="263"/>
      <c r="H792" s="71"/>
      <c r="I792" s="265"/>
      <c r="J792" s="71"/>
      <c r="K792" s="266"/>
      <c r="L792" s="266"/>
      <c r="M792" s="266"/>
      <c r="N792" s="266"/>
      <c r="O792" s="266"/>
      <c r="P792" s="266"/>
      <c r="Q792" s="267"/>
      <c r="R792" s="71"/>
      <c r="S792" s="71"/>
      <c r="T792" s="222"/>
      <c r="U792" s="71"/>
      <c r="V792" s="71"/>
      <c r="W792" s="71"/>
      <c r="X792" s="71"/>
      <c r="Y792" s="71"/>
      <c r="Z792" s="71"/>
      <c r="AA792" s="71"/>
    </row>
    <row r="793" spans="1:27" ht="15.75" customHeight="1">
      <c r="A793" s="71"/>
      <c r="B793" s="263"/>
      <c r="C793" s="264"/>
      <c r="D793" s="71"/>
      <c r="E793" s="71"/>
      <c r="F793" s="265"/>
      <c r="G793" s="263"/>
      <c r="H793" s="71"/>
      <c r="I793" s="265"/>
      <c r="J793" s="71"/>
      <c r="K793" s="266"/>
      <c r="L793" s="266"/>
      <c r="M793" s="266"/>
      <c r="N793" s="266"/>
      <c r="O793" s="266"/>
      <c r="P793" s="266"/>
      <c r="Q793" s="267"/>
      <c r="R793" s="71"/>
      <c r="S793" s="71"/>
      <c r="T793" s="222"/>
      <c r="U793" s="71"/>
      <c r="V793" s="71"/>
      <c r="W793" s="71"/>
      <c r="X793" s="71"/>
      <c r="Y793" s="71"/>
      <c r="Z793" s="71"/>
      <c r="AA793" s="71"/>
    </row>
    <row r="794" spans="1:27" ht="15.75" customHeight="1">
      <c r="A794" s="71"/>
      <c r="B794" s="263"/>
      <c r="C794" s="264"/>
      <c r="D794" s="71"/>
      <c r="E794" s="71"/>
      <c r="F794" s="265"/>
      <c r="G794" s="263"/>
      <c r="H794" s="71"/>
      <c r="I794" s="265"/>
      <c r="J794" s="71"/>
      <c r="K794" s="266"/>
      <c r="L794" s="266"/>
      <c r="M794" s="266"/>
      <c r="N794" s="266"/>
      <c r="O794" s="266"/>
      <c r="P794" s="266"/>
      <c r="Q794" s="267"/>
      <c r="R794" s="71"/>
      <c r="S794" s="71"/>
      <c r="T794" s="222"/>
      <c r="U794" s="71"/>
      <c r="V794" s="71"/>
      <c r="W794" s="71"/>
      <c r="X794" s="71"/>
      <c r="Y794" s="71"/>
      <c r="Z794" s="71"/>
      <c r="AA794" s="71"/>
    </row>
    <row r="795" spans="1:27" ht="15.75" customHeight="1">
      <c r="A795" s="71"/>
      <c r="B795" s="263"/>
      <c r="C795" s="264"/>
      <c r="D795" s="71"/>
      <c r="E795" s="71"/>
      <c r="F795" s="265"/>
      <c r="G795" s="263"/>
      <c r="H795" s="71"/>
      <c r="I795" s="265"/>
      <c r="J795" s="71"/>
      <c r="K795" s="266"/>
      <c r="L795" s="266"/>
      <c r="M795" s="266"/>
      <c r="N795" s="266"/>
      <c r="O795" s="266"/>
      <c r="P795" s="266"/>
      <c r="Q795" s="267"/>
      <c r="R795" s="71"/>
      <c r="S795" s="71"/>
      <c r="T795" s="222"/>
      <c r="U795" s="71"/>
      <c r="V795" s="71"/>
      <c r="W795" s="71"/>
      <c r="X795" s="71"/>
      <c r="Y795" s="71"/>
      <c r="Z795" s="71"/>
      <c r="AA795" s="71"/>
    </row>
    <row r="796" spans="1:27" ht="15.75" customHeight="1">
      <c r="A796" s="71"/>
      <c r="B796" s="263"/>
      <c r="C796" s="264"/>
      <c r="D796" s="71"/>
      <c r="E796" s="71"/>
      <c r="F796" s="265"/>
      <c r="G796" s="263"/>
      <c r="H796" s="71"/>
      <c r="I796" s="265"/>
      <c r="J796" s="71"/>
      <c r="K796" s="266"/>
      <c r="L796" s="266"/>
      <c r="M796" s="266"/>
      <c r="N796" s="266"/>
      <c r="O796" s="266"/>
      <c r="P796" s="266"/>
      <c r="Q796" s="267"/>
      <c r="R796" s="71"/>
      <c r="S796" s="71"/>
      <c r="T796" s="222"/>
      <c r="U796" s="71"/>
      <c r="V796" s="71"/>
      <c r="W796" s="71"/>
      <c r="X796" s="71"/>
      <c r="Y796" s="71"/>
      <c r="Z796" s="71"/>
      <c r="AA796" s="71"/>
    </row>
    <row r="797" spans="1:27" ht="15.75" customHeight="1">
      <c r="A797" s="71"/>
      <c r="B797" s="263"/>
      <c r="C797" s="264"/>
      <c r="D797" s="71"/>
      <c r="E797" s="71"/>
      <c r="F797" s="265"/>
      <c r="G797" s="263"/>
      <c r="H797" s="71"/>
      <c r="I797" s="265"/>
      <c r="J797" s="71"/>
      <c r="K797" s="266"/>
      <c r="L797" s="266"/>
      <c r="M797" s="266"/>
      <c r="N797" s="266"/>
      <c r="O797" s="266"/>
      <c r="P797" s="266"/>
      <c r="Q797" s="267"/>
      <c r="R797" s="71"/>
      <c r="S797" s="71"/>
      <c r="T797" s="222"/>
      <c r="U797" s="71"/>
      <c r="V797" s="71"/>
      <c r="W797" s="71"/>
      <c r="X797" s="71"/>
      <c r="Y797" s="71"/>
      <c r="Z797" s="71"/>
      <c r="AA797" s="71"/>
    </row>
    <row r="798" spans="1:27" ht="15.75" customHeight="1">
      <c r="A798" s="71"/>
      <c r="B798" s="263"/>
      <c r="C798" s="264"/>
      <c r="D798" s="71"/>
      <c r="E798" s="71"/>
      <c r="F798" s="265"/>
      <c r="G798" s="263"/>
      <c r="H798" s="71"/>
      <c r="I798" s="265"/>
      <c r="J798" s="71"/>
      <c r="K798" s="266"/>
      <c r="L798" s="266"/>
      <c r="M798" s="266"/>
      <c r="N798" s="266"/>
      <c r="O798" s="266"/>
      <c r="P798" s="266"/>
      <c r="Q798" s="267"/>
      <c r="R798" s="71"/>
      <c r="S798" s="71"/>
      <c r="T798" s="222"/>
      <c r="U798" s="71"/>
      <c r="V798" s="71"/>
      <c r="W798" s="71"/>
      <c r="X798" s="71"/>
      <c r="Y798" s="71"/>
      <c r="Z798" s="71"/>
      <c r="AA798" s="71"/>
    </row>
    <row r="799" spans="1:27" ht="15.75" customHeight="1">
      <c r="A799" s="71"/>
      <c r="B799" s="263"/>
      <c r="C799" s="264"/>
      <c r="D799" s="71"/>
      <c r="E799" s="71"/>
      <c r="F799" s="265"/>
      <c r="G799" s="263"/>
      <c r="H799" s="71"/>
      <c r="I799" s="265"/>
      <c r="J799" s="71"/>
      <c r="K799" s="266"/>
      <c r="L799" s="266"/>
      <c r="M799" s="266"/>
      <c r="N799" s="266"/>
      <c r="O799" s="266"/>
      <c r="P799" s="266"/>
      <c r="Q799" s="267"/>
      <c r="R799" s="71"/>
      <c r="S799" s="71"/>
      <c r="T799" s="222"/>
      <c r="U799" s="71"/>
      <c r="V799" s="71"/>
      <c r="W799" s="71"/>
      <c r="X799" s="71"/>
      <c r="Y799" s="71"/>
      <c r="Z799" s="71"/>
      <c r="AA799" s="71"/>
    </row>
    <row r="800" spans="1:27" ht="15.75" customHeight="1">
      <c r="A800" s="71"/>
      <c r="B800" s="263"/>
      <c r="C800" s="264"/>
      <c r="D800" s="71"/>
      <c r="E800" s="71"/>
      <c r="F800" s="265"/>
      <c r="G800" s="263"/>
      <c r="H800" s="71"/>
      <c r="I800" s="265"/>
      <c r="J800" s="71"/>
      <c r="K800" s="266"/>
      <c r="L800" s="266"/>
      <c r="M800" s="266"/>
      <c r="N800" s="266"/>
      <c r="O800" s="266"/>
      <c r="P800" s="266"/>
      <c r="Q800" s="267"/>
      <c r="R800" s="71"/>
      <c r="S800" s="71"/>
      <c r="T800" s="222"/>
      <c r="U800" s="71"/>
      <c r="V800" s="71"/>
      <c r="W800" s="71"/>
      <c r="X800" s="71"/>
      <c r="Y800" s="71"/>
      <c r="Z800" s="71"/>
      <c r="AA800" s="71"/>
    </row>
    <row r="801" spans="1:27" ht="15.75" customHeight="1">
      <c r="A801" s="71"/>
      <c r="B801" s="263"/>
      <c r="C801" s="264"/>
      <c r="D801" s="71"/>
      <c r="E801" s="71"/>
      <c r="F801" s="265"/>
      <c r="G801" s="263"/>
      <c r="H801" s="71"/>
      <c r="I801" s="265"/>
      <c r="J801" s="71"/>
      <c r="K801" s="266"/>
      <c r="L801" s="266"/>
      <c r="M801" s="266"/>
      <c r="N801" s="266"/>
      <c r="O801" s="266"/>
      <c r="P801" s="266"/>
      <c r="Q801" s="267"/>
      <c r="R801" s="71"/>
      <c r="S801" s="71"/>
      <c r="T801" s="222"/>
      <c r="U801" s="71"/>
      <c r="V801" s="71"/>
      <c r="W801" s="71"/>
      <c r="X801" s="71"/>
      <c r="Y801" s="71"/>
      <c r="Z801" s="71"/>
      <c r="AA801" s="71"/>
    </row>
    <row r="802" spans="1:27" ht="15.75" customHeight="1">
      <c r="A802" s="71"/>
      <c r="B802" s="263"/>
      <c r="C802" s="264"/>
      <c r="D802" s="71"/>
      <c r="E802" s="71"/>
      <c r="F802" s="265"/>
      <c r="G802" s="263"/>
      <c r="H802" s="71"/>
      <c r="I802" s="265"/>
      <c r="J802" s="71"/>
      <c r="K802" s="266"/>
      <c r="L802" s="266"/>
      <c r="M802" s="266"/>
      <c r="N802" s="266"/>
      <c r="O802" s="266"/>
      <c r="P802" s="266"/>
      <c r="Q802" s="267"/>
      <c r="R802" s="71"/>
      <c r="S802" s="71"/>
      <c r="T802" s="222"/>
      <c r="U802" s="71"/>
      <c r="V802" s="71"/>
      <c r="W802" s="71"/>
      <c r="X802" s="71"/>
      <c r="Y802" s="71"/>
      <c r="Z802" s="71"/>
      <c r="AA802" s="71"/>
    </row>
    <row r="803" spans="1:27" ht="15.75" customHeight="1">
      <c r="A803" s="71"/>
      <c r="B803" s="263"/>
      <c r="C803" s="264"/>
      <c r="D803" s="71"/>
      <c r="E803" s="71"/>
      <c r="F803" s="265"/>
      <c r="G803" s="263"/>
      <c r="H803" s="71"/>
      <c r="I803" s="265"/>
      <c r="J803" s="71"/>
      <c r="K803" s="266"/>
      <c r="L803" s="266"/>
      <c r="M803" s="266"/>
      <c r="N803" s="266"/>
      <c r="O803" s="266"/>
      <c r="P803" s="266"/>
      <c r="Q803" s="267"/>
      <c r="R803" s="71"/>
      <c r="S803" s="71"/>
      <c r="T803" s="222"/>
      <c r="U803" s="71"/>
      <c r="V803" s="71"/>
      <c r="W803" s="71"/>
      <c r="X803" s="71"/>
      <c r="Y803" s="71"/>
      <c r="Z803" s="71"/>
      <c r="AA803" s="71"/>
    </row>
    <row r="804" spans="1:27" ht="15.75" customHeight="1">
      <c r="A804" s="71"/>
      <c r="B804" s="263"/>
      <c r="C804" s="264"/>
      <c r="D804" s="71"/>
      <c r="E804" s="71"/>
      <c r="F804" s="265"/>
      <c r="G804" s="263"/>
      <c r="H804" s="71"/>
      <c r="I804" s="265"/>
      <c r="J804" s="71"/>
      <c r="K804" s="266"/>
      <c r="L804" s="266"/>
      <c r="M804" s="266"/>
      <c r="N804" s="266"/>
      <c r="O804" s="266"/>
      <c r="P804" s="266"/>
      <c r="Q804" s="267"/>
      <c r="R804" s="71"/>
      <c r="S804" s="71"/>
      <c r="T804" s="222"/>
      <c r="U804" s="71"/>
      <c r="V804" s="71"/>
      <c r="W804" s="71"/>
      <c r="X804" s="71"/>
      <c r="Y804" s="71"/>
      <c r="Z804" s="71"/>
      <c r="AA804" s="71"/>
    </row>
    <row r="805" spans="1:27" ht="15.75" customHeight="1">
      <c r="A805" s="71"/>
      <c r="B805" s="263"/>
      <c r="C805" s="264"/>
      <c r="D805" s="71"/>
      <c r="E805" s="71"/>
      <c r="F805" s="265"/>
      <c r="G805" s="263"/>
      <c r="H805" s="71"/>
      <c r="I805" s="265"/>
      <c r="J805" s="71"/>
      <c r="K805" s="266"/>
      <c r="L805" s="266"/>
      <c r="M805" s="266"/>
      <c r="N805" s="266"/>
      <c r="O805" s="266"/>
      <c r="P805" s="266"/>
      <c r="Q805" s="267"/>
      <c r="R805" s="71"/>
      <c r="S805" s="71"/>
      <c r="T805" s="222"/>
      <c r="U805" s="71"/>
      <c r="V805" s="71"/>
      <c r="W805" s="71"/>
      <c r="X805" s="71"/>
      <c r="Y805" s="71"/>
      <c r="Z805" s="71"/>
      <c r="AA805" s="71"/>
    </row>
    <row r="806" spans="1:27" ht="15.75" customHeight="1">
      <c r="A806" s="71"/>
      <c r="B806" s="263"/>
      <c r="C806" s="264"/>
      <c r="D806" s="71"/>
      <c r="E806" s="71"/>
      <c r="F806" s="265"/>
      <c r="G806" s="263"/>
      <c r="H806" s="71"/>
      <c r="I806" s="265"/>
      <c r="J806" s="71"/>
      <c r="K806" s="266"/>
      <c r="L806" s="266"/>
      <c r="M806" s="266"/>
      <c r="N806" s="266"/>
      <c r="O806" s="266"/>
      <c r="P806" s="266"/>
      <c r="Q806" s="267"/>
      <c r="R806" s="71"/>
      <c r="S806" s="71"/>
      <c r="T806" s="222"/>
      <c r="U806" s="71"/>
      <c r="V806" s="71"/>
      <c r="W806" s="71"/>
      <c r="X806" s="71"/>
      <c r="Y806" s="71"/>
      <c r="Z806" s="71"/>
      <c r="AA806" s="71"/>
    </row>
    <row r="807" spans="1:27" ht="15.75" customHeight="1">
      <c r="A807" s="71"/>
      <c r="B807" s="263"/>
      <c r="C807" s="264"/>
      <c r="D807" s="71"/>
      <c r="E807" s="71"/>
      <c r="F807" s="265"/>
      <c r="G807" s="263"/>
      <c r="H807" s="71"/>
      <c r="I807" s="265"/>
      <c r="J807" s="71"/>
      <c r="K807" s="266"/>
      <c r="L807" s="266"/>
      <c r="M807" s="266"/>
      <c r="N807" s="266"/>
      <c r="O807" s="266"/>
      <c r="P807" s="266"/>
      <c r="Q807" s="267"/>
      <c r="R807" s="71"/>
      <c r="S807" s="71"/>
      <c r="T807" s="222"/>
      <c r="U807" s="71"/>
      <c r="V807" s="71"/>
      <c r="W807" s="71"/>
      <c r="X807" s="71"/>
      <c r="Y807" s="71"/>
      <c r="Z807" s="71"/>
      <c r="AA807" s="71"/>
    </row>
    <row r="808" spans="1:27" ht="15.75" customHeight="1">
      <c r="A808" s="71"/>
      <c r="B808" s="263"/>
      <c r="C808" s="264"/>
      <c r="D808" s="71"/>
      <c r="E808" s="71"/>
      <c r="F808" s="265"/>
      <c r="G808" s="263"/>
      <c r="H808" s="71"/>
      <c r="I808" s="265"/>
      <c r="J808" s="71"/>
      <c r="K808" s="266"/>
      <c r="L808" s="266"/>
      <c r="M808" s="266"/>
      <c r="N808" s="266"/>
      <c r="O808" s="266"/>
      <c r="P808" s="266"/>
      <c r="Q808" s="267"/>
      <c r="R808" s="71"/>
      <c r="S808" s="71"/>
      <c r="T808" s="222"/>
      <c r="U808" s="71"/>
      <c r="V808" s="71"/>
      <c r="W808" s="71"/>
      <c r="X808" s="71"/>
      <c r="Y808" s="71"/>
      <c r="Z808" s="71"/>
      <c r="AA808" s="71"/>
    </row>
    <row r="809" spans="1:27" ht="15.75" customHeight="1">
      <c r="A809" s="71"/>
      <c r="B809" s="263"/>
      <c r="C809" s="264"/>
      <c r="D809" s="71"/>
      <c r="E809" s="71"/>
      <c r="F809" s="265"/>
      <c r="G809" s="263"/>
      <c r="H809" s="71"/>
      <c r="I809" s="265"/>
      <c r="J809" s="71"/>
      <c r="K809" s="266"/>
      <c r="L809" s="266"/>
      <c r="M809" s="266"/>
      <c r="N809" s="266"/>
      <c r="O809" s="266"/>
      <c r="P809" s="266"/>
      <c r="Q809" s="267"/>
      <c r="R809" s="71"/>
      <c r="S809" s="71"/>
      <c r="T809" s="222"/>
      <c r="U809" s="71"/>
      <c r="V809" s="71"/>
      <c r="W809" s="71"/>
      <c r="X809" s="71"/>
      <c r="Y809" s="71"/>
      <c r="Z809" s="71"/>
      <c r="AA809" s="71"/>
    </row>
    <row r="810" spans="1:27" ht="15.75" customHeight="1">
      <c r="A810" s="71"/>
      <c r="B810" s="263"/>
      <c r="C810" s="264"/>
      <c r="D810" s="71"/>
      <c r="E810" s="71"/>
      <c r="F810" s="265"/>
      <c r="G810" s="263"/>
      <c r="H810" s="71"/>
      <c r="I810" s="265"/>
      <c r="J810" s="71"/>
      <c r="K810" s="266"/>
      <c r="L810" s="266"/>
      <c r="M810" s="266"/>
      <c r="N810" s="266"/>
      <c r="O810" s="266"/>
      <c r="P810" s="266"/>
      <c r="Q810" s="267"/>
      <c r="R810" s="71"/>
      <c r="S810" s="71"/>
      <c r="T810" s="222"/>
      <c r="U810" s="71"/>
      <c r="V810" s="71"/>
      <c r="W810" s="71"/>
      <c r="X810" s="71"/>
      <c r="Y810" s="71"/>
      <c r="Z810" s="71"/>
      <c r="AA810" s="71"/>
    </row>
    <row r="811" spans="1:27" ht="15.75" customHeight="1">
      <c r="A811" s="71"/>
      <c r="B811" s="263"/>
      <c r="C811" s="264"/>
      <c r="D811" s="71"/>
      <c r="E811" s="71"/>
      <c r="F811" s="265"/>
      <c r="G811" s="263"/>
      <c r="H811" s="71"/>
      <c r="I811" s="265"/>
      <c r="J811" s="71"/>
      <c r="K811" s="266"/>
      <c r="L811" s="266"/>
      <c r="M811" s="266"/>
      <c r="N811" s="266"/>
      <c r="O811" s="266"/>
      <c r="P811" s="266"/>
      <c r="Q811" s="267"/>
      <c r="R811" s="71"/>
      <c r="S811" s="71"/>
      <c r="T811" s="222"/>
      <c r="U811" s="71"/>
      <c r="V811" s="71"/>
      <c r="W811" s="71"/>
      <c r="X811" s="71"/>
      <c r="Y811" s="71"/>
      <c r="Z811" s="71"/>
      <c r="AA811" s="71"/>
    </row>
    <row r="812" spans="1:27" ht="15.75" customHeight="1">
      <c r="A812" s="71"/>
      <c r="B812" s="263"/>
      <c r="C812" s="264"/>
      <c r="D812" s="71"/>
      <c r="E812" s="71"/>
      <c r="F812" s="265"/>
      <c r="G812" s="263"/>
      <c r="H812" s="71"/>
      <c r="I812" s="265"/>
      <c r="J812" s="71"/>
      <c r="K812" s="266"/>
      <c r="L812" s="266"/>
      <c r="M812" s="266"/>
      <c r="N812" s="266"/>
      <c r="O812" s="266"/>
      <c r="P812" s="266"/>
      <c r="Q812" s="267"/>
      <c r="R812" s="71"/>
      <c r="S812" s="71"/>
      <c r="T812" s="222"/>
      <c r="U812" s="71"/>
      <c r="V812" s="71"/>
      <c r="W812" s="71"/>
      <c r="X812" s="71"/>
      <c r="Y812" s="71"/>
      <c r="Z812" s="71"/>
      <c r="AA812" s="71"/>
    </row>
    <row r="813" spans="1:27" ht="15.75" customHeight="1">
      <c r="A813" s="71"/>
      <c r="B813" s="263"/>
      <c r="C813" s="264"/>
      <c r="D813" s="71"/>
      <c r="E813" s="71"/>
      <c r="F813" s="265"/>
      <c r="G813" s="263"/>
      <c r="H813" s="71"/>
      <c r="I813" s="265"/>
      <c r="J813" s="71"/>
      <c r="K813" s="266"/>
      <c r="L813" s="266"/>
      <c r="M813" s="266"/>
      <c r="N813" s="266"/>
      <c r="O813" s="266"/>
      <c r="P813" s="266"/>
      <c r="Q813" s="267"/>
      <c r="R813" s="71"/>
      <c r="S813" s="71"/>
      <c r="T813" s="222"/>
      <c r="U813" s="71"/>
      <c r="V813" s="71"/>
      <c r="W813" s="71"/>
      <c r="X813" s="71"/>
      <c r="Y813" s="71"/>
      <c r="Z813" s="71"/>
      <c r="AA813" s="71"/>
    </row>
    <row r="814" spans="1:27" ht="15.75" customHeight="1">
      <c r="A814" s="71"/>
      <c r="B814" s="263"/>
      <c r="C814" s="264"/>
      <c r="D814" s="71"/>
      <c r="E814" s="71"/>
      <c r="F814" s="265"/>
      <c r="G814" s="263"/>
      <c r="H814" s="71"/>
      <c r="I814" s="265"/>
      <c r="J814" s="71"/>
      <c r="K814" s="266"/>
      <c r="L814" s="266"/>
      <c r="M814" s="266"/>
      <c r="N814" s="266"/>
      <c r="O814" s="266"/>
      <c r="P814" s="266"/>
      <c r="Q814" s="267"/>
      <c r="R814" s="71"/>
      <c r="S814" s="71"/>
      <c r="T814" s="222"/>
      <c r="U814" s="71"/>
      <c r="V814" s="71"/>
      <c r="W814" s="71"/>
      <c r="X814" s="71"/>
      <c r="Y814" s="71"/>
      <c r="Z814" s="71"/>
      <c r="AA814" s="71"/>
    </row>
    <row r="815" spans="1:27" ht="15.75" customHeight="1">
      <c r="A815" s="71"/>
      <c r="B815" s="263"/>
      <c r="C815" s="264"/>
      <c r="D815" s="71"/>
      <c r="E815" s="71"/>
      <c r="F815" s="265"/>
      <c r="G815" s="263"/>
      <c r="H815" s="71"/>
      <c r="I815" s="265"/>
      <c r="J815" s="71"/>
      <c r="K815" s="266"/>
      <c r="L815" s="266"/>
      <c r="M815" s="266"/>
      <c r="N815" s="266"/>
      <c r="O815" s="266"/>
      <c r="P815" s="266"/>
      <c r="Q815" s="267"/>
      <c r="R815" s="71"/>
      <c r="S815" s="71"/>
      <c r="T815" s="222"/>
      <c r="U815" s="71"/>
      <c r="V815" s="71"/>
      <c r="W815" s="71"/>
      <c r="X815" s="71"/>
      <c r="Y815" s="71"/>
      <c r="Z815" s="71"/>
      <c r="AA815" s="71"/>
    </row>
    <row r="816" spans="1:27" ht="15.75" customHeight="1">
      <c r="A816" s="71"/>
      <c r="B816" s="263"/>
      <c r="C816" s="264"/>
      <c r="D816" s="71"/>
      <c r="E816" s="71"/>
      <c r="F816" s="265"/>
      <c r="G816" s="263"/>
      <c r="H816" s="71"/>
      <c r="I816" s="265"/>
      <c r="J816" s="71"/>
      <c r="K816" s="266"/>
      <c r="L816" s="266"/>
      <c r="M816" s="266"/>
      <c r="N816" s="266"/>
      <c r="O816" s="266"/>
      <c r="P816" s="266"/>
      <c r="Q816" s="267"/>
      <c r="R816" s="71"/>
      <c r="S816" s="71"/>
      <c r="T816" s="222"/>
      <c r="U816" s="71"/>
      <c r="V816" s="71"/>
      <c r="W816" s="71"/>
      <c r="X816" s="71"/>
      <c r="Y816" s="71"/>
      <c r="Z816" s="71"/>
      <c r="AA816" s="71"/>
    </row>
    <row r="817" spans="1:27" ht="15.75" customHeight="1">
      <c r="A817" s="71"/>
      <c r="B817" s="263"/>
      <c r="C817" s="264"/>
      <c r="D817" s="71"/>
      <c r="E817" s="71"/>
      <c r="F817" s="265"/>
      <c r="G817" s="263"/>
      <c r="H817" s="71"/>
      <c r="I817" s="265"/>
      <c r="J817" s="71"/>
      <c r="K817" s="266"/>
      <c r="L817" s="266"/>
      <c r="M817" s="266"/>
      <c r="N817" s="266"/>
      <c r="O817" s="266"/>
      <c r="P817" s="266"/>
      <c r="Q817" s="267"/>
      <c r="R817" s="71"/>
      <c r="S817" s="71"/>
      <c r="T817" s="222"/>
      <c r="U817" s="71"/>
      <c r="V817" s="71"/>
      <c r="W817" s="71"/>
      <c r="X817" s="71"/>
      <c r="Y817" s="71"/>
      <c r="Z817" s="71"/>
      <c r="AA817" s="71"/>
    </row>
    <row r="818" spans="1:27" ht="15.75" customHeight="1">
      <c r="A818" s="71"/>
      <c r="B818" s="263"/>
      <c r="C818" s="264"/>
      <c r="D818" s="71"/>
      <c r="E818" s="71"/>
      <c r="F818" s="265"/>
      <c r="G818" s="263"/>
      <c r="H818" s="71"/>
      <c r="I818" s="265"/>
      <c r="J818" s="71"/>
      <c r="K818" s="266"/>
      <c r="L818" s="266"/>
      <c r="M818" s="266"/>
      <c r="N818" s="266"/>
      <c r="O818" s="266"/>
      <c r="P818" s="266"/>
      <c r="Q818" s="267"/>
      <c r="R818" s="71"/>
      <c r="S818" s="71"/>
      <c r="T818" s="222"/>
      <c r="U818" s="71"/>
      <c r="V818" s="71"/>
      <c r="W818" s="71"/>
      <c r="X818" s="71"/>
      <c r="Y818" s="71"/>
      <c r="Z818" s="71"/>
      <c r="AA818" s="71"/>
    </row>
    <row r="819" spans="1:27" ht="15.75" customHeight="1">
      <c r="A819" s="71"/>
      <c r="B819" s="263"/>
      <c r="C819" s="264"/>
      <c r="D819" s="71"/>
      <c r="E819" s="71"/>
      <c r="F819" s="265"/>
      <c r="G819" s="263"/>
      <c r="H819" s="71"/>
      <c r="I819" s="265"/>
      <c r="J819" s="71"/>
      <c r="K819" s="266"/>
      <c r="L819" s="266"/>
      <c r="M819" s="266"/>
      <c r="N819" s="266"/>
      <c r="O819" s="266"/>
      <c r="P819" s="266"/>
      <c r="Q819" s="267"/>
      <c r="R819" s="71"/>
      <c r="S819" s="71"/>
      <c r="T819" s="222"/>
      <c r="U819" s="71"/>
      <c r="V819" s="71"/>
      <c r="W819" s="71"/>
      <c r="X819" s="71"/>
      <c r="Y819" s="71"/>
      <c r="Z819" s="71"/>
      <c r="AA819" s="71"/>
    </row>
    <row r="820" spans="1:27" ht="15.75" customHeight="1">
      <c r="A820" s="71"/>
      <c r="B820" s="263"/>
      <c r="C820" s="264"/>
      <c r="D820" s="71"/>
      <c r="E820" s="71"/>
      <c r="F820" s="265"/>
      <c r="G820" s="263"/>
      <c r="H820" s="71"/>
      <c r="I820" s="265"/>
      <c r="J820" s="71"/>
      <c r="K820" s="266"/>
      <c r="L820" s="266"/>
      <c r="M820" s="266"/>
      <c r="N820" s="266"/>
      <c r="O820" s="266"/>
      <c r="P820" s="266"/>
      <c r="Q820" s="267"/>
      <c r="R820" s="71"/>
      <c r="S820" s="71"/>
      <c r="T820" s="222"/>
      <c r="U820" s="71"/>
      <c r="V820" s="71"/>
      <c r="W820" s="71"/>
      <c r="X820" s="71"/>
      <c r="Y820" s="71"/>
      <c r="Z820" s="71"/>
      <c r="AA820" s="71"/>
    </row>
    <row r="821" spans="1:27" ht="15.75" customHeight="1">
      <c r="A821" s="71"/>
      <c r="B821" s="263"/>
      <c r="C821" s="264"/>
      <c r="D821" s="71"/>
      <c r="E821" s="71"/>
      <c r="F821" s="265"/>
      <c r="G821" s="263"/>
      <c r="H821" s="71"/>
      <c r="I821" s="265"/>
      <c r="J821" s="71"/>
      <c r="K821" s="266"/>
      <c r="L821" s="266"/>
      <c r="M821" s="266"/>
      <c r="N821" s="266"/>
      <c r="O821" s="266"/>
      <c r="P821" s="266"/>
      <c r="Q821" s="267"/>
      <c r="R821" s="71"/>
      <c r="S821" s="71"/>
      <c r="T821" s="222"/>
      <c r="U821" s="71"/>
      <c r="V821" s="71"/>
      <c r="W821" s="71"/>
      <c r="X821" s="71"/>
      <c r="Y821" s="71"/>
      <c r="Z821" s="71"/>
      <c r="AA821" s="71"/>
    </row>
    <row r="822" spans="1:27" ht="15.75" customHeight="1">
      <c r="A822" s="71"/>
      <c r="B822" s="263"/>
      <c r="C822" s="264"/>
      <c r="D822" s="71"/>
      <c r="E822" s="71"/>
      <c r="F822" s="265"/>
      <c r="G822" s="263"/>
      <c r="H822" s="71"/>
      <c r="I822" s="265"/>
      <c r="J822" s="71"/>
      <c r="K822" s="266"/>
      <c r="L822" s="266"/>
      <c r="M822" s="266"/>
      <c r="N822" s="266"/>
      <c r="O822" s="266"/>
      <c r="P822" s="266"/>
      <c r="Q822" s="267"/>
      <c r="R822" s="71"/>
      <c r="S822" s="71"/>
      <c r="T822" s="222"/>
      <c r="U822" s="71"/>
      <c r="V822" s="71"/>
      <c r="W822" s="71"/>
      <c r="X822" s="71"/>
      <c r="Y822" s="71"/>
      <c r="Z822" s="71"/>
      <c r="AA822" s="71"/>
    </row>
    <row r="823" spans="1:27" ht="15.75" customHeight="1">
      <c r="A823" s="71"/>
      <c r="B823" s="263"/>
      <c r="C823" s="264"/>
      <c r="D823" s="71"/>
      <c r="E823" s="71"/>
      <c r="F823" s="265"/>
      <c r="G823" s="263"/>
      <c r="H823" s="71"/>
      <c r="I823" s="265"/>
      <c r="J823" s="71"/>
      <c r="K823" s="266"/>
      <c r="L823" s="266"/>
      <c r="M823" s="266"/>
      <c r="N823" s="266"/>
      <c r="O823" s="266"/>
      <c r="P823" s="266"/>
      <c r="Q823" s="267"/>
      <c r="R823" s="71"/>
      <c r="S823" s="71"/>
      <c r="T823" s="222"/>
      <c r="U823" s="71"/>
      <c r="V823" s="71"/>
      <c r="W823" s="71"/>
      <c r="X823" s="71"/>
      <c r="Y823" s="71"/>
      <c r="Z823" s="71"/>
      <c r="AA823" s="71"/>
    </row>
    <row r="824" spans="1:27" ht="15.75" customHeight="1">
      <c r="A824" s="71"/>
      <c r="B824" s="263"/>
      <c r="C824" s="264"/>
      <c r="D824" s="71"/>
      <c r="E824" s="71"/>
      <c r="F824" s="265"/>
      <c r="G824" s="263"/>
      <c r="H824" s="71"/>
      <c r="I824" s="265"/>
      <c r="J824" s="71"/>
      <c r="K824" s="266"/>
      <c r="L824" s="266"/>
      <c r="M824" s="266"/>
      <c r="N824" s="266"/>
      <c r="O824" s="266"/>
      <c r="P824" s="266"/>
      <c r="Q824" s="267"/>
      <c r="R824" s="71"/>
      <c r="S824" s="71"/>
      <c r="T824" s="222"/>
      <c r="U824" s="71"/>
      <c r="V824" s="71"/>
      <c r="W824" s="71"/>
      <c r="X824" s="71"/>
      <c r="Y824" s="71"/>
      <c r="Z824" s="71"/>
      <c r="AA824" s="71"/>
    </row>
    <row r="825" spans="1:27" ht="15.75" customHeight="1">
      <c r="A825" s="71"/>
      <c r="B825" s="263"/>
      <c r="C825" s="264"/>
      <c r="D825" s="71"/>
      <c r="E825" s="71"/>
      <c r="F825" s="265"/>
      <c r="G825" s="263"/>
      <c r="H825" s="71"/>
      <c r="I825" s="265"/>
      <c r="J825" s="71"/>
      <c r="K825" s="266"/>
      <c r="L825" s="266"/>
      <c r="M825" s="266"/>
      <c r="N825" s="266"/>
      <c r="O825" s="266"/>
      <c r="P825" s="266"/>
      <c r="Q825" s="267"/>
      <c r="R825" s="71"/>
      <c r="S825" s="71"/>
      <c r="T825" s="222"/>
      <c r="U825" s="71"/>
      <c r="V825" s="71"/>
      <c r="W825" s="71"/>
      <c r="X825" s="71"/>
      <c r="Y825" s="71"/>
      <c r="Z825" s="71"/>
      <c r="AA825" s="71"/>
    </row>
    <row r="826" spans="1:27" ht="15.75" customHeight="1">
      <c r="A826" s="71"/>
      <c r="B826" s="263"/>
      <c r="C826" s="264"/>
      <c r="D826" s="71"/>
      <c r="E826" s="71"/>
      <c r="F826" s="265"/>
      <c r="G826" s="263"/>
      <c r="H826" s="71"/>
      <c r="I826" s="265"/>
      <c r="J826" s="71"/>
      <c r="K826" s="266"/>
      <c r="L826" s="266"/>
      <c r="M826" s="266"/>
      <c r="N826" s="266"/>
      <c r="O826" s="266"/>
      <c r="P826" s="266"/>
      <c r="Q826" s="267"/>
      <c r="R826" s="71"/>
      <c r="S826" s="71"/>
      <c r="T826" s="222"/>
      <c r="U826" s="71"/>
      <c r="V826" s="71"/>
      <c r="W826" s="71"/>
      <c r="X826" s="71"/>
      <c r="Y826" s="71"/>
      <c r="Z826" s="71"/>
      <c r="AA826" s="71"/>
    </row>
    <row r="827" spans="1:27" ht="15.75" customHeight="1">
      <c r="A827" s="71"/>
      <c r="B827" s="263"/>
      <c r="C827" s="264"/>
      <c r="D827" s="71"/>
      <c r="E827" s="71"/>
      <c r="F827" s="265"/>
      <c r="G827" s="263"/>
      <c r="H827" s="71"/>
      <c r="I827" s="265"/>
      <c r="J827" s="71"/>
      <c r="K827" s="266"/>
      <c r="L827" s="266"/>
      <c r="M827" s="266"/>
      <c r="N827" s="266"/>
      <c r="O827" s="266"/>
      <c r="P827" s="266"/>
      <c r="Q827" s="267"/>
      <c r="R827" s="71"/>
      <c r="S827" s="71"/>
      <c r="T827" s="222"/>
      <c r="U827" s="71"/>
      <c r="V827" s="71"/>
      <c r="W827" s="71"/>
      <c r="X827" s="71"/>
      <c r="Y827" s="71"/>
      <c r="Z827" s="71"/>
      <c r="AA827" s="71"/>
    </row>
    <row r="828" spans="1:27" ht="15.75" customHeight="1">
      <c r="A828" s="71"/>
      <c r="B828" s="263"/>
      <c r="C828" s="264"/>
      <c r="D828" s="71"/>
      <c r="E828" s="71"/>
      <c r="F828" s="265"/>
      <c r="G828" s="263"/>
      <c r="H828" s="71"/>
      <c r="I828" s="265"/>
      <c r="J828" s="71"/>
      <c r="K828" s="266"/>
      <c r="L828" s="266"/>
      <c r="M828" s="266"/>
      <c r="N828" s="266"/>
      <c r="O828" s="266"/>
      <c r="P828" s="266"/>
      <c r="Q828" s="267"/>
      <c r="R828" s="71"/>
      <c r="S828" s="71"/>
      <c r="T828" s="222"/>
      <c r="U828" s="71"/>
      <c r="V828" s="71"/>
      <c r="W828" s="71"/>
      <c r="X828" s="71"/>
      <c r="Y828" s="71"/>
      <c r="Z828" s="71"/>
      <c r="AA828" s="71"/>
    </row>
    <row r="829" spans="1:27" ht="15.75" customHeight="1">
      <c r="A829" s="71"/>
      <c r="B829" s="263"/>
      <c r="C829" s="264"/>
      <c r="D829" s="71"/>
      <c r="E829" s="71"/>
      <c r="F829" s="265"/>
      <c r="G829" s="263"/>
      <c r="H829" s="71"/>
      <c r="I829" s="265"/>
      <c r="J829" s="71"/>
      <c r="K829" s="266"/>
      <c r="L829" s="266"/>
      <c r="M829" s="266"/>
      <c r="N829" s="266"/>
      <c r="O829" s="266"/>
      <c r="P829" s="266"/>
      <c r="Q829" s="267"/>
      <c r="R829" s="71"/>
      <c r="S829" s="71"/>
      <c r="T829" s="222"/>
      <c r="U829" s="71"/>
      <c r="V829" s="71"/>
      <c r="W829" s="71"/>
      <c r="X829" s="71"/>
      <c r="Y829" s="71"/>
      <c r="Z829" s="71"/>
      <c r="AA829" s="71"/>
    </row>
    <row r="830" spans="1:27" ht="15.75" customHeight="1">
      <c r="A830" s="71"/>
      <c r="B830" s="263"/>
      <c r="C830" s="264"/>
      <c r="D830" s="71"/>
      <c r="E830" s="71"/>
      <c r="F830" s="265"/>
      <c r="G830" s="263"/>
      <c r="H830" s="71"/>
      <c r="I830" s="265"/>
      <c r="J830" s="71"/>
      <c r="K830" s="266"/>
      <c r="L830" s="266"/>
      <c r="M830" s="266"/>
      <c r="N830" s="266"/>
      <c r="O830" s="266"/>
      <c r="P830" s="266"/>
      <c r="Q830" s="267"/>
      <c r="R830" s="71"/>
      <c r="S830" s="71"/>
      <c r="T830" s="222"/>
      <c r="U830" s="71"/>
      <c r="V830" s="71"/>
      <c r="W830" s="71"/>
      <c r="X830" s="71"/>
      <c r="Y830" s="71"/>
      <c r="Z830" s="71"/>
      <c r="AA830" s="71"/>
    </row>
    <row r="831" spans="1:27" ht="15.75" customHeight="1">
      <c r="A831" s="71"/>
      <c r="B831" s="263"/>
      <c r="C831" s="264"/>
      <c r="D831" s="71"/>
      <c r="E831" s="71"/>
      <c r="F831" s="265"/>
      <c r="G831" s="263"/>
      <c r="H831" s="71"/>
      <c r="I831" s="265"/>
      <c r="J831" s="71"/>
      <c r="K831" s="266"/>
      <c r="L831" s="266"/>
      <c r="M831" s="266"/>
      <c r="N831" s="266"/>
      <c r="O831" s="266"/>
      <c r="P831" s="266"/>
      <c r="Q831" s="267"/>
      <c r="R831" s="71"/>
      <c r="S831" s="71"/>
      <c r="T831" s="222"/>
      <c r="U831" s="71"/>
      <c r="V831" s="71"/>
      <c r="W831" s="71"/>
      <c r="X831" s="71"/>
      <c r="Y831" s="71"/>
      <c r="Z831" s="71"/>
      <c r="AA831" s="71"/>
    </row>
    <row r="832" spans="1:27" ht="15.75" customHeight="1">
      <c r="A832" s="71"/>
      <c r="B832" s="263"/>
      <c r="C832" s="264"/>
      <c r="D832" s="71"/>
      <c r="E832" s="71"/>
      <c r="F832" s="265"/>
      <c r="G832" s="263"/>
      <c r="H832" s="71"/>
      <c r="I832" s="265"/>
      <c r="J832" s="71"/>
      <c r="K832" s="266"/>
      <c r="L832" s="266"/>
      <c r="M832" s="266"/>
      <c r="N832" s="266"/>
      <c r="O832" s="266"/>
      <c r="P832" s="266"/>
      <c r="Q832" s="267"/>
      <c r="R832" s="71"/>
      <c r="S832" s="71"/>
      <c r="T832" s="222"/>
      <c r="U832" s="71"/>
      <c r="V832" s="71"/>
      <c r="W832" s="71"/>
      <c r="X832" s="71"/>
      <c r="Y832" s="71"/>
      <c r="Z832" s="71"/>
      <c r="AA832" s="71"/>
    </row>
    <row r="833" spans="1:27" ht="15.75" customHeight="1">
      <c r="A833" s="71"/>
      <c r="B833" s="263"/>
      <c r="C833" s="264"/>
      <c r="D833" s="71"/>
      <c r="E833" s="71"/>
      <c r="F833" s="265"/>
      <c r="G833" s="263"/>
      <c r="H833" s="71"/>
      <c r="I833" s="265"/>
      <c r="J833" s="71"/>
      <c r="K833" s="266"/>
      <c r="L833" s="266"/>
      <c r="M833" s="266"/>
      <c r="N833" s="266"/>
      <c r="O833" s="266"/>
      <c r="P833" s="266"/>
      <c r="Q833" s="267"/>
      <c r="R833" s="71"/>
      <c r="S833" s="71"/>
      <c r="T833" s="222"/>
      <c r="U833" s="71"/>
      <c r="V833" s="71"/>
      <c r="W833" s="71"/>
      <c r="X833" s="71"/>
      <c r="Y833" s="71"/>
      <c r="Z833" s="71"/>
      <c r="AA833" s="71"/>
    </row>
    <row r="834" spans="1:27" ht="15.75" customHeight="1">
      <c r="A834" s="71"/>
      <c r="B834" s="263"/>
      <c r="C834" s="264"/>
      <c r="D834" s="71"/>
      <c r="E834" s="71"/>
      <c r="F834" s="265"/>
      <c r="G834" s="263"/>
      <c r="H834" s="71"/>
      <c r="I834" s="265"/>
      <c r="J834" s="71"/>
      <c r="K834" s="266"/>
      <c r="L834" s="266"/>
      <c r="M834" s="266"/>
      <c r="N834" s="266"/>
      <c r="O834" s="266"/>
      <c r="P834" s="266"/>
      <c r="Q834" s="267"/>
      <c r="R834" s="71"/>
      <c r="S834" s="71"/>
      <c r="T834" s="222"/>
      <c r="U834" s="71"/>
      <c r="V834" s="71"/>
      <c r="W834" s="71"/>
      <c r="X834" s="71"/>
      <c r="Y834" s="71"/>
      <c r="Z834" s="71"/>
      <c r="AA834" s="71"/>
    </row>
    <row r="835" spans="1:27" ht="15.75" customHeight="1">
      <c r="A835" s="71"/>
      <c r="B835" s="263"/>
      <c r="C835" s="264"/>
      <c r="D835" s="71"/>
      <c r="E835" s="71"/>
      <c r="F835" s="265"/>
      <c r="G835" s="263"/>
      <c r="H835" s="71"/>
      <c r="I835" s="265"/>
      <c r="J835" s="71"/>
      <c r="K835" s="266"/>
      <c r="L835" s="266"/>
      <c r="M835" s="266"/>
      <c r="N835" s="266"/>
      <c r="O835" s="266"/>
      <c r="P835" s="266"/>
      <c r="Q835" s="267"/>
      <c r="R835" s="71"/>
      <c r="S835" s="71"/>
      <c r="T835" s="222"/>
      <c r="U835" s="71"/>
      <c r="V835" s="71"/>
      <c r="W835" s="71"/>
      <c r="X835" s="71"/>
      <c r="Y835" s="71"/>
      <c r="Z835" s="71"/>
      <c r="AA835" s="71"/>
    </row>
    <row r="836" spans="1:27" ht="15.75" customHeight="1">
      <c r="A836" s="71"/>
      <c r="B836" s="263"/>
      <c r="C836" s="264"/>
      <c r="D836" s="71"/>
      <c r="E836" s="71"/>
      <c r="F836" s="265"/>
      <c r="G836" s="263"/>
      <c r="H836" s="71"/>
      <c r="I836" s="265"/>
      <c r="J836" s="71"/>
      <c r="K836" s="266"/>
      <c r="L836" s="266"/>
      <c r="M836" s="266"/>
      <c r="N836" s="266"/>
      <c r="O836" s="266"/>
      <c r="P836" s="266"/>
      <c r="Q836" s="267"/>
      <c r="R836" s="71"/>
      <c r="S836" s="71"/>
      <c r="T836" s="222"/>
      <c r="U836" s="71"/>
      <c r="V836" s="71"/>
      <c r="W836" s="71"/>
      <c r="X836" s="71"/>
      <c r="Y836" s="71"/>
      <c r="Z836" s="71"/>
      <c r="AA836" s="71"/>
    </row>
    <row r="837" spans="1:27" ht="15.75" customHeight="1">
      <c r="A837" s="71"/>
      <c r="B837" s="263"/>
      <c r="C837" s="264"/>
      <c r="D837" s="71"/>
      <c r="E837" s="71"/>
      <c r="F837" s="265"/>
      <c r="G837" s="263"/>
      <c r="H837" s="71"/>
      <c r="I837" s="265"/>
      <c r="J837" s="71"/>
      <c r="K837" s="266"/>
      <c r="L837" s="266"/>
      <c r="M837" s="266"/>
      <c r="N837" s="266"/>
      <c r="O837" s="266"/>
      <c r="P837" s="266"/>
      <c r="Q837" s="267"/>
      <c r="R837" s="71"/>
      <c r="S837" s="71"/>
      <c r="T837" s="222"/>
      <c r="U837" s="71"/>
      <c r="V837" s="71"/>
      <c r="W837" s="71"/>
      <c r="X837" s="71"/>
      <c r="Y837" s="71"/>
      <c r="Z837" s="71"/>
      <c r="AA837" s="71"/>
    </row>
    <row r="838" spans="1:27" ht="15.75" customHeight="1">
      <c r="A838" s="71"/>
      <c r="B838" s="263"/>
      <c r="C838" s="264"/>
      <c r="D838" s="71"/>
      <c r="E838" s="71"/>
      <c r="F838" s="265"/>
      <c r="G838" s="263"/>
      <c r="H838" s="71"/>
      <c r="I838" s="265"/>
      <c r="J838" s="71"/>
      <c r="K838" s="266"/>
      <c r="L838" s="266"/>
      <c r="M838" s="266"/>
      <c r="N838" s="266"/>
      <c r="O838" s="266"/>
      <c r="P838" s="266"/>
      <c r="Q838" s="267"/>
      <c r="R838" s="71"/>
      <c r="S838" s="71"/>
      <c r="T838" s="222"/>
      <c r="U838" s="71"/>
      <c r="V838" s="71"/>
      <c r="W838" s="71"/>
      <c r="X838" s="71"/>
      <c r="Y838" s="71"/>
      <c r="Z838" s="71"/>
      <c r="AA838" s="71"/>
    </row>
    <row r="839" spans="1:27" ht="15.75" customHeight="1">
      <c r="A839" s="71"/>
      <c r="B839" s="263"/>
      <c r="C839" s="264"/>
      <c r="D839" s="71"/>
      <c r="E839" s="71"/>
      <c r="F839" s="265"/>
      <c r="G839" s="263"/>
      <c r="H839" s="71"/>
      <c r="I839" s="265"/>
      <c r="J839" s="71"/>
      <c r="K839" s="266"/>
      <c r="L839" s="266"/>
      <c r="M839" s="266"/>
      <c r="N839" s="266"/>
      <c r="O839" s="266"/>
      <c r="P839" s="266"/>
      <c r="Q839" s="267"/>
      <c r="R839" s="71"/>
      <c r="S839" s="71"/>
      <c r="T839" s="222"/>
      <c r="U839" s="71"/>
      <c r="V839" s="71"/>
      <c r="W839" s="71"/>
      <c r="X839" s="71"/>
      <c r="Y839" s="71"/>
      <c r="Z839" s="71"/>
      <c r="AA839" s="71"/>
    </row>
    <row r="840" spans="1:27" ht="15.75" customHeight="1">
      <c r="A840" s="71"/>
      <c r="B840" s="263"/>
      <c r="C840" s="264"/>
      <c r="D840" s="71"/>
      <c r="E840" s="71"/>
      <c r="F840" s="265"/>
      <c r="G840" s="263"/>
      <c r="H840" s="71"/>
      <c r="I840" s="265"/>
      <c r="J840" s="71"/>
      <c r="K840" s="266"/>
      <c r="L840" s="266"/>
      <c r="M840" s="266"/>
      <c r="N840" s="266"/>
      <c r="O840" s="266"/>
      <c r="P840" s="266"/>
      <c r="Q840" s="267"/>
      <c r="R840" s="71"/>
      <c r="S840" s="71"/>
      <c r="T840" s="222"/>
      <c r="U840" s="71"/>
      <c r="V840" s="71"/>
      <c r="W840" s="71"/>
      <c r="X840" s="71"/>
      <c r="Y840" s="71"/>
      <c r="Z840" s="71"/>
      <c r="AA840" s="71"/>
    </row>
    <row r="841" spans="1:27" ht="15.75" customHeight="1">
      <c r="A841" s="71"/>
      <c r="B841" s="263"/>
      <c r="C841" s="264"/>
      <c r="D841" s="71"/>
      <c r="E841" s="71"/>
      <c r="F841" s="265"/>
      <c r="G841" s="263"/>
      <c r="H841" s="71"/>
      <c r="I841" s="265"/>
      <c r="J841" s="71"/>
      <c r="K841" s="266"/>
      <c r="L841" s="266"/>
      <c r="M841" s="266"/>
      <c r="N841" s="266"/>
      <c r="O841" s="266"/>
      <c r="P841" s="266"/>
      <c r="Q841" s="267"/>
      <c r="R841" s="71"/>
      <c r="S841" s="71"/>
      <c r="T841" s="222"/>
      <c r="U841" s="71"/>
      <c r="V841" s="71"/>
      <c r="W841" s="71"/>
      <c r="X841" s="71"/>
      <c r="Y841" s="71"/>
      <c r="Z841" s="71"/>
      <c r="AA841" s="71"/>
    </row>
    <row r="842" spans="1:27" ht="15.75" customHeight="1">
      <c r="A842" s="71"/>
      <c r="B842" s="263"/>
      <c r="C842" s="264"/>
      <c r="D842" s="71"/>
      <c r="E842" s="71"/>
      <c r="F842" s="265"/>
      <c r="G842" s="263"/>
      <c r="H842" s="71"/>
      <c r="I842" s="265"/>
      <c r="J842" s="71"/>
      <c r="K842" s="266"/>
      <c r="L842" s="266"/>
      <c r="M842" s="266"/>
      <c r="N842" s="266"/>
      <c r="O842" s="266"/>
      <c r="P842" s="266"/>
      <c r="Q842" s="267"/>
      <c r="R842" s="71"/>
      <c r="S842" s="71"/>
      <c r="T842" s="222"/>
      <c r="U842" s="71"/>
      <c r="V842" s="71"/>
      <c r="W842" s="71"/>
      <c r="X842" s="71"/>
      <c r="Y842" s="71"/>
      <c r="Z842" s="71"/>
      <c r="AA842" s="71"/>
    </row>
    <row r="843" spans="1:27" ht="15.75" customHeight="1">
      <c r="A843" s="71"/>
      <c r="B843" s="263"/>
      <c r="C843" s="264"/>
      <c r="D843" s="71"/>
      <c r="E843" s="71"/>
      <c r="F843" s="265"/>
      <c r="G843" s="263"/>
      <c r="H843" s="71"/>
      <c r="I843" s="265"/>
      <c r="J843" s="71"/>
      <c r="K843" s="266"/>
      <c r="L843" s="266"/>
      <c r="M843" s="266"/>
      <c r="N843" s="266"/>
      <c r="O843" s="266"/>
      <c r="P843" s="266"/>
      <c r="Q843" s="267"/>
      <c r="R843" s="71"/>
      <c r="S843" s="71"/>
      <c r="T843" s="222"/>
      <c r="U843" s="71"/>
      <c r="V843" s="71"/>
      <c r="W843" s="71"/>
      <c r="X843" s="71"/>
      <c r="Y843" s="71"/>
      <c r="Z843" s="71"/>
      <c r="AA843" s="71"/>
    </row>
    <row r="844" spans="1:27" ht="15.75" customHeight="1">
      <c r="A844" s="71"/>
      <c r="B844" s="263"/>
      <c r="C844" s="264"/>
      <c r="D844" s="71"/>
      <c r="E844" s="71"/>
      <c r="F844" s="265"/>
      <c r="G844" s="263"/>
      <c r="H844" s="71"/>
      <c r="I844" s="265"/>
      <c r="J844" s="71"/>
      <c r="K844" s="266"/>
      <c r="L844" s="266"/>
      <c r="M844" s="266"/>
      <c r="N844" s="266"/>
      <c r="O844" s="266"/>
      <c r="P844" s="266"/>
      <c r="Q844" s="267"/>
      <c r="R844" s="71"/>
      <c r="S844" s="71"/>
      <c r="T844" s="222"/>
      <c r="U844" s="71"/>
      <c r="V844" s="71"/>
      <c r="W844" s="71"/>
      <c r="X844" s="71"/>
      <c r="Y844" s="71"/>
      <c r="Z844" s="71"/>
      <c r="AA844" s="71"/>
    </row>
    <row r="845" spans="1:27" ht="15.75" customHeight="1">
      <c r="A845" s="71"/>
      <c r="B845" s="263"/>
      <c r="C845" s="264"/>
      <c r="D845" s="71"/>
      <c r="E845" s="71"/>
      <c r="F845" s="265"/>
      <c r="G845" s="263"/>
      <c r="H845" s="71"/>
      <c r="I845" s="265"/>
      <c r="J845" s="71"/>
      <c r="K845" s="266"/>
      <c r="L845" s="266"/>
      <c r="M845" s="266"/>
      <c r="N845" s="266"/>
      <c r="O845" s="266"/>
      <c r="P845" s="266"/>
      <c r="Q845" s="267"/>
      <c r="R845" s="71"/>
      <c r="S845" s="71"/>
      <c r="T845" s="222"/>
      <c r="U845" s="71"/>
      <c r="V845" s="71"/>
      <c r="W845" s="71"/>
      <c r="X845" s="71"/>
      <c r="Y845" s="71"/>
      <c r="Z845" s="71"/>
      <c r="AA845" s="71"/>
    </row>
    <row r="846" spans="1:27" ht="15.75" customHeight="1">
      <c r="A846" s="71"/>
      <c r="B846" s="263"/>
      <c r="C846" s="264"/>
      <c r="D846" s="71"/>
      <c r="E846" s="71"/>
      <c r="F846" s="265"/>
      <c r="G846" s="263"/>
      <c r="H846" s="71"/>
      <c r="I846" s="265"/>
      <c r="J846" s="71"/>
      <c r="K846" s="266"/>
      <c r="L846" s="266"/>
      <c r="M846" s="266"/>
      <c r="N846" s="266"/>
      <c r="O846" s="266"/>
      <c r="P846" s="266"/>
      <c r="Q846" s="267"/>
      <c r="R846" s="71"/>
      <c r="S846" s="71"/>
      <c r="T846" s="222"/>
      <c r="U846" s="71"/>
      <c r="V846" s="71"/>
      <c r="W846" s="71"/>
      <c r="X846" s="71"/>
      <c r="Y846" s="71"/>
      <c r="Z846" s="71"/>
      <c r="AA846" s="71"/>
    </row>
    <row r="847" spans="1:27" ht="15.75" customHeight="1">
      <c r="A847" s="71"/>
      <c r="B847" s="263"/>
      <c r="C847" s="264"/>
      <c r="D847" s="71"/>
      <c r="E847" s="71"/>
      <c r="F847" s="265"/>
      <c r="G847" s="263"/>
      <c r="H847" s="71"/>
      <c r="I847" s="265"/>
      <c r="J847" s="71"/>
      <c r="K847" s="266"/>
      <c r="L847" s="266"/>
      <c r="M847" s="266"/>
      <c r="N847" s="266"/>
      <c r="O847" s="266"/>
      <c r="P847" s="266"/>
      <c r="Q847" s="267"/>
      <c r="R847" s="71"/>
      <c r="S847" s="71"/>
      <c r="T847" s="222"/>
      <c r="U847" s="71"/>
      <c r="V847" s="71"/>
      <c r="W847" s="71"/>
      <c r="X847" s="71"/>
      <c r="Y847" s="71"/>
      <c r="Z847" s="71"/>
      <c r="AA847" s="71"/>
    </row>
    <row r="848" spans="1:27" ht="15.75" customHeight="1">
      <c r="A848" s="71"/>
      <c r="B848" s="263"/>
      <c r="C848" s="264"/>
      <c r="D848" s="71"/>
      <c r="E848" s="71"/>
      <c r="F848" s="265"/>
      <c r="G848" s="263"/>
      <c r="H848" s="71"/>
      <c r="I848" s="265"/>
      <c r="J848" s="71"/>
      <c r="K848" s="266"/>
      <c r="L848" s="266"/>
      <c r="M848" s="266"/>
      <c r="N848" s="266"/>
      <c r="O848" s="266"/>
      <c r="P848" s="266"/>
      <c r="Q848" s="267"/>
      <c r="R848" s="71"/>
      <c r="S848" s="71"/>
      <c r="T848" s="222"/>
      <c r="U848" s="71"/>
      <c r="V848" s="71"/>
      <c r="W848" s="71"/>
      <c r="X848" s="71"/>
      <c r="Y848" s="71"/>
      <c r="Z848" s="71"/>
      <c r="AA848" s="71"/>
    </row>
    <row r="849" spans="1:27" ht="15.75" customHeight="1">
      <c r="A849" s="71"/>
      <c r="B849" s="263"/>
      <c r="C849" s="264"/>
      <c r="D849" s="71"/>
      <c r="E849" s="71"/>
      <c r="F849" s="265"/>
      <c r="G849" s="263"/>
      <c r="H849" s="71"/>
      <c r="I849" s="265"/>
      <c r="J849" s="71"/>
      <c r="K849" s="266"/>
      <c r="L849" s="266"/>
      <c r="M849" s="266"/>
      <c r="N849" s="266"/>
      <c r="O849" s="266"/>
      <c r="P849" s="266"/>
      <c r="Q849" s="267"/>
      <c r="R849" s="71"/>
      <c r="S849" s="71"/>
      <c r="T849" s="222"/>
      <c r="U849" s="71"/>
      <c r="V849" s="71"/>
      <c r="W849" s="71"/>
      <c r="X849" s="71"/>
      <c r="Y849" s="71"/>
      <c r="Z849" s="71"/>
      <c r="AA849" s="71"/>
    </row>
    <row r="850" spans="1:27" ht="15.75" customHeight="1">
      <c r="A850" s="71"/>
      <c r="B850" s="263"/>
      <c r="C850" s="264"/>
      <c r="D850" s="71"/>
      <c r="E850" s="71"/>
      <c r="F850" s="265"/>
      <c r="G850" s="263"/>
      <c r="H850" s="71"/>
      <c r="I850" s="265"/>
      <c r="J850" s="71"/>
      <c r="K850" s="266"/>
      <c r="L850" s="266"/>
      <c r="M850" s="266"/>
      <c r="N850" s="266"/>
      <c r="O850" s="266"/>
      <c r="P850" s="266"/>
      <c r="Q850" s="267"/>
      <c r="R850" s="71"/>
      <c r="S850" s="71"/>
      <c r="T850" s="222"/>
      <c r="U850" s="71"/>
      <c r="V850" s="71"/>
      <c r="W850" s="71"/>
      <c r="X850" s="71"/>
      <c r="Y850" s="71"/>
      <c r="Z850" s="71"/>
      <c r="AA850" s="71"/>
    </row>
    <row r="851" spans="1:27" ht="15.75" customHeight="1">
      <c r="A851" s="71"/>
      <c r="B851" s="263"/>
      <c r="C851" s="264"/>
      <c r="D851" s="71"/>
      <c r="E851" s="71"/>
      <c r="F851" s="265"/>
      <c r="G851" s="263"/>
      <c r="H851" s="71"/>
      <c r="I851" s="265"/>
      <c r="J851" s="71"/>
      <c r="K851" s="266"/>
      <c r="L851" s="266"/>
      <c r="M851" s="266"/>
      <c r="N851" s="266"/>
      <c r="O851" s="266"/>
      <c r="P851" s="266"/>
      <c r="Q851" s="267"/>
      <c r="R851" s="71"/>
      <c r="S851" s="71"/>
      <c r="T851" s="222"/>
      <c r="U851" s="71"/>
      <c r="V851" s="71"/>
      <c r="W851" s="71"/>
      <c r="X851" s="71"/>
      <c r="Y851" s="71"/>
      <c r="Z851" s="71"/>
      <c r="AA851" s="71"/>
    </row>
    <row r="852" spans="1:27" ht="15.75" customHeight="1">
      <c r="A852" s="71"/>
      <c r="B852" s="263"/>
      <c r="C852" s="264"/>
      <c r="D852" s="71"/>
      <c r="E852" s="71"/>
      <c r="F852" s="265"/>
      <c r="G852" s="263"/>
      <c r="H852" s="71"/>
      <c r="I852" s="265"/>
      <c r="J852" s="71"/>
      <c r="K852" s="266"/>
      <c r="L852" s="266"/>
      <c r="M852" s="266"/>
      <c r="N852" s="266"/>
      <c r="O852" s="266"/>
      <c r="P852" s="266"/>
      <c r="Q852" s="267"/>
      <c r="R852" s="71"/>
      <c r="S852" s="71"/>
      <c r="T852" s="222"/>
      <c r="U852" s="71"/>
      <c r="V852" s="71"/>
      <c r="W852" s="71"/>
      <c r="X852" s="71"/>
      <c r="Y852" s="71"/>
      <c r="Z852" s="71"/>
      <c r="AA852" s="71"/>
    </row>
    <row r="853" spans="1:27" ht="15.75" customHeight="1">
      <c r="A853" s="71"/>
      <c r="B853" s="263"/>
      <c r="C853" s="264"/>
      <c r="D853" s="71"/>
      <c r="E853" s="71"/>
      <c r="F853" s="265"/>
      <c r="G853" s="263"/>
      <c r="H853" s="71"/>
      <c r="I853" s="265"/>
      <c r="J853" s="71"/>
      <c r="K853" s="266"/>
      <c r="L853" s="266"/>
      <c r="M853" s="266"/>
      <c r="N853" s="266"/>
      <c r="O853" s="266"/>
      <c r="P853" s="266"/>
      <c r="Q853" s="267"/>
      <c r="R853" s="71"/>
      <c r="S853" s="71"/>
      <c r="T853" s="222"/>
      <c r="U853" s="71"/>
      <c r="V853" s="71"/>
      <c r="W853" s="71"/>
      <c r="X853" s="71"/>
      <c r="Y853" s="71"/>
      <c r="Z853" s="71"/>
      <c r="AA853" s="71"/>
    </row>
    <row r="854" spans="1:27" ht="15.75" customHeight="1">
      <c r="A854" s="71"/>
      <c r="B854" s="263"/>
      <c r="C854" s="264"/>
      <c r="D854" s="71"/>
      <c r="E854" s="71"/>
      <c r="F854" s="265"/>
      <c r="G854" s="263"/>
      <c r="H854" s="71"/>
      <c r="I854" s="265"/>
      <c r="J854" s="71"/>
      <c r="K854" s="266"/>
      <c r="L854" s="266"/>
      <c r="M854" s="266"/>
      <c r="N854" s="266"/>
      <c r="O854" s="266"/>
      <c r="P854" s="266"/>
      <c r="Q854" s="267"/>
      <c r="R854" s="71"/>
      <c r="S854" s="71"/>
      <c r="T854" s="222"/>
      <c r="U854" s="71"/>
      <c r="V854" s="71"/>
      <c r="W854" s="71"/>
      <c r="X854" s="71"/>
      <c r="Y854" s="71"/>
      <c r="Z854" s="71"/>
      <c r="AA854" s="71"/>
    </row>
    <row r="855" spans="1:27" ht="15.75" customHeight="1">
      <c r="A855" s="71"/>
      <c r="B855" s="263"/>
      <c r="C855" s="264"/>
      <c r="D855" s="71"/>
      <c r="E855" s="71"/>
      <c r="F855" s="265"/>
      <c r="G855" s="263"/>
      <c r="H855" s="71"/>
      <c r="I855" s="265"/>
      <c r="J855" s="71"/>
      <c r="K855" s="266"/>
      <c r="L855" s="266"/>
      <c r="M855" s="266"/>
      <c r="N855" s="266"/>
      <c r="O855" s="266"/>
      <c r="P855" s="266"/>
      <c r="Q855" s="267"/>
      <c r="R855" s="71"/>
      <c r="S855" s="71"/>
      <c r="T855" s="222"/>
      <c r="U855" s="71"/>
      <c r="V855" s="71"/>
      <c r="W855" s="71"/>
      <c r="X855" s="71"/>
      <c r="Y855" s="71"/>
      <c r="Z855" s="71"/>
      <c r="AA855" s="71"/>
    </row>
    <row r="856" spans="1:27" ht="15.75" customHeight="1">
      <c r="A856" s="71"/>
      <c r="B856" s="263"/>
      <c r="C856" s="264"/>
      <c r="D856" s="71"/>
      <c r="E856" s="71"/>
      <c r="F856" s="265"/>
      <c r="G856" s="263"/>
      <c r="H856" s="71"/>
      <c r="I856" s="265"/>
      <c r="J856" s="71"/>
      <c r="K856" s="266"/>
      <c r="L856" s="266"/>
      <c r="M856" s="266"/>
      <c r="N856" s="266"/>
      <c r="O856" s="266"/>
      <c r="P856" s="266"/>
      <c r="Q856" s="267"/>
      <c r="R856" s="71"/>
      <c r="S856" s="71"/>
      <c r="T856" s="222"/>
      <c r="U856" s="71"/>
      <c r="V856" s="71"/>
      <c r="W856" s="71"/>
      <c r="X856" s="71"/>
      <c r="Y856" s="71"/>
      <c r="Z856" s="71"/>
      <c r="AA856" s="71"/>
    </row>
    <row r="857" spans="1:27" ht="15.75" customHeight="1">
      <c r="A857" s="71"/>
      <c r="B857" s="263"/>
      <c r="C857" s="264"/>
      <c r="D857" s="71"/>
      <c r="E857" s="71"/>
      <c r="F857" s="265"/>
      <c r="G857" s="263"/>
      <c r="H857" s="71"/>
      <c r="I857" s="265"/>
      <c r="J857" s="71"/>
      <c r="K857" s="266"/>
      <c r="L857" s="266"/>
      <c r="M857" s="266"/>
      <c r="N857" s="266"/>
      <c r="O857" s="266"/>
      <c r="P857" s="266"/>
      <c r="Q857" s="267"/>
      <c r="R857" s="71"/>
      <c r="S857" s="71"/>
      <c r="T857" s="222"/>
      <c r="U857" s="71"/>
      <c r="V857" s="71"/>
      <c r="W857" s="71"/>
      <c r="X857" s="71"/>
      <c r="Y857" s="71"/>
      <c r="Z857" s="71"/>
      <c r="AA857" s="71"/>
    </row>
    <row r="858" spans="1:27" ht="15.75" customHeight="1">
      <c r="A858" s="71"/>
      <c r="B858" s="263"/>
      <c r="C858" s="264"/>
      <c r="D858" s="71"/>
      <c r="E858" s="71"/>
      <c r="F858" s="265"/>
      <c r="G858" s="263"/>
      <c r="H858" s="71"/>
      <c r="I858" s="265"/>
      <c r="J858" s="71"/>
      <c r="K858" s="266"/>
      <c r="L858" s="266"/>
      <c r="M858" s="266"/>
      <c r="N858" s="266"/>
      <c r="O858" s="266"/>
      <c r="P858" s="266"/>
      <c r="Q858" s="267"/>
      <c r="R858" s="71"/>
      <c r="S858" s="71"/>
      <c r="T858" s="222"/>
      <c r="U858" s="71"/>
      <c r="V858" s="71"/>
      <c r="W858" s="71"/>
      <c r="X858" s="71"/>
      <c r="Y858" s="71"/>
      <c r="Z858" s="71"/>
      <c r="AA858" s="71"/>
    </row>
    <row r="859" spans="1:27" ht="15.75" customHeight="1">
      <c r="A859" s="71"/>
      <c r="B859" s="263"/>
      <c r="C859" s="264"/>
      <c r="D859" s="71"/>
      <c r="E859" s="71"/>
      <c r="F859" s="265"/>
      <c r="G859" s="263"/>
      <c r="H859" s="71"/>
      <c r="I859" s="265"/>
      <c r="J859" s="71"/>
      <c r="K859" s="266"/>
      <c r="L859" s="266"/>
      <c r="M859" s="266"/>
      <c r="N859" s="266"/>
      <c r="O859" s="266"/>
      <c r="P859" s="266"/>
      <c r="Q859" s="267"/>
      <c r="R859" s="71"/>
      <c r="S859" s="71"/>
      <c r="T859" s="222"/>
      <c r="U859" s="71"/>
      <c r="V859" s="71"/>
      <c r="W859" s="71"/>
      <c r="X859" s="71"/>
      <c r="Y859" s="71"/>
      <c r="Z859" s="71"/>
      <c r="AA859" s="71"/>
    </row>
    <row r="860" spans="1:27" ht="15.75" customHeight="1">
      <c r="A860" s="71"/>
      <c r="B860" s="263"/>
      <c r="C860" s="264"/>
      <c r="D860" s="71"/>
      <c r="E860" s="71"/>
      <c r="F860" s="265"/>
      <c r="G860" s="263"/>
      <c r="H860" s="71"/>
      <c r="I860" s="265"/>
      <c r="J860" s="71"/>
      <c r="K860" s="266"/>
      <c r="L860" s="266"/>
      <c r="M860" s="266"/>
      <c r="N860" s="266"/>
      <c r="O860" s="266"/>
      <c r="P860" s="266"/>
      <c r="Q860" s="267"/>
      <c r="R860" s="71"/>
      <c r="S860" s="71"/>
      <c r="T860" s="222"/>
      <c r="U860" s="71"/>
      <c r="V860" s="71"/>
      <c r="W860" s="71"/>
      <c r="X860" s="71"/>
      <c r="Y860" s="71"/>
      <c r="Z860" s="71"/>
      <c r="AA860" s="71"/>
    </row>
    <row r="861" spans="1:27" ht="15.75" customHeight="1">
      <c r="A861" s="71"/>
      <c r="B861" s="263"/>
      <c r="C861" s="264"/>
      <c r="D861" s="71"/>
      <c r="E861" s="71"/>
      <c r="F861" s="265"/>
      <c r="G861" s="263"/>
      <c r="H861" s="71"/>
      <c r="I861" s="265"/>
      <c r="J861" s="71"/>
      <c r="K861" s="266"/>
      <c r="L861" s="266"/>
      <c r="M861" s="266"/>
      <c r="N861" s="266"/>
      <c r="O861" s="266"/>
      <c r="P861" s="266"/>
      <c r="Q861" s="267"/>
      <c r="R861" s="71"/>
      <c r="S861" s="71"/>
      <c r="T861" s="222"/>
      <c r="U861" s="71"/>
      <c r="V861" s="71"/>
      <c r="W861" s="71"/>
      <c r="X861" s="71"/>
      <c r="Y861" s="71"/>
      <c r="Z861" s="71"/>
      <c r="AA861" s="71"/>
    </row>
    <row r="862" spans="1:27" ht="15.75" customHeight="1">
      <c r="A862" s="71"/>
      <c r="B862" s="263"/>
      <c r="C862" s="264"/>
      <c r="D862" s="71"/>
      <c r="E862" s="71"/>
      <c r="F862" s="265"/>
      <c r="G862" s="263"/>
      <c r="H862" s="71"/>
      <c r="I862" s="265"/>
      <c r="J862" s="71"/>
      <c r="K862" s="266"/>
      <c r="L862" s="266"/>
      <c r="M862" s="266"/>
      <c r="N862" s="266"/>
      <c r="O862" s="266"/>
      <c r="P862" s="266"/>
      <c r="Q862" s="267"/>
      <c r="R862" s="71"/>
      <c r="S862" s="71"/>
      <c r="T862" s="222"/>
      <c r="U862" s="71"/>
      <c r="V862" s="71"/>
      <c r="W862" s="71"/>
      <c r="X862" s="71"/>
      <c r="Y862" s="71"/>
      <c r="Z862" s="71"/>
      <c r="AA862" s="71"/>
    </row>
    <row r="863" spans="1:27" ht="15.75" customHeight="1">
      <c r="A863" s="71"/>
      <c r="B863" s="263"/>
      <c r="C863" s="264"/>
      <c r="D863" s="71"/>
      <c r="E863" s="71"/>
      <c r="F863" s="265"/>
      <c r="G863" s="263"/>
      <c r="H863" s="71"/>
      <c r="I863" s="265"/>
      <c r="J863" s="71"/>
      <c r="K863" s="266"/>
      <c r="L863" s="266"/>
      <c r="M863" s="266"/>
      <c r="N863" s="266"/>
      <c r="O863" s="266"/>
      <c r="P863" s="266"/>
      <c r="Q863" s="267"/>
      <c r="R863" s="71"/>
      <c r="S863" s="71"/>
      <c r="T863" s="222"/>
      <c r="U863" s="71"/>
      <c r="V863" s="71"/>
      <c r="W863" s="71"/>
      <c r="X863" s="71"/>
      <c r="Y863" s="71"/>
      <c r="Z863" s="71"/>
      <c r="AA863" s="71"/>
    </row>
    <row r="864" spans="1:27" ht="15.75" customHeight="1">
      <c r="A864" s="71"/>
      <c r="B864" s="263"/>
      <c r="C864" s="264"/>
      <c r="D864" s="71"/>
      <c r="E864" s="71"/>
      <c r="F864" s="265"/>
      <c r="G864" s="263"/>
      <c r="H864" s="71"/>
      <c r="I864" s="265"/>
      <c r="J864" s="71"/>
      <c r="K864" s="266"/>
      <c r="L864" s="266"/>
      <c r="M864" s="266"/>
      <c r="N864" s="266"/>
      <c r="O864" s="266"/>
      <c r="P864" s="266"/>
      <c r="Q864" s="267"/>
      <c r="R864" s="71"/>
      <c r="S864" s="71"/>
      <c r="T864" s="222"/>
      <c r="U864" s="71"/>
      <c r="V864" s="71"/>
      <c r="W864" s="71"/>
      <c r="X864" s="71"/>
      <c r="Y864" s="71"/>
      <c r="Z864" s="71"/>
      <c r="AA864" s="71"/>
    </row>
    <row r="865" spans="1:27" ht="15.75" customHeight="1">
      <c r="A865" s="71"/>
      <c r="B865" s="263"/>
      <c r="C865" s="264"/>
      <c r="D865" s="71"/>
      <c r="E865" s="71"/>
      <c r="F865" s="265"/>
      <c r="G865" s="263"/>
      <c r="H865" s="71"/>
      <c r="I865" s="265"/>
      <c r="J865" s="71"/>
      <c r="K865" s="266"/>
      <c r="L865" s="266"/>
      <c r="M865" s="266"/>
      <c r="N865" s="266"/>
      <c r="O865" s="266"/>
      <c r="P865" s="266"/>
      <c r="Q865" s="267"/>
      <c r="R865" s="71"/>
      <c r="S865" s="71"/>
      <c r="T865" s="222"/>
      <c r="U865" s="71"/>
      <c r="V865" s="71"/>
      <c r="W865" s="71"/>
      <c r="X865" s="71"/>
      <c r="Y865" s="71"/>
      <c r="Z865" s="71"/>
      <c r="AA865" s="71"/>
    </row>
    <row r="866" spans="1:27" ht="15.75" customHeight="1">
      <c r="A866" s="71"/>
      <c r="B866" s="263"/>
      <c r="C866" s="264"/>
      <c r="D866" s="71"/>
      <c r="E866" s="71"/>
      <c r="F866" s="265"/>
      <c r="G866" s="263"/>
      <c r="H866" s="71"/>
      <c r="I866" s="265"/>
      <c r="J866" s="71"/>
      <c r="K866" s="266"/>
      <c r="L866" s="266"/>
      <c r="M866" s="266"/>
      <c r="N866" s="266"/>
      <c r="O866" s="266"/>
      <c r="P866" s="266"/>
      <c r="Q866" s="267"/>
      <c r="R866" s="71"/>
      <c r="S866" s="71"/>
      <c r="T866" s="222"/>
      <c r="U866" s="71"/>
      <c r="V866" s="71"/>
      <c r="W866" s="71"/>
      <c r="X866" s="71"/>
      <c r="Y866" s="71"/>
      <c r="Z866" s="71"/>
      <c r="AA866" s="71"/>
    </row>
    <row r="867" spans="1:27" ht="15.75" customHeight="1">
      <c r="A867" s="71"/>
      <c r="B867" s="263"/>
      <c r="C867" s="264"/>
      <c r="D867" s="71"/>
      <c r="E867" s="71"/>
      <c r="F867" s="265"/>
      <c r="G867" s="263"/>
      <c r="H867" s="71"/>
      <c r="I867" s="265"/>
      <c r="J867" s="71"/>
      <c r="K867" s="266"/>
      <c r="L867" s="266"/>
      <c r="M867" s="266"/>
      <c r="N867" s="266"/>
      <c r="O867" s="266"/>
      <c r="P867" s="266"/>
      <c r="Q867" s="267"/>
      <c r="R867" s="71"/>
      <c r="S867" s="71"/>
      <c r="T867" s="222"/>
      <c r="U867" s="71"/>
      <c r="V867" s="71"/>
      <c r="W867" s="71"/>
      <c r="X867" s="71"/>
      <c r="Y867" s="71"/>
      <c r="Z867" s="71"/>
      <c r="AA867" s="71"/>
    </row>
    <row r="868" spans="1:27" ht="15.75" customHeight="1">
      <c r="A868" s="71"/>
      <c r="B868" s="263"/>
      <c r="C868" s="264"/>
      <c r="D868" s="71"/>
      <c r="E868" s="71"/>
      <c r="F868" s="265"/>
      <c r="G868" s="263"/>
      <c r="H868" s="71"/>
      <c r="I868" s="265"/>
      <c r="J868" s="71"/>
      <c r="K868" s="266"/>
      <c r="L868" s="266"/>
      <c r="M868" s="266"/>
      <c r="N868" s="266"/>
      <c r="O868" s="266"/>
      <c r="P868" s="266"/>
      <c r="Q868" s="267"/>
      <c r="R868" s="71"/>
      <c r="S868" s="71"/>
      <c r="T868" s="222"/>
      <c r="U868" s="71"/>
      <c r="V868" s="71"/>
      <c r="W868" s="71"/>
      <c r="X868" s="71"/>
      <c r="Y868" s="71"/>
      <c r="Z868" s="71"/>
      <c r="AA868" s="71"/>
    </row>
    <row r="869" spans="1:27" ht="15.75" customHeight="1">
      <c r="A869" s="71"/>
      <c r="B869" s="263"/>
      <c r="C869" s="264"/>
      <c r="D869" s="71"/>
      <c r="E869" s="71"/>
      <c r="F869" s="265"/>
      <c r="G869" s="263"/>
      <c r="H869" s="71"/>
      <c r="I869" s="265"/>
      <c r="J869" s="71"/>
      <c r="K869" s="266"/>
      <c r="L869" s="266"/>
      <c r="M869" s="266"/>
      <c r="N869" s="266"/>
      <c r="O869" s="266"/>
      <c r="P869" s="266"/>
      <c r="Q869" s="267"/>
      <c r="R869" s="71"/>
      <c r="S869" s="71"/>
      <c r="T869" s="222"/>
      <c r="U869" s="71"/>
      <c r="V869" s="71"/>
      <c r="W869" s="71"/>
      <c r="X869" s="71"/>
      <c r="Y869" s="71"/>
      <c r="Z869" s="71"/>
      <c r="AA869" s="71"/>
    </row>
    <row r="870" spans="1:27" ht="15.75" customHeight="1">
      <c r="A870" s="71"/>
      <c r="B870" s="263"/>
      <c r="C870" s="264"/>
      <c r="D870" s="71"/>
      <c r="E870" s="71"/>
      <c r="F870" s="265"/>
      <c r="G870" s="263"/>
      <c r="H870" s="71"/>
      <c r="I870" s="265"/>
      <c r="J870" s="71"/>
      <c r="K870" s="266"/>
      <c r="L870" s="266"/>
      <c r="M870" s="266"/>
      <c r="N870" s="266"/>
      <c r="O870" s="266"/>
      <c r="P870" s="266"/>
      <c r="Q870" s="267"/>
      <c r="R870" s="71"/>
      <c r="S870" s="71"/>
      <c r="T870" s="222"/>
      <c r="U870" s="71"/>
      <c r="V870" s="71"/>
      <c r="W870" s="71"/>
      <c r="X870" s="71"/>
      <c r="Y870" s="71"/>
      <c r="Z870" s="71"/>
      <c r="AA870" s="71"/>
    </row>
    <row r="871" spans="1:27" ht="15.75" customHeight="1">
      <c r="A871" s="71"/>
      <c r="B871" s="263"/>
      <c r="C871" s="264"/>
      <c r="D871" s="71"/>
      <c r="E871" s="71"/>
      <c r="F871" s="265"/>
      <c r="G871" s="263"/>
      <c r="H871" s="71"/>
      <c r="I871" s="265"/>
      <c r="J871" s="71"/>
      <c r="K871" s="266"/>
      <c r="L871" s="266"/>
      <c r="M871" s="266"/>
      <c r="N871" s="266"/>
      <c r="O871" s="266"/>
      <c r="P871" s="266"/>
      <c r="Q871" s="267"/>
      <c r="R871" s="71"/>
      <c r="S871" s="71"/>
      <c r="T871" s="222"/>
      <c r="U871" s="71"/>
      <c r="V871" s="71"/>
      <c r="W871" s="71"/>
      <c r="X871" s="71"/>
      <c r="Y871" s="71"/>
      <c r="Z871" s="71"/>
      <c r="AA871" s="71"/>
    </row>
    <row r="872" spans="1:27" ht="15.75" customHeight="1">
      <c r="A872" s="71"/>
      <c r="B872" s="263"/>
      <c r="C872" s="264"/>
      <c r="D872" s="71"/>
      <c r="E872" s="71"/>
      <c r="F872" s="265"/>
      <c r="G872" s="263"/>
      <c r="H872" s="71"/>
      <c r="I872" s="265"/>
      <c r="J872" s="71"/>
      <c r="K872" s="266"/>
      <c r="L872" s="266"/>
      <c r="M872" s="266"/>
      <c r="N872" s="266"/>
      <c r="O872" s="266"/>
      <c r="P872" s="266"/>
      <c r="Q872" s="267"/>
      <c r="R872" s="71"/>
      <c r="S872" s="71"/>
      <c r="T872" s="222"/>
      <c r="U872" s="71"/>
      <c r="V872" s="71"/>
      <c r="W872" s="71"/>
      <c r="X872" s="71"/>
      <c r="Y872" s="71"/>
      <c r="Z872" s="71"/>
      <c r="AA872" s="71"/>
    </row>
    <row r="873" spans="1:27" ht="15.75" customHeight="1">
      <c r="A873" s="71"/>
      <c r="B873" s="263"/>
      <c r="C873" s="264"/>
      <c r="D873" s="71"/>
      <c r="E873" s="71"/>
      <c r="F873" s="265"/>
      <c r="G873" s="263"/>
      <c r="H873" s="71"/>
      <c r="I873" s="265"/>
      <c r="J873" s="71"/>
      <c r="K873" s="266"/>
      <c r="L873" s="266"/>
      <c r="M873" s="266"/>
      <c r="N873" s="266"/>
      <c r="O873" s="266"/>
      <c r="P873" s="266"/>
      <c r="Q873" s="267"/>
      <c r="R873" s="71"/>
      <c r="S873" s="71"/>
      <c r="T873" s="222"/>
      <c r="U873" s="71"/>
      <c r="V873" s="71"/>
      <c r="W873" s="71"/>
      <c r="X873" s="71"/>
      <c r="Y873" s="71"/>
      <c r="Z873" s="71"/>
      <c r="AA873" s="71"/>
    </row>
    <row r="874" spans="1:27" ht="15.75" customHeight="1">
      <c r="A874" s="71"/>
      <c r="B874" s="263"/>
      <c r="C874" s="264"/>
      <c r="D874" s="71"/>
      <c r="E874" s="71"/>
      <c r="F874" s="265"/>
      <c r="G874" s="263"/>
      <c r="H874" s="71"/>
      <c r="I874" s="265"/>
      <c r="J874" s="71"/>
      <c r="K874" s="266"/>
      <c r="L874" s="266"/>
      <c r="M874" s="266"/>
      <c r="N874" s="266"/>
      <c r="O874" s="266"/>
      <c r="P874" s="266"/>
      <c r="Q874" s="267"/>
      <c r="R874" s="71"/>
      <c r="S874" s="71"/>
      <c r="T874" s="222"/>
      <c r="U874" s="71"/>
      <c r="V874" s="71"/>
      <c r="W874" s="71"/>
      <c r="X874" s="71"/>
      <c r="Y874" s="71"/>
      <c r="Z874" s="71"/>
      <c r="AA874" s="71"/>
    </row>
    <row r="875" spans="1:27" ht="15.75" customHeight="1">
      <c r="A875" s="71"/>
      <c r="B875" s="263"/>
      <c r="C875" s="264"/>
      <c r="D875" s="71"/>
      <c r="E875" s="71"/>
      <c r="F875" s="265"/>
      <c r="G875" s="263"/>
      <c r="H875" s="71"/>
      <c r="I875" s="265"/>
      <c r="J875" s="71"/>
      <c r="K875" s="266"/>
      <c r="L875" s="266"/>
      <c r="M875" s="266"/>
      <c r="N875" s="266"/>
      <c r="O875" s="266"/>
      <c r="P875" s="266"/>
      <c r="Q875" s="267"/>
      <c r="R875" s="71"/>
      <c r="S875" s="71"/>
      <c r="T875" s="222"/>
      <c r="U875" s="71"/>
      <c r="V875" s="71"/>
      <c r="W875" s="71"/>
      <c r="X875" s="71"/>
      <c r="Y875" s="71"/>
      <c r="Z875" s="71"/>
      <c r="AA875" s="71"/>
    </row>
    <row r="876" spans="1:27" ht="15.75" customHeight="1">
      <c r="A876" s="71"/>
      <c r="B876" s="263"/>
      <c r="C876" s="264"/>
      <c r="D876" s="71"/>
      <c r="E876" s="71"/>
      <c r="F876" s="265"/>
      <c r="G876" s="263"/>
      <c r="H876" s="71"/>
      <c r="I876" s="265"/>
      <c r="J876" s="71"/>
      <c r="K876" s="266"/>
      <c r="L876" s="266"/>
      <c r="M876" s="266"/>
      <c r="N876" s="266"/>
      <c r="O876" s="266"/>
      <c r="P876" s="266"/>
      <c r="Q876" s="267"/>
      <c r="R876" s="71"/>
      <c r="S876" s="71"/>
      <c r="T876" s="222"/>
      <c r="U876" s="71"/>
      <c r="V876" s="71"/>
      <c r="W876" s="71"/>
      <c r="X876" s="71"/>
      <c r="Y876" s="71"/>
      <c r="Z876" s="71"/>
      <c r="AA876" s="71"/>
    </row>
    <row r="877" spans="1:27" ht="15.75" customHeight="1">
      <c r="A877" s="71"/>
      <c r="B877" s="263"/>
      <c r="C877" s="264"/>
      <c r="D877" s="71"/>
      <c r="E877" s="71"/>
      <c r="F877" s="265"/>
      <c r="G877" s="263"/>
      <c r="H877" s="71"/>
      <c r="I877" s="265"/>
      <c r="J877" s="71"/>
      <c r="K877" s="266"/>
      <c r="L877" s="266"/>
      <c r="M877" s="266"/>
      <c r="N877" s="266"/>
      <c r="O877" s="266"/>
      <c r="P877" s="266"/>
      <c r="Q877" s="267"/>
      <c r="R877" s="71"/>
      <c r="S877" s="71"/>
      <c r="T877" s="222"/>
      <c r="U877" s="71"/>
      <c r="V877" s="71"/>
      <c r="W877" s="71"/>
      <c r="X877" s="71"/>
      <c r="Y877" s="71"/>
      <c r="Z877" s="71"/>
      <c r="AA877" s="71"/>
    </row>
    <row r="878" spans="1:27" ht="15.75" customHeight="1">
      <c r="A878" s="71"/>
      <c r="B878" s="263"/>
      <c r="C878" s="264"/>
      <c r="D878" s="71"/>
      <c r="E878" s="71"/>
      <c r="F878" s="265"/>
      <c r="G878" s="263"/>
      <c r="H878" s="71"/>
      <c r="I878" s="265"/>
      <c r="J878" s="71"/>
      <c r="K878" s="266"/>
      <c r="L878" s="266"/>
      <c r="M878" s="266"/>
      <c r="N878" s="266"/>
      <c r="O878" s="266"/>
      <c r="P878" s="266"/>
      <c r="Q878" s="267"/>
      <c r="R878" s="71"/>
      <c r="S878" s="71"/>
      <c r="T878" s="222"/>
      <c r="U878" s="71"/>
      <c r="V878" s="71"/>
      <c r="W878" s="71"/>
      <c r="X878" s="71"/>
      <c r="Y878" s="71"/>
      <c r="Z878" s="71"/>
      <c r="AA878" s="71"/>
    </row>
    <row r="879" spans="1:27" ht="15.75" customHeight="1">
      <c r="A879" s="71"/>
      <c r="B879" s="263"/>
      <c r="C879" s="264"/>
      <c r="D879" s="71"/>
      <c r="E879" s="71"/>
      <c r="F879" s="265"/>
      <c r="G879" s="263"/>
      <c r="H879" s="71"/>
      <c r="I879" s="265"/>
      <c r="J879" s="71"/>
      <c r="K879" s="266"/>
      <c r="L879" s="266"/>
      <c r="M879" s="266"/>
      <c r="N879" s="266"/>
      <c r="O879" s="266"/>
      <c r="P879" s="266"/>
      <c r="Q879" s="267"/>
      <c r="R879" s="71"/>
      <c r="S879" s="71"/>
      <c r="T879" s="222"/>
      <c r="U879" s="71"/>
      <c r="V879" s="71"/>
      <c r="W879" s="71"/>
      <c r="X879" s="71"/>
      <c r="Y879" s="71"/>
      <c r="Z879" s="71"/>
      <c r="AA879" s="71"/>
    </row>
    <row r="880" spans="1:27" ht="15.75" customHeight="1">
      <c r="A880" s="71"/>
      <c r="B880" s="263"/>
      <c r="C880" s="264"/>
      <c r="D880" s="71"/>
      <c r="E880" s="71"/>
      <c r="F880" s="265"/>
      <c r="G880" s="263"/>
      <c r="H880" s="71"/>
      <c r="I880" s="265"/>
      <c r="J880" s="71"/>
      <c r="K880" s="266"/>
      <c r="L880" s="266"/>
      <c r="M880" s="266"/>
      <c r="N880" s="266"/>
      <c r="O880" s="266"/>
      <c r="P880" s="266"/>
      <c r="Q880" s="267"/>
      <c r="R880" s="71"/>
      <c r="S880" s="71"/>
      <c r="T880" s="222"/>
      <c r="U880" s="71"/>
      <c r="V880" s="71"/>
      <c r="W880" s="71"/>
      <c r="X880" s="71"/>
      <c r="Y880" s="71"/>
      <c r="Z880" s="71"/>
      <c r="AA880" s="71"/>
    </row>
    <row r="881" spans="1:27" ht="15.75" customHeight="1">
      <c r="A881" s="71"/>
      <c r="B881" s="263"/>
      <c r="C881" s="264"/>
      <c r="D881" s="71"/>
      <c r="E881" s="71"/>
      <c r="F881" s="265"/>
      <c r="G881" s="263"/>
      <c r="H881" s="71"/>
      <c r="I881" s="265"/>
      <c r="J881" s="71"/>
      <c r="K881" s="266"/>
      <c r="L881" s="266"/>
      <c r="M881" s="266"/>
      <c r="N881" s="266"/>
      <c r="O881" s="266"/>
      <c r="P881" s="266"/>
      <c r="Q881" s="267"/>
      <c r="R881" s="71"/>
      <c r="S881" s="71"/>
      <c r="T881" s="222"/>
      <c r="U881" s="71"/>
      <c r="V881" s="71"/>
      <c r="W881" s="71"/>
      <c r="X881" s="71"/>
      <c r="Y881" s="71"/>
      <c r="Z881" s="71"/>
      <c r="AA881" s="71"/>
    </row>
    <row r="882" spans="1:27" ht="15.75" customHeight="1">
      <c r="A882" s="71"/>
      <c r="B882" s="263"/>
      <c r="C882" s="264"/>
      <c r="D882" s="71"/>
      <c r="E882" s="71"/>
      <c r="F882" s="265"/>
      <c r="G882" s="263"/>
      <c r="H882" s="71"/>
      <c r="I882" s="265"/>
      <c r="J882" s="71"/>
      <c r="K882" s="266"/>
      <c r="L882" s="266"/>
      <c r="M882" s="266"/>
      <c r="N882" s="266"/>
      <c r="O882" s="266"/>
      <c r="P882" s="266"/>
      <c r="Q882" s="267"/>
      <c r="R882" s="71"/>
      <c r="S882" s="71"/>
      <c r="T882" s="222"/>
      <c r="U882" s="71"/>
      <c r="V882" s="71"/>
      <c r="W882" s="71"/>
      <c r="X882" s="71"/>
      <c r="Y882" s="71"/>
      <c r="Z882" s="71"/>
      <c r="AA882" s="71"/>
    </row>
    <row r="883" spans="1:27" ht="15.75" customHeight="1">
      <c r="A883" s="71"/>
      <c r="B883" s="263"/>
      <c r="C883" s="264"/>
      <c r="D883" s="71"/>
      <c r="E883" s="71"/>
      <c r="F883" s="265"/>
      <c r="G883" s="263"/>
      <c r="H883" s="71"/>
      <c r="I883" s="265"/>
      <c r="J883" s="71"/>
      <c r="K883" s="266"/>
      <c r="L883" s="266"/>
      <c r="M883" s="266"/>
      <c r="N883" s="266"/>
      <c r="O883" s="266"/>
      <c r="P883" s="266"/>
      <c r="Q883" s="267"/>
      <c r="R883" s="71"/>
      <c r="S883" s="71"/>
      <c r="T883" s="222"/>
      <c r="U883" s="71"/>
      <c r="V883" s="71"/>
      <c r="W883" s="71"/>
      <c r="X883" s="71"/>
      <c r="Y883" s="71"/>
      <c r="Z883" s="71"/>
      <c r="AA883" s="71"/>
    </row>
    <row r="884" spans="1:27" ht="15.75" customHeight="1">
      <c r="A884" s="71"/>
      <c r="B884" s="263"/>
      <c r="C884" s="264"/>
      <c r="D884" s="71"/>
      <c r="E884" s="71"/>
      <c r="F884" s="265"/>
      <c r="G884" s="263"/>
      <c r="H884" s="71"/>
      <c r="I884" s="265"/>
      <c r="J884" s="71"/>
      <c r="K884" s="266"/>
      <c r="L884" s="266"/>
      <c r="M884" s="266"/>
      <c r="N884" s="266"/>
      <c r="O884" s="266"/>
      <c r="P884" s="266"/>
      <c r="Q884" s="267"/>
      <c r="R884" s="71"/>
      <c r="S884" s="71"/>
      <c r="T884" s="222"/>
      <c r="U884" s="71"/>
      <c r="V884" s="71"/>
      <c r="W884" s="71"/>
      <c r="X884" s="71"/>
      <c r="Y884" s="71"/>
      <c r="Z884" s="71"/>
      <c r="AA884" s="71"/>
    </row>
    <row r="885" spans="1:27" ht="15.75" customHeight="1">
      <c r="A885" s="71"/>
      <c r="B885" s="263"/>
      <c r="C885" s="264"/>
      <c r="D885" s="71"/>
      <c r="E885" s="71"/>
      <c r="F885" s="265"/>
      <c r="G885" s="263"/>
      <c r="H885" s="71"/>
      <c r="I885" s="265"/>
      <c r="J885" s="71"/>
      <c r="K885" s="266"/>
      <c r="L885" s="266"/>
      <c r="M885" s="266"/>
      <c r="N885" s="266"/>
      <c r="O885" s="266"/>
      <c r="P885" s="266"/>
      <c r="Q885" s="267"/>
      <c r="R885" s="71"/>
      <c r="S885" s="71"/>
      <c r="T885" s="222"/>
      <c r="U885" s="71"/>
      <c r="V885" s="71"/>
      <c r="W885" s="71"/>
      <c r="X885" s="71"/>
      <c r="Y885" s="71"/>
      <c r="Z885" s="71"/>
      <c r="AA885" s="71"/>
    </row>
    <row r="886" spans="1:27" ht="15.75" customHeight="1">
      <c r="A886" s="71"/>
      <c r="B886" s="263"/>
      <c r="C886" s="264"/>
      <c r="D886" s="71"/>
      <c r="E886" s="71"/>
      <c r="F886" s="265"/>
      <c r="G886" s="263"/>
      <c r="H886" s="71"/>
      <c r="I886" s="265"/>
      <c r="J886" s="71"/>
      <c r="K886" s="266"/>
      <c r="L886" s="266"/>
      <c r="M886" s="266"/>
      <c r="N886" s="266"/>
      <c r="O886" s="266"/>
      <c r="P886" s="266"/>
      <c r="Q886" s="267"/>
      <c r="R886" s="71"/>
      <c r="S886" s="71"/>
      <c r="T886" s="222"/>
      <c r="U886" s="71"/>
      <c r="V886" s="71"/>
      <c r="W886" s="71"/>
      <c r="X886" s="71"/>
      <c r="Y886" s="71"/>
      <c r="Z886" s="71"/>
      <c r="AA886" s="71"/>
    </row>
    <row r="887" spans="1:27" ht="15.75" customHeight="1">
      <c r="A887" s="71"/>
      <c r="B887" s="263"/>
      <c r="C887" s="264"/>
      <c r="D887" s="71"/>
      <c r="E887" s="71"/>
      <c r="F887" s="265"/>
      <c r="G887" s="263"/>
      <c r="H887" s="71"/>
      <c r="I887" s="265"/>
      <c r="J887" s="71"/>
      <c r="K887" s="266"/>
      <c r="L887" s="266"/>
      <c r="M887" s="266"/>
      <c r="N887" s="266"/>
      <c r="O887" s="266"/>
      <c r="P887" s="266"/>
      <c r="Q887" s="267"/>
      <c r="R887" s="71"/>
      <c r="S887" s="71"/>
      <c r="T887" s="222"/>
      <c r="U887" s="71"/>
      <c r="V887" s="71"/>
      <c r="W887" s="71"/>
      <c r="X887" s="71"/>
      <c r="Y887" s="71"/>
      <c r="Z887" s="71"/>
      <c r="AA887" s="71"/>
    </row>
    <row r="888" spans="1:27" ht="15.75" customHeight="1">
      <c r="A888" s="71"/>
      <c r="B888" s="263"/>
      <c r="C888" s="264"/>
      <c r="D888" s="71"/>
      <c r="E888" s="71"/>
      <c r="F888" s="265"/>
      <c r="G888" s="263"/>
      <c r="H888" s="71"/>
      <c r="I888" s="265"/>
      <c r="J888" s="71"/>
      <c r="K888" s="266"/>
      <c r="L888" s="266"/>
      <c r="M888" s="266"/>
      <c r="N888" s="266"/>
      <c r="O888" s="266"/>
      <c r="P888" s="266"/>
      <c r="Q888" s="267"/>
      <c r="R888" s="71"/>
      <c r="S888" s="71"/>
      <c r="T888" s="222"/>
      <c r="U888" s="71"/>
      <c r="V888" s="71"/>
      <c r="W888" s="71"/>
      <c r="X888" s="71"/>
      <c r="Y888" s="71"/>
      <c r="Z888" s="71"/>
      <c r="AA888" s="71"/>
    </row>
    <row r="889" spans="1:27" ht="15.75" customHeight="1">
      <c r="A889" s="71"/>
      <c r="B889" s="263"/>
      <c r="C889" s="264"/>
      <c r="D889" s="71"/>
      <c r="E889" s="71"/>
      <c r="F889" s="265"/>
      <c r="G889" s="263"/>
      <c r="H889" s="71"/>
      <c r="I889" s="265"/>
      <c r="J889" s="71"/>
      <c r="K889" s="266"/>
      <c r="L889" s="266"/>
      <c r="M889" s="266"/>
      <c r="N889" s="266"/>
      <c r="O889" s="266"/>
      <c r="P889" s="266"/>
      <c r="Q889" s="267"/>
      <c r="R889" s="71"/>
      <c r="S889" s="71"/>
      <c r="T889" s="222"/>
      <c r="U889" s="71"/>
      <c r="V889" s="71"/>
      <c r="W889" s="71"/>
      <c r="X889" s="71"/>
      <c r="Y889" s="71"/>
      <c r="Z889" s="71"/>
      <c r="AA889" s="71"/>
    </row>
    <row r="890" spans="1:27" ht="15.75" customHeight="1">
      <c r="A890" s="71"/>
      <c r="B890" s="263"/>
      <c r="C890" s="264"/>
      <c r="D890" s="71"/>
      <c r="E890" s="71"/>
      <c r="F890" s="265"/>
      <c r="G890" s="263"/>
      <c r="H890" s="71"/>
      <c r="I890" s="265"/>
      <c r="J890" s="71"/>
      <c r="K890" s="266"/>
      <c r="L890" s="266"/>
      <c r="M890" s="266"/>
      <c r="N890" s="266"/>
      <c r="O890" s="266"/>
      <c r="P890" s="266"/>
      <c r="Q890" s="267"/>
      <c r="R890" s="71"/>
      <c r="S890" s="71"/>
      <c r="T890" s="222"/>
      <c r="U890" s="71"/>
      <c r="V890" s="71"/>
      <c r="W890" s="71"/>
      <c r="X890" s="71"/>
      <c r="Y890" s="71"/>
      <c r="Z890" s="71"/>
      <c r="AA890" s="71"/>
    </row>
    <row r="891" spans="1:27" ht="15.75" customHeight="1">
      <c r="A891" s="71"/>
      <c r="B891" s="263"/>
      <c r="C891" s="264"/>
      <c r="D891" s="71"/>
      <c r="E891" s="71"/>
      <c r="F891" s="265"/>
      <c r="G891" s="263"/>
      <c r="H891" s="71"/>
      <c r="I891" s="265"/>
      <c r="J891" s="71"/>
      <c r="K891" s="266"/>
      <c r="L891" s="266"/>
      <c r="M891" s="266"/>
      <c r="N891" s="266"/>
      <c r="O891" s="266"/>
      <c r="P891" s="266"/>
      <c r="Q891" s="267"/>
      <c r="R891" s="71"/>
      <c r="S891" s="71"/>
      <c r="T891" s="222"/>
      <c r="U891" s="71"/>
      <c r="V891" s="71"/>
      <c r="W891" s="71"/>
      <c r="X891" s="71"/>
      <c r="Y891" s="71"/>
      <c r="Z891" s="71"/>
      <c r="AA891" s="71"/>
    </row>
    <row r="892" spans="1:27" ht="15.75" customHeight="1">
      <c r="A892" s="71"/>
      <c r="B892" s="263"/>
      <c r="C892" s="264"/>
      <c r="D892" s="71"/>
      <c r="E892" s="71"/>
      <c r="F892" s="265"/>
      <c r="G892" s="263"/>
      <c r="H892" s="71"/>
      <c r="I892" s="265"/>
      <c r="J892" s="71"/>
      <c r="K892" s="266"/>
      <c r="L892" s="266"/>
      <c r="M892" s="266"/>
      <c r="N892" s="266"/>
      <c r="O892" s="266"/>
      <c r="P892" s="266"/>
      <c r="Q892" s="267"/>
      <c r="R892" s="71"/>
      <c r="S892" s="71"/>
      <c r="T892" s="222"/>
      <c r="U892" s="71"/>
      <c r="V892" s="71"/>
      <c r="W892" s="71"/>
      <c r="X892" s="71"/>
      <c r="Y892" s="71"/>
      <c r="Z892" s="71"/>
      <c r="AA892" s="71"/>
    </row>
    <row r="893" spans="1:27" ht="15.75" customHeight="1">
      <c r="A893" s="71"/>
      <c r="B893" s="263"/>
      <c r="C893" s="264"/>
      <c r="D893" s="71"/>
      <c r="E893" s="71"/>
      <c r="F893" s="265"/>
      <c r="G893" s="263"/>
      <c r="H893" s="71"/>
      <c r="I893" s="265"/>
      <c r="J893" s="71"/>
      <c r="K893" s="266"/>
      <c r="L893" s="266"/>
      <c r="M893" s="266"/>
      <c r="N893" s="266"/>
      <c r="O893" s="266"/>
      <c r="P893" s="266"/>
      <c r="Q893" s="267"/>
      <c r="R893" s="71"/>
      <c r="S893" s="71"/>
      <c r="T893" s="222"/>
      <c r="U893" s="71"/>
      <c r="V893" s="71"/>
      <c r="W893" s="71"/>
      <c r="X893" s="71"/>
      <c r="Y893" s="71"/>
      <c r="Z893" s="71"/>
      <c r="AA893" s="71"/>
    </row>
    <row r="894" spans="1:27" ht="15.75" customHeight="1">
      <c r="A894" s="71"/>
      <c r="B894" s="263"/>
      <c r="C894" s="264"/>
      <c r="D894" s="71"/>
      <c r="E894" s="71"/>
      <c r="F894" s="265"/>
      <c r="G894" s="263"/>
      <c r="H894" s="71"/>
      <c r="I894" s="265"/>
      <c r="J894" s="71"/>
      <c r="K894" s="266"/>
      <c r="L894" s="266"/>
      <c r="M894" s="266"/>
      <c r="N894" s="266"/>
      <c r="O894" s="266"/>
      <c r="P894" s="266"/>
      <c r="Q894" s="267"/>
      <c r="R894" s="71"/>
      <c r="S894" s="71"/>
      <c r="T894" s="222"/>
      <c r="U894" s="71"/>
      <c r="V894" s="71"/>
      <c r="W894" s="71"/>
      <c r="X894" s="71"/>
      <c r="Y894" s="71"/>
      <c r="Z894" s="71"/>
      <c r="AA894" s="71"/>
    </row>
    <row r="895" spans="1:27" ht="15.75" customHeight="1">
      <c r="A895" s="71"/>
      <c r="B895" s="263"/>
      <c r="C895" s="264"/>
      <c r="D895" s="71"/>
      <c r="E895" s="71"/>
      <c r="F895" s="265"/>
      <c r="G895" s="263"/>
      <c r="H895" s="71"/>
      <c r="I895" s="265"/>
      <c r="J895" s="71"/>
      <c r="K895" s="266"/>
      <c r="L895" s="266"/>
      <c r="M895" s="266"/>
      <c r="N895" s="266"/>
      <c r="O895" s="266"/>
      <c r="P895" s="266"/>
      <c r="Q895" s="267"/>
      <c r="R895" s="71"/>
      <c r="S895" s="71"/>
      <c r="T895" s="222"/>
      <c r="U895" s="71"/>
      <c r="V895" s="71"/>
      <c r="W895" s="71"/>
      <c r="X895" s="71"/>
      <c r="Y895" s="71"/>
      <c r="Z895" s="71"/>
      <c r="AA895" s="71"/>
    </row>
    <row r="896" spans="1:27" ht="15.75" customHeight="1">
      <c r="A896" s="71"/>
      <c r="B896" s="263"/>
      <c r="C896" s="264"/>
      <c r="D896" s="71"/>
      <c r="E896" s="71"/>
      <c r="F896" s="265"/>
      <c r="G896" s="263"/>
      <c r="H896" s="71"/>
      <c r="I896" s="265"/>
      <c r="J896" s="71"/>
      <c r="K896" s="266"/>
      <c r="L896" s="266"/>
      <c r="M896" s="266"/>
      <c r="N896" s="266"/>
      <c r="O896" s="266"/>
      <c r="P896" s="266"/>
      <c r="Q896" s="267"/>
      <c r="R896" s="71"/>
      <c r="S896" s="71"/>
      <c r="T896" s="222"/>
      <c r="U896" s="71"/>
      <c r="V896" s="71"/>
      <c r="W896" s="71"/>
      <c r="X896" s="71"/>
      <c r="Y896" s="71"/>
      <c r="Z896" s="71"/>
      <c r="AA896" s="71"/>
    </row>
    <row r="897" spans="1:27" ht="15.75" customHeight="1">
      <c r="A897" s="71"/>
      <c r="B897" s="263"/>
      <c r="C897" s="264"/>
      <c r="D897" s="71"/>
      <c r="E897" s="71"/>
      <c r="F897" s="265"/>
      <c r="G897" s="263"/>
      <c r="H897" s="71"/>
      <c r="I897" s="265"/>
      <c r="J897" s="71"/>
      <c r="K897" s="266"/>
      <c r="L897" s="266"/>
      <c r="M897" s="266"/>
      <c r="N897" s="266"/>
      <c r="O897" s="266"/>
      <c r="P897" s="266"/>
      <c r="Q897" s="267"/>
      <c r="R897" s="71"/>
      <c r="S897" s="71"/>
      <c r="T897" s="222"/>
      <c r="U897" s="71"/>
      <c r="V897" s="71"/>
      <c r="W897" s="71"/>
      <c r="X897" s="71"/>
      <c r="Y897" s="71"/>
      <c r="Z897" s="71"/>
      <c r="AA897" s="71"/>
    </row>
    <row r="898" spans="1:27" ht="15.75" customHeight="1">
      <c r="A898" s="71"/>
      <c r="B898" s="263"/>
      <c r="C898" s="264"/>
      <c r="D898" s="71"/>
      <c r="E898" s="71"/>
      <c r="F898" s="265"/>
      <c r="G898" s="263"/>
      <c r="H898" s="71"/>
      <c r="I898" s="265"/>
      <c r="J898" s="71"/>
      <c r="K898" s="266"/>
      <c r="L898" s="266"/>
      <c r="M898" s="266"/>
      <c r="N898" s="266"/>
      <c r="O898" s="266"/>
      <c r="P898" s="266"/>
      <c r="Q898" s="267"/>
      <c r="R898" s="71"/>
      <c r="S898" s="71"/>
      <c r="T898" s="222"/>
      <c r="U898" s="71"/>
      <c r="V898" s="71"/>
      <c r="W898" s="71"/>
      <c r="X898" s="71"/>
      <c r="Y898" s="71"/>
      <c r="Z898" s="71"/>
      <c r="AA898" s="71"/>
    </row>
    <row r="899" spans="1:27" ht="15.75" customHeight="1">
      <c r="A899" s="71"/>
      <c r="B899" s="263"/>
      <c r="C899" s="264"/>
      <c r="D899" s="71"/>
      <c r="E899" s="71"/>
      <c r="F899" s="265"/>
      <c r="G899" s="263"/>
      <c r="H899" s="71"/>
      <c r="I899" s="265"/>
      <c r="J899" s="71"/>
      <c r="K899" s="266"/>
      <c r="L899" s="266"/>
      <c r="M899" s="266"/>
      <c r="N899" s="266"/>
      <c r="O899" s="266"/>
      <c r="P899" s="266"/>
      <c r="Q899" s="267"/>
      <c r="R899" s="71"/>
      <c r="S899" s="71"/>
      <c r="T899" s="222"/>
      <c r="U899" s="71"/>
      <c r="V899" s="71"/>
      <c r="W899" s="71"/>
      <c r="X899" s="71"/>
      <c r="Y899" s="71"/>
      <c r="Z899" s="71"/>
      <c r="AA899" s="71"/>
    </row>
    <row r="900" spans="1:27" ht="15.75" customHeight="1">
      <c r="A900" s="71"/>
      <c r="B900" s="263"/>
      <c r="C900" s="264"/>
      <c r="D900" s="71"/>
      <c r="E900" s="71"/>
      <c r="F900" s="265"/>
      <c r="G900" s="263"/>
      <c r="H900" s="71"/>
      <c r="I900" s="265"/>
      <c r="J900" s="71"/>
      <c r="K900" s="266"/>
      <c r="L900" s="266"/>
      <c r="M900" s="266"/>
      <c r="N900" s="266"/>
      <c r="O900" s="266"/>
      <c r="P900" s="266"/>
      <c r="Q900" s="267"/>
      <c r="R900" s="71"/>
      <c r="S900" s="71"/>
      <c r="T900" s="222"/>
      <c r="U900" s="71"/>
      <c r="V900" s="71"/>
      <c r="W900" s="71"/>
      <c r="X900" s="71"/>
      <c r="Y900" s="71"/>
      <c r="Z900" s="71"/>
      <c r="AA900" s="71"/>
    </row>
    <row r="901" spans="1:27" ht="15.75" customHeight="1">
      <c r="A901" s="71"/>
      <c r="B901" s="263"/>
      <c r="C901" s="264"/>
      <c r="D901" s="71"/>
      <c r="E901" s="71"/>
      <c r="F901" s="265"/>
      <c r="G901" s="263"/>
      <c r="H901" s="71"/>
      <c r="I901" s="265"/>
      <c r="J901" s="71"/>
      <c r="K901" s="266"/>
      <c r="L901" s="266"/>
      <c r="M901" s="266"/>
      <c r="N901" s="266"/>
      <c r="O901" s="266"/>
      <c r="P901" s="266"/>
      <c r="Q901" s="267"/>
      <c r="R901" s="71"/>
      <c r="S901" s="71"/>
      <c r="T901" s="222"/>
      <c r="U901" s="71"/>
      <c r="V901" s="71"/>
      <c r="W901" s="71"/>
      <c r="X901" s="71"/>
      <c r="Y901" s="71"/>
      <c r="Z901" s="71"/>
      <c r="AA901" s="71"/>
    </row>
    <row r="902" spans="1:27" ht="15.75" customHeight="1">
      <c r="A902" s="71"/>
      <c r="B902" s="263"/>
      <c r="C902" s="264"/>
      <c r="D902" s="71"/>
      <c r="E902" s="71"/>
      <c r="F902" s="265"/>
      <c r="G902" s="263"/>
      <c r="H902" s="71"/>
      <c r="I902" s="265"/>
      <c r="J902" s="71"/>
      <c r="K902" s="266"/>
      <c r="L902" s="266"/>
      <c r="M902" s="266"/>
      <c r="N902" s="266"/>
      <c r="O902" s="266"/>
      <c r="P902" s="266"/>
      <c r="Q902" s="267"/>
      <c r="R902" s="71"/>
      <c r="S902" s="71"/>
      <c r="T902" s="222"/>
      <c r="U902" s="71"/>
      <c r="V902" s="71"/>
      <c r="W902" s="71"/>
      <c r="X902" s="71"/>
      <c r="Y902" s="71"/>
      <c r="Z902" s="71"/>
      <c r="AA902" s="71"/>
    </row>
    <row r="903" spans="1:27" ht="15.75" customHeight="1">
      <c r="A903" s="71"/>
      <c r="B903" s="263"/>
      <c r="C903" s="264"/>
      <c r="D903" s="71"/>
      <c r="E903" s="71"/>
      <c r="F903" s="265"/>
      <c r="G903" s="263"/>
      <c r="H903" s="71"/>
      <c r="I903" s="265"/>
      <c r="J903" s="71"/>
      <c r="K903" s="266"/>
      <c r="L903" s="266"/>
      <c r="M903" s="266"/>
      <c r="N903" s="266"/>
      <c r="O903" s="266"/>
      <c r="P903" s="266"/>
      <c r="Q903" s="267"/>
      <c r="R903" s="71"/>
      <c r="S903" s="71"/>
      <c r="T903" s="222"/>
      <c r="U903" s="71"/>
      <c r="V903" s="71"/>
      <c r="W903" s="71"/>
      <c r="X903" s="71"/>
      <c r="Y903" s="71"/>
      <c r="Z903" s="71"/>
      <c r="AA903" s="71"/>
    </row>
    <row r="904" spans="1:27" ht="15.75" customHeight="1">
      <c r="A904" s="71"/>
      <c r="B904" s="263"/>
      <c r="C904" s="264"/>
      <c r="D904" s="71"/>
      <c r="E904" s="71"/>
      <c r="F904" s="265"/>
      <c r="G904" s="263"/>
      <c r="H904" s="71"/>
      <c r="I904" s="265"/>
      <c r="J904" s="71"/>
      <c r="K904" s="266"/>
      <c r="L904" s="266"/>
      <c r="M904" s="266"/>
      <c r="N904" s="266"/>
      <c r="O904" s="266"/>
      <c r="P904" s="266"/>
      <c r="Q904" s="267"/>
      <c r="R904" s="71"/>
      <c r="S904" s="71"/>
      <c r="T904" s="222"/>
      <c r="U904" s="71"/>
      <c r="V904" s="71"/>
      <c r="W904" s="71"/>
      <c r="X904" s="71"/>
      <c r="Y904" s="71"/>
      <c r="Z904" s="71"/>
      <c r="AA904" s="71"/>
    </row>
    <row r="905" spans="1:27" ht="15.75" customHeight="1">
      <c r="A905" s="71"/>
      <c r="B905" s="263"/>
      <c r="C905" s="264"/>
      <c r="D905" s="71"/>
      <c r="E905" s="71"/>
      <c r="F905" s="265"/>
      <c r="G905" s="263"/>
      <c r="H905" s="71"/>
      <c r="I905" s="265"/>
      <c r="J905" s="71"/>
      <c r="K905" s="266"/>
      <c r="L905" s="266"/>
      <c r="M905" s="266"/>
      <c r="N905" s="266"/>
      <c r="O905" s="266"/>
      <c r="P905" s="266"/>
      <c r="Q905" s="267"/>
      <c r="R905" s="71"/>
      <c r="S905" s="71"/>
      <c r="T905" s="222"/>
      <c r="U905" s="71"/>
      <c r="V905" s="71"/>
      <c r="W905" s="71"/>
      <c r="X905" s="71"/>
      <c r="Y905" s="71"/>
      <c r="Z905" s="71"/>
      <c r="AA905" s="71"/>
    </row>
    <row r="906" spans="1:27" ht="15.75" customHeight="1">
      <c r="A906" s="71"/>
      <c r="B906" s="263"/>
      <c r="C906" s="264"/>
      <c r="D906" s="71"/>
      <c r="E906" s="71"/>
      <c r="F906" s="265"/>
      <c r="G906" s="263"/>
      <c r="H906" s="71"/>
      <c r="I906" s="265"/>
      <c r="J906" s="71"/>
      <c r="K906" s="266"/>
      <c r="L906" s="266"/>
      <c r="M906" s="266"/>
      <c r="N906" s="266"/>
      <c r="O906" s="266"/>
      <c r="P906" s="266"/>
      <c r="Q906" s="267"/>
      <c r="R906" s="71"/>
      <c r="S906" s="71"/>
      <c r="T906" s="222"/>
      <c r="U906" s="71"/>
      <c r="V906" s="71"/>
      <c r="W906" s="71"/>
      <c r="X906" s="71"/>
      <c r="Y906" s="71"/>
      <c r="Z906" s="71"/>
      <c r="AA906" s="71"/>
    </row>
    <row r="907" spans="1:27" ht="15.75" customHeight="1">
      <c r="A907" s="71"/>
      <c r="B907" s="263"/>
      <c r="C907" s="264"/>
      <c r="D907" s="71"/>
      <c r="E907" s="71"/>
      <c r="F907" s="265"/>
      <c r="G907" s="263"/>
      <c r="H907" s="71"/>
      <c r="I907" s="265"/>
      <c r="J907" s="71"/>
      <c r="K907" s="266"/>
      <c r="L907" s="266"/>
      <c r="M907" s="266"/>
      <c r="N907" s="266"/>
      <c r="O907" s="266"/>
      <c r="P907" s="266"/>
      <c r="Q907" s="267"/>
      <c r="R907" s="71"/>
      <c r="S907" s="71"/>
      <c r="T907" s="222"/>
      <c r="U907" s="71"/>
      <c r="V907" s="71"/>
      <c r="W907" s="71"/>
      <c r="X907" s="71"/>
      <c r="Y907" s="71"/>
      <c r="Z907" s="71"/>
      <c r="AA907" s="71"/>
    </row>
    <row r="908" spans="1:27" ht="15.75" customHeight="1">
      <c r="A908" s="71"/>
      <c r="B908" s="263"/>
      <c r="C908" s="264"/>
      <c r="D908" s="71"/>
      <c r="E908" s="71"/>
      <c r="F908" s="265"/>
      <c r="G908" s="263"/>
      <c r="H908" s="71"/>
      <c r="I908" s="265"/>
      <c r="J908" s="71"/>
      <c r="K908" s="266"/>
      <c r="L908" s="266"/>
      <c r="M908" s="266"/>
      <c r="N908" s="266"/>
      <c r="O908" s="266"/>
      <c r="P908" s="266"/>
      <c r="Q908" s="267"/>
      <c r="R908" s="71"/>
      <c r="S908" s="71"/>
      <c r="T908" s="222"/>
      <c r="U908" s="71"/>
      <c r="V908" s="71"/>
      <c r="W908" s="71"/>
      <c r="X908" s="71"/>
      <c r="Y908" s="71"/>
      <c r="Z908" s="71"/>
      <c r="AA908" s="71"/>
    </row>
    <row r="909" spans="1:27" ht="15.75" customHeight="1">
      <c r="A909" s="71"/>
      <c r="B909" s="263"/>
      <c r="C909" s="264"/>
      <c r="D909" s="71"/>
      <c r="E909" s="71"/>
      <c r="F909" s="265"/>
      <c r="G909" s="263"/>
      <c r="H909" s="71"/>
      <c r="I909" s="265"/>
      <c r="J909" s="71"/>
      <c r="K909" s="266"/>
      <c r="L909" s="266"/>
      <c r="M909" s="266"/>
      <c r="N909" s="266"/>
      <c r="O909" s="266"/>
      <c r="P909" s="266"/>
      <c r="Q909" s="267"/>
      <c r="R909" s="71"/>
      <c r="S909" s="71"/>
      <c r="T909" s="222"/>
      <c r="U909" s="71"/>
      <c r="V909" s="71"/>
      <c r="W909" s="71"/>
      <c r="X909" s="71"/>
      <c r="Y909" s="71"/>
      <c r="Z909" s="71"/>
      <c r="AA909" s="71"/>
    </row>
    <row r="910" spans="1:27" ht="15.75" customHeight="1">
      <c r="A910" s="71"/>
      <c r="B910" s="263"/>
      <c r="C910" s="264"/>
      <c r="D910" s="71"/>
      <c r="E910" s="71"/>
      <c r="F910" s="265"/>
      <c r="G910" s="263"/>
      <c r="H910" s="71"/>
      <c r="I910" s="265"/>
      <c r="J910" s="71"/>
      <c r="K910" s="266"/>
      <c r="L910" s="266"/>
      <c r="M910" s="266"/>
      <c r="N910" s="266"/>
      <c r="O910" s="266"/>
      <c r="P910" s="266"/>
      <c r="Q910" s="267"/>
      <c r="R910" s="71"/>
      <c r="S910" s="71"/>
      <c r="T910" s="222"/>
      <c r="U910" s="71"/>
      <c r="V910" s="71"/>
      <c r="W910" s="71"/>
      <c r="X910" s="71"/>
      <c r="Y910" s="71"/>
      <c r="Z910" s="71"/>
      <c r="AA910" s="71"/>
    </row>
    <row r="911" spans="1:27" ht="15.75" customHeight="1">
      <c r="A911" s="71"/>
      <c r="B911" s="263"/>
      <c r="C911" s="264"/>
      <c r="D911" s="71"/>
      <c r="E911" s="71"/>
      <c r="F911" s="265"/>
      <c r="G911" s="263"/>
      <c r="H911" s="71"/>
      <c r="I911" s="265"/>
      <c r="J911" s="71"/>
      <c r="K911" s="266"/>
      <c r="L911" s="266"/>
      <c r="M911" s="266"/>
      <c r="N911" s="266"/>
      <c r="O911" s="266"/>
      <c r="P911" s="266"/>
      <c r="Q911" s="267"/>
      <c r="R911" s="71"/>
      <c r="S911" s="71"/>
      <c r="T911" s="222"/>
      <c r="U911" s="71"/>
      <c r="V911" s="71"/>
      <c r="W911" s="71"/>
      <c r="X911" s="71"/>
      <c r="Y911" s="71"/>
      <c r="Z911" s="71"/>
      <c r="AA911" s="71"/>
    </row>
    <row r="912" spans="1:27" ht="15.75" customHeight="1">
      <c r="A912" s="71"/>
      <c r="B912" s="263"/>
      <c r="C912" s="264"/>
      <c r="D912" s="71"/>
      <c r="E912" s="71"/>
      <c r="F912" s="265"/>
      <c r="G912" s="263"/>
      <c r="H912" s="71"/>
      <c r="I912" s="265"/>
      <c r="J912" s="71"/>
      <c r="K912" s="266"/>
      <c r="L912" s="266"/>
      <c r="M912" s="266"/>
      <c r="N912" s="266"/>
      <c r="O912" s="266"/>
      <c r="P912" s="266"/>
      <c r="Q912" s="267"/>
      <c r="R912" s="71"/>
      <c r="S912" s="71"/>
      <c r="T912" s="222"/>
      <c r="U912" s="71"/>
      <c r="V912" s="71"/>
      <c r="W912" s="71"/>
      <c r="X912" s="71"/>
      <c r="Y912" s="71"/>
      <c r="Z912" s="71"/>
      <c r="AA912" s="71"/>
    </row>
    <row r="913" spans="1:27" ht="15.75" customHeight="1">
      <c r="A913" s="71"/>
      <c r="B913" s="263"/>
      <c r="C913" s="264"/>
      <c r="D913" s="71"/>
      <c r="E913" s="71"/>
      <c r="F913" s="265"/>
      <c r="G913" s="263"/>
      <c r="H913" s="71"/>
      <c r="I913" s="265"/>
      <c r="J913" s="71"/>
      <c r="K913" s="266"/>
      <c r="L913" s="266"/>
      <c r="M913" s="266"/>
      <c r="N913" s="266"/>
      <c r="O913" s="266"/>
      <c r="P913" s="266"/>
      <c r="Q913" s="267"/>
      <c r="R913" s="71"/>
      <c r="S913" s="71"/>
      <c r="T913" s="222"/>
      <c r="U913" s="71"/>
      <c r="V913" s="71"/>
      <c r="W913" s="71"/>
      <c r="X913" s="71"/>
      <c r="Y913" s="71"/>
      <c r="Z913" s="71"/>
      <c r="AA913" s="71"/>
    </row>
    <row r="914" spans="1:27" ht="15.75" customHeight="1">
      <c r="A914" s="71"/>
      <c r="B914" s="263"/>
      <c r="C914" s="264"/>
      <c r="D914" s="71"/>
      <c r="E914" s="71"/>
      <c r="F914" s="265"/>
      <c r="G914" s="263"/>
      <c r="H914" s="71"/>
      <c r="I914" s="265"/>
      <c r="J914" s="71"/>
      <c r="K914" s="266"/>
      <c r="L914" s="266"/>
      <c r="M914" s="266"/>
      <c r="N914" s="266"/>
      <c r="O914" s="266"/>
      <c r="P914" s="266"/>
      <c r="Q914" s="267"/>
      <c r="R914" s="71"/>
      <c r="S914" s="71"/>
      <c r="T914" s="222"/>
      <c r="U914" s="71"/>
      <c r="V914" s="71"/>
      <c r="W914" s="71"/>
      <c r="X914" s="71"/>
      <c r="Y914" s="71"/>
      <c r="Z914" s="71"/>
      <c r="AA914" s="71"/>
    </row>
    <row r="915" spans="1:27" ht="15.75" customHeight="1">
      <c r="A915" s="71"/>
      <c r="B915" s="263"/>
      <c r="C915" s="264"/>
      <c r="D915" s="71"/>
      <c r="E915" s="71"/>
      <c r="F915" s="265"/>
      <c r="G915" s="263"/>
      <c r="H915" s="71"/>
      <c r="I915" s="265"/>
      <c r="J915" s="71"/>
      <c r="K915" s="266"/>
      <c r="L915" s="266"/>
      <c r="M915" s="266"/>
      <c r="N915" s="266"/>
      <c r="O915" s="266"/>
      <c r="P915" s="266"/>
      <c r="Q915" s="267"/>
      <c r="R915" s="71"/>
      <c r="S915" s="71"/>
      <c r="T915" s="222"/>
      <c r="U915" s="71"/>
      <c r="V915" s="71"/>
      <c r="W915" s="71"/>
      <c r="X915" s="71"/>
      <c r="Y915" s="71"/>
      <c r="Z915" s="71"/>
      <c r="AA915" s="71"/>
    </row>
    <row r="916" spans="1:27" ht="15.75" customHeight="1">
      <c r="A916" s="71"/>
      <c r="B916" s="263"/>
      <c r="C916" s="264"/>
      <c r="D916" s="71"/>
      <c r="E916" s="71"/>
      <c r="F916" s="265"/>
      <c r="G916" s="263"/>
      <c r="H916" s="71"/>
      <c r="I916" s="265"/>
      <c r="J916" s="71"/>
      <c r="K916" s="266"/>
      <c r="L916" s="266"/>
      <c r="M916" s="266"/>
      <c r="N916" s="266"/>
      <c r="O916" s="266"/>
      <c r="P916" s="266"/>
      <c r="Q916" s="267"/>
      <c r="R916" s="71"/>
      <c r="S916" s="71"/>
      <c r="T916" s="222"/>
      <c r="U916" s="71"/>
      <c r="V916" s="71"/>
      <c r="W916" s="71"/>
      <c r="X916" s="71"/>
      <c r="Y916" s="71"/>
      <c r="Z916" s="71"/>
      <c r="AA916" s="71"/>
    </row>
    <row r="917" spans="1:27" ht="15.75" customHeight="1">
      <c r="A917" s="71"/>
      <c r="B917" s="263"/>
      <c r="C917" s="264"/>
      <c r="D917" s="71"/>
      <c r="E917" s="71"/>
      <c r="F917" s="265"/>
      <c r="G917" s="263"/>
      <c r="H917" s="71"/>
      <c r="I917" s="265"/>
      <c r="J917" s="71"/>
      <c r="K917" s="266"/>
      <c r="L917" s="266"/>
      <c r="M917" s="266"/>
      <c r="N917" s="266"/>
      <c r="O917" s="266"/>
      <c r="P917" s="266"/>
      <c r="Q917" s="267"/>
      <c r="R917" s="71"/>
      <c r="S917" s="71"/>
      <c r="T917" s="222"/>
      <c r="U917" s="71"/>
      <c r="V917" s="71"/>
      <c r="W917" s="71"/>
      <c r="X917" s="71"/>
      <c r="Y917" s="71"/>
      <c r="Z917" s="71"/>
      <c r="AA917" s="71"/>
    </row>
    <row r="918" spans="1:27" ht="15.75" customHeight="1">
      <c r="A918" s="71"/>
      <c r="B918" s="263"/>
      <c r="C918" s="264"/>
      <c r="D918" s="71"/>
      <c r="E918" s="71"/>
      <c r="F918" s="265"/>
      <c r="G918" s="263"/>
      <c r="H918" s="71"/>
      <c r="I918" s="265"/>
      <c r="J918" s="71"/>
      <c r="K918" s="266"/>
      <c r="L918" s="266"/>
      <c r="M918" s="266"/>
      <c r="N918" s="266"/>
      <c r="O918" s="266"/>
      <c r="P918" s="266"/>
      <c r="Q918" s="267"/>
      <c r="R918" s="71"/>
      <c r="S918" s="71"/>
      <c r="T918" s="222"/>
      <c r="U918" s="71"/>
      <c r="V918" s="71"/>
      <c r="W918" s="71"/>
      <c r="X918" s="71"/>
      <c r="Y918" s="71"/>
      <c r="Z918" s="71"/>
      <c r="AA918" s="71"/>
    </row>
    <row r="919" spans="1:27" ht="15.75" customHeight="1">
      <c r="A919" s="71"/>
      <c r="B919" s="263"/>
      <c r="C919" s="264"/>
      <c r="D919" s="71"/>
      <c r="E919" s="71"/>
      <c r="F919" s="265"/>
      <c r="G919" s="263"/>
      <c r="H919" s="71"/>
      <c r="I919" s="265"/>
      <c r="J919" s="71"/>
      <c r="K919" s="266"/>
      <c r="L919" s="266"/>
      <c r="M919" s="266"/>
      <c r="N919" s="266"/>
      <c r="O919" s="266"/>
      <c r="P919" s="266"/>
      <c r="Q919" s="267"/>
      <c r="R919" s="71"/>
      <c r="S919" s="71"/>
      <c r="T919" s="222"/>
      <c r="U919" s="71"/>
      <c r="V919" s="71"/>
      <c r="W919" s="71"/>
      <c r="X919" s="71"/>
      <c r="Y919" s="71"/>
      <c r="Z919" s="71"/>
      <c r="AA919" s="71"/>
    </row>
    <row r="920" spans="1:27" ht="15.75" customHeight="1">
      <c r="A920" s="71"/>
      <c r="B920" s="263"/>
      <c r="C920" s="264"/>
      <c r="D920" s="71"/>
      <c r="E920" s="71"/>
      <c r="F920" s="265"/>
      <c r="G920" s="263"/>
      <c r="H920" s="71"/>
      <c r="I920" s="265"/>
      <c r="J920" s="71"/>
      <c r="K920" s="266"/>
      <c r="L920" s="266"/>
      <c r="M920" s="266"/>
      <c r="N920" s="266"/>
      <c r="O920" s="266"/>
      <c r="P920" s="266"/>
      <c r="Q920" s="267"/>
      <c r="R920" s="71"/>
      <c r="S920" s="71"/>
      <c r="T920" s="222"/>
      <c r="U920" s="71"/>
      <c r="V920" s="71"/>
      <c r="W920" s="71"/>
      <c r="X920" s="71"/>
      <c r="Y920" s="71"/>
      <c r="Z920" s="71"/>
      <c r="AA920" s="71"/>
    </row>
    <row r="921" spans="1:27" ht="15.75" customHeight="1">
      <c r="A921" s="71"/>
      <c r="B921" s="263"/>
      <c r="C921" s="264"/>
      <c r="D921" s="71"/>
      <c r="E921" s="71"/>
      <c r="F921" s="265"/>
      <c r="G921" s="263"/>
      <c r="H921" s="71"/>
      <c r="I921" s="265"/>
      <c r="J921" s="71"/>
      <c r="K921" s="266"/>
      <c r="L921" s="266"/>
      <c r="M921" s="266"/>
      <c r="N921" s="266"/>
      <c r="O921" s="266"/>
      <c r="P921" s="266"/>
      <c r="Q921" s="267"/>
      <c r="R921" s="71"/>
      <c r="S921" s="71"/>
      <c r="T921" s="222"/>
      <c r="U921" s="71"/>
      <c r="V921" s="71"/>
      <c r="W921" s="71"/>
      <c r="X921" s="71"/>
      <c r="Y921" s="71"/>
      <c r="Z921" s="71"/>
      <c r="AA921" s="71"/>
    </row>
    <row r="922" spans="1:27" ht="15.75" customHeight="1">
      <c r="A922" s="71"/>
      <c r="B922" s="263"/>
      <c r="C922" s="264"/>
      <c r="D922" s="71"/>
      <c r="E922" s="71"/>
      <c r="F922" s="265"/>
      <c r="G922" s="263"/>
      <c r="H922" s="71"/>
      <c r="I922" s="265"/>
      <c r="J922" s="71"/>
      <c r="K922" s="266"/>
      <c r="L922" s="266"/>
      <c r="M922" s="266"/>
      <c r="N922" s="266"/>
      <c r="O922" s="266"/>
      <c r="P922" s="266"/>
      <c r="Q922" s="267"/>
      <c r="R922" s="71"/>
      <c r="S922" s="71"/>
      <c r="T922" s="222"/>
      <c r="U922" s="71"/>
      <c r="V922" s="71"/>
      <c r="W922" s="71"/>
      <c r="X922" s="71"/>
      <c r="Y922" s="71"/>
      <c r="Z922" s="71"/>
      <c r="AA922" s="71"/>
    </row>
    <row r="923" spans="1:27" ht="15.75" customHeight="1">
      <c r="A923" s="71"/>
      <c r="B923" s="263"/>
      <c r="C923" s="264"/>
      <c r="D923" s="71"/>
      <c r="E923" s="71"/>
      <c r="F923" s="265"/>
      <c r="G923" s="263"/>
      <c r="H923" s="71"/>
      <c r="I923" s="265"/>
      <c r="J923" s="71"/>
      <c r="K923" s="266"/>
      <c r="L923" s="266"/>
      <c r="M923" s="266"/>
      <c r="N923" s="266"/>
      <c r="O923" s="266"/>
      <c r="P923" s="266"/>
      <c r="Q923" s="267"/>
      <c r="R923" s="71"/>
      <c r="S923" s="71"/>
      <c r="T923" s="222"/>
      <c r="U923" s="71"/>
      <c r="V923" s="71"/>
      <c r="W923" s="71"/>
      <c r="X923" s="71"/>
      <c r="Y923" s="71"/>
      <c r="Z923" s="71"/>
      <c r="AA923" s="71"/>
    </row>
    <row r="924" spans="1:27" ht="15.75" customHeight="1">
      <c r="A924" s="71"/>
      <c r="B924" s="263"/>
      <c r="C924" s="264"/>
      <c r="D924" s="71"/>
      <c r="E924" s="71"/>
      <c r="F924" s="265"/>
      <c r="G924" s="263"/>
      <c r="H924" s="71"/>
      <c r="I924" s="265"/>
      <c r="J924" s="71"/>
      <c r="K924" s="266"/>
      <c r="L924" s="266"/>
      <c r="M924" s="266"/>
      <c r="N924" s="266"/>
      <c r="O924" s="266"/>
      <c r="P924" s="266"/>
      <c r="Q924" s="267"/>
      <c r="R924" s="71"/>
      <c r="S924" s="71"/>
      <c r="T924" s="222"/>
      <c r="U924" s="71"/>
      <c r="V924" s="71"/>
      <c r="W924" s="71"/>
      <c r="X924" s="71"/>
      <c r="Y924" s="71"/>
      <c r="Z924" s="71"/>
      <c r="AA924" s="71"/>
    </row>
    <row r="925" spans="1:27" ht="15.75" customHeight="1">
      <c r="A925" s="71"/>
      <c r="B925" s="263"/>
      <c r="C925" s="264"/>
      <c r="D925" s="71"/>
      <c r="E925" s="71"/>
      <c r="F925" s="265"/>
      <c r="G925" s="263"/>
      <c r="H925" s="71"/>
      <c r="I925" s="265"/>
      <c r="J925" s="71"/>
      <c r="K925" s="266"/>
      <c r="L925" s="266"/>
      <c r="M925" s="266"/>
      <c r="N925" s="266"/>
      <c r="O925" s="266"/>
      <c r="P925" s="266"/>
      <c r="Q925" s="267"/>
      <c r="R925" s="71"/>
      <c r="S925" s="71"/>
      <c r="T925" s="222"/>
      <c r="U925" s="71"/>
      <c r="V925" s="71"/>
      <c r="W925" s="71"/>
      <c r="X925" s="71"/>
      <c r="Y925" s="71"/>
      <c r="Z925" s="71"/>
      <c r="AA925" s="71"/>
    </row>
    <row r="926" spans="1:27" ht="15.75" customHeight="1">
      <c r="A926" s="71"/>
      <c r="B926" s="263"/>
      <c r="C926" s="264"/>
      <c r="D926" s="71"/>
      <c r="E926" s="71"/>
      <c r="F926" s="265"/>
      <c r="G926" s="263"/>
      <c r="H926" s="71"/>
      <c r="I926" s="265"/>
      <c r="J926" s="71"/>
      <c r="K926" s="266"/>
      <c r="L926" s="266"/>
      <c r="M926" s="266"/>
      <c r="N926" s="266"/>
      <c r="O926" s="266"/>
      <c r="P926" s="266"/>
      <c r="Q926" s="267"/>
      <c r="R926" s="71"/>
      <c r="S926" s="71"/>
      <c r="T926" s="222"/>
      <c r="U926" s="71"/>
      <c r="V926" s="71"/>
      <c r="W926" s="71"/>
      <c r="X926" s="71"/>
      <c r="Y926" s="71"/>
      <c r="Z926" s="71"/>
      <c r="AA926" s="71"/>
    </row>
    <row r="927" spans="1:27" ht="15.75" customHeight="1">
      <c r="A927" s="71"/>
      <c r="B927" s="263"/>
      <c r="C927" s="264"/>
      <c r="D927" s="71"/>
      <c r="E927" s="71"/>
      <c r="F927" s="265"/>
      <c r="G927" s="263"/>
      <c r="H927" s="71"/>
      <c r="I927" s="265"/>
      <c r="J927" s="71"/>
      <c r="K927" s="266"/>
      <c r="L927" s="266"/>
      <c r="M927" s="266"/>
      <c r="N927" s="266"/>
      <c r="O927" s="266"/>
      <c r="P927" s="266"/>
      <c r="Q927" s="267"/>
      <c r="R927" s="71"/>
      <c r="S927" s="71"/>
      <c r="T927" s="222"/>
      <c r="U927" s="71"/>
      <c r="V927" s="71"/>
      <c r="W927" s="71"/>
      <c r="X927" s="71"/>
      <c r="Y927" s="71"/>
      <c r="Z927" s="71"/>
      <c r="AA927" s="71"/>
    </row>
    <row r="928" spans="1:27" ht="15.75" customHeight="1">
      <c r="A928" s="71"/>
      <c r="B928" s="263"/>
      <c r="C928" s="264"/>
      <c r="D928" s="71"/>
      <c r="E928" s="71"/>
      <c r="F928" s="265"/>
      <c r="G928" s="263"/>
      <c r="H928" s="71"/>
      <c r="I928" s="265"/>
      <c r="J928" s="71"/>
      <c r="K928" s="266"/>
      <c r="L928" s="266"/>
      <c r="M928" s="266"/>
      <c r="N928" s="266"/>
      <c r="O928" s="266"/>
      <c r="P928" s="266"/>
      <c r="Q928" s="267"/>
      <c r="R928" s="71"/>
      <c r="S928" s="71"/>
      <c r="T928" s="222"/>
      <c r="U928" s="71"/>
      <c r="V928" s="71"/>
      <c r="W928" s="71"/>
      <c r="X928" s="71"/>
      <c r="Y928" s="71"/>
      <c r="Z928" s="71"/>
      <c r="AA928" s="71"/>
    </row>
    <row r="929" spans="1:27" ht="15.75" customHeight="1">
      <c r="A929" s="71"/>
      <c r="B929" s="263"/>
      <c r="C929" s="264"/>
      <c r="D929" s="71"/>
      <c r="E929" s="71"/>
      <c r="F929" s="265"/>
      <c r="G929" s="263"/>
      <c r="H929" s="71"/>
      <c r="I929" s="265"/>
      <c r="J929" s="71"/>
      <c r="K929" s="266"/>
      <c r="L929" s="266"/>
      <c r="M929" s="266"/>
      <c r="N929" s="266"/>
      <c r="O929" s="266"/>
      <c r="P929" s="266"/>
      <c r="Q929" s="267"/>
      <c r="R929" s="71"/>
      <c r="S929" s="71"/>
      <c r="T929" s="222"/>
      <c r="U929" s="71"/>
      <c r="V929" s="71"/>
      <c r="W929" s="71"/>
      <c r="X929" s="71"/>
      <c r="Y929" s="71"/>
      <c r="Z929" s="71"/>
      <c r="AA929" s="71"/>
    </row>
    <row r="930" spans="1:27" ht="15.75" customHeight="1">
      <c r="A930" s="71"/>
      <c r="B930" s="263"/>
      <c r="C930" s="264"/>
      <c r="D930" s="71"/>
      <c r="E930" s="71"/>
      <c r="F930" s="265"/>
      <c r="G930" s="263"/>
      <c r="H930" s="71"/>
      <c r="I930" s="265"/>
      <c r="J930" s="71"/>
      <c r="K930" s="266"/>
      <c r="L930" s="266"/>
      <c r="M930" s="266"/>
      <c r="N930" s="266"/>
      <c r="O930" s="266"/>
      <c r="P930" s="266"/>
      <c r="Q930" s="267"/>
      <c r="R930" s="71"/>
      <c r="S930" s="71"/>
      <c r="T930" s="222"/>
      <c r="U930" s="71"/>
      <c r="V930" s="71"/>
      <c r="W930" s="71"/>
      <c r="X930" s="71"/>
      <c r="Y930" s="71"/>
      <c r="Z930" s="71"/>
      <c r="AA930" s="71"/>
    </row>
    <row r="931" spans="1:27" ht="15.75" customHeight="1">
      <c r="A931" s="71"/>
      <c r="B931" s="263"/>
      <c r="C931" s="264"/>
      <c r="D931" s="71"/>
      <c r="E931" s="71"/>
      <c r="F931" s="265"/>
      <c r="G931" s="263"/>
      <c r="H931" s="71"/>
      <c r="I931" s="265"/>
      <c r="J931" s="71"/>
      <c r="K931" s="266"/>
      <c r="L931" s="266"/>
      <c r="M931" s="266"/>
      <c r="N931" s="266"/>
      <c r="O931" s="266"/>
      <c r="P931" s="266"/>
      <c r="Q931" s="267"/>
      <c r="R931" s="71"/>
      <c r="S931" s="71"/>
      <c r="T931" s="222"/>
      <c r="U931" s="71"/>
      <c r="V931" s="71"/>
      <c r="W931" s="71"/>
      <c r="X931" s="71"/>
      <c r="Y931" s="71"/>
      <c r="Z931" s="71"/>
      <c r="AA931" s="71"/>
    </row>
    <row r="932" spans="1:27" ht="15.75" customHeight="1">
      <c r="A932" s="71"/>
      <c r="B932" s="263"/>
      <c r="C932" s="264"/>
      <c r="D932" s="71"/>
      <c r="E932" s="71"/>
      <c r="F932" s="265"/>
      <c r="G932" s="263"/>
      <c r="H932" s="71"/>
      <c r="I932" s="265"/>
      <c r="J932" s="71"/>
      <c r="K932" s="266"/>
      <c r="L932" s="266"/>
      <c r="M932" s="266"/>
      <c r="N932" s="266"/>
      <c r="O932" s="266"/>
      <c r="P932" s="266"/>
      <c r="Q932" s="267"/>
      <c r="R932" s="71"/>
      <c r="S932" s="71"/>
      <c r="T932" s="222"/>
      <c r="U932" s="71"/>
      <c r="V932" s="71"/>
      <c r="W932" s="71"/>
      <c r="X932" s="71"/>
      <c r="Y932" s="71"/>
      <c r="Z932" s="71"/>
      <c r="AA932" s="71"/>
    </row>
    <row r="933" spans="1:27" ht="15.75" customHeight="1">
      <c r="A933" s="71"/>
      <c r="B933" s="263"/>
      <c r="C933" s="264"/>
      <c r="D933" s="71"/>
      <c r="E933" s="71"/>
      <c r="F933" s="265"/>
      <c r="G933" s="263"/>
      <c r="H933" s="71"/>
      <c r="I933" s="265"/>
      <c r="J933" s="71"/>
      <c r="K933" s="266"/>
      <c r="L933" s="266"/>
      <c r="M933" s="266"/>
      <c r="N933" s="266"/>
      <c r="O933" s="266"/>
      <c r="P933" s="266"/>
      <c r="Q933" s="267"/>
      <c r="R933" s="71"/>
      <c r="S933" s="71"/>
      <c r="T933" s="222"/>
      <c r="U933" s="71"/>
      <c r="V933" s="71"/>
      <c r="W933" s="71"/>
      <c r="X933" s="71"/>
      <c r="Y933" s="71"/>
      <c r="Z933" s="71"/>
      <c r="AA933" s="71"/>
    </row>
    <row r="934" spans="1:27" ht="15.75" customHeight="1">
      <c r="A934" s="71"/>
      <c r="B934" s="263"/>
      <c r="C934" s="264"/>
      <c r="D934" s="71"/>
      <c r="E934" s="71"/>
      <c r="F934" s="265"/>
      <c r="G934" s="263"/>
      <c r="H934" s="71"/>
      <c r="I934" s="265"/>
      <c r="J934" s="71"/>
      <c r="K934" s="266"/>
      <c r="L934" s="266"/>
      <c r="M934" s="266"/>
      <c r="N934" s="266"/>
      <c r="O934" s="266"/>
      <c r="P934" s="266"/>
      <c r="Q934" s="267"/>
      <c r="R934" s="71"/>
      <c r="S934" s="71"/>
      <c r="T934" s="222"/>
      <c r="U934" s="71"/>
      <c r="V934" s="71"/>
      <c r="W934" s="71"/>
      <c r="X934" s="71"/>
      <c r="Y934" s="71"/>
      <c r="Z934" s="71"/>
      <c r="AA934" s="71"/>
    </row>
    <row r="935" spans="1:27" ht="15.75" customHeight="1">
      <c r="A935" s="71"/>
      <c r="B935" s="263"/>
      <c r="C935" s="264"/>
      <c r="D935" s="71"/>
      <c r="E935" s="71"/>
      <c r="F935" s="265"/>
      <c r="G935" s="263"/>
      <c r="H935" s="71"/>
      <c r="I935" s="265"/>
      <c r="J935" s="71"/>
      <c r="K935" s="266"/>
      <c r="L935" s="266"/>
      <c r="M935" s="266"/>
      <c r="N935" s="266"/>
      <c r="O935" s="266"/>
      <c r="P935" s="266"/>
      <c r="Q935" s="267"/>
      <c r="R935" s="71"/>
      <c r="S935" s="71"/>
      <c r="T935" s="222"/>
      <c r="U935" s="71"/>
      <c r="V935" s="71"/>
      <c r="W935" s="71"/>
      <c r="X935" s="71"/>
      <c r="Y935" s="71"/>
      <c r="Z935" s="71"/>
      <c r="AA935" s="71"/>
    </row>
    <row r="936" spans="1:27" ht="15.75" customHeight="1">
      <c r="A936" s="71"/>
      <c r="B936" s="263"/>
      <c r="C936" s="264"/>
      <c r="D936" s="71"/>
      <c r="E936" s="71"/>
      <c r="F936" s="265"/>
      <c r="G936" s="263"/>
      <c r="H936" s="71"/>
      <c r="I936" s="265"/>
      <c r="J936" s="71"/>
      <c r="K936" s="266"/>
      <c r="L936" s="266"/>
      <c r="M936" s="266"/>
      <c r="N936" s="266"/>
      <c r="O936" s="266"/>
      <c r="P936" s="266"/>
      <c r="Q936" s="267"/>
      <c r="R936" s="71"/>
      <c r="S936" s="71"/>
      <c r="T936" s="222"/>
      <c r="U936" s="71"/>
      <c r="V936" s="71"/>
      <c r="W936" s="71"/>
      <c r="X936" s="71"/>
      <c r="Y936" s="71"/>
      <c r="Z936" s="71"/>
      <c r="AA936" s="71"/>
    </row>
    <row r="937" spans="1:27" ht="15.75" customHeight="1">
      <c r="A937" s="71"/>
      <c r="B937" s="263"/>
      <c r="C937" s="264"/>
      <c r="D937" s="71"/>
      <c r="E937" s="71"/>
      <c r="F937" s="265"/>
      <c r="G937" s="263"/>
      <c r="H937" s="71"/>
      <c r="I937" s="265"/>
      <c r="J937" s="71"/>
      <c r="K937" s="266"/>
      <c r="L937" s="266"/>
      <c r="M937" s="266"/>
      <c r="N937" s="266"/>
      <c r="O937" s="266"/>
      <c r="P937" s="266"/>
      <c r="Q937" s="267"/>
      <c r="R937" s="71"/>
      <c r="S937" s="71"/>
      <c r="T937" s="222"/>
      <c r="U937" s="71"/>
      <c r="V937" s="71"/>
      <c r="W937" s="71"/>
      <c r="X937" s="71"/>
      <c r="Y937" s="71"/>
      <c r="Z937" s="71"/>
      <c r="AA937" s="71"/>
    </row>
    <row r="938" spans="1:27" ht="15.75" customHeight="1">
      <c r="A938" s="71"/>
      <c r="B938" s="263"/>
      <c r="C938" s="264"/>
      <c r="D938" s="71"/>
      <c r="E938" s="71"/>
      <c r="F938" s="265"/>
      <c r="G938" s="263"/>
      <c r="H938" s="71"/>
      <c r="I938" s="265"/>
      <c r="J938" s="71"/>
      <c r="K938" s="266"/>
      <c r="L938" s="266"/>
      <c r="M938" s="266"/>
      <c r="N938" s="266"/>
      <c r="O938" s="266"/>
      <c r="P938" s="266"/>
      <c r="Q938" s="267"/>
      <c r="R938" s="71"/>
      <c r="S938" s="71"/>
      <c r="T938" s="222"/>
      <c r="U938" s="71"/>
      <c r="V938" s="71"/>
      <c r="W938" s="71"/>
      <c r="X938" s="71"/>
      <c r="Y938" s="71"/>
      <c r="Z938" s="71"/>
      <c r="AA938" s="71"/>
    </row>
    <row r="939" spans="1:27" ht="15.75" customHeight="1">
      <c r="A939" s="71"/>
      <c r="B939" s="263"/>
      <c r="C939" s="264"/>
      <c r="D939" s="71"/>
      <c r="E939" s="71"/>
      <c r="F939" s="265"/>
      <c r="G939" s="263"/>
      <c r="H939" s="71"/>
      <c r="I939" s="265"/>
      <c r="J939" s="71"/>
      <c r="K939" s="266"/>
      <c r="L939" s="266"/>
      <c r="M939" s="266"/>
      <c r="N939" s="266"/>
      <c r="O939" s="266"/>
      <c r="P939" s="266"/>
      <c r="Q939" s="267"/>
      <c r="R939" s="71"/>
      <c r="S939" s="71"/>
      <c r="T939" s="222"/>
      <c r="U939" s="71"/>
      <c r="V939" s="71"/>
      <c r="W939" s="71"/>
      <c r="X939" s="71"/>
      <c r="Y939" s="71"/>
      <c r="Z939" s="71"/>
      <c r="AA939" s="71"/>
    </row>
    <row r="940" spans="1:27" ht="15.75" customHeight="1">
      <c r="A940" s="71"/>
      <c r="B940" s="263"/>
      <c r="C940" s="264"/>
      <c r="D940" s="71"/>
      <c r="E940" s="71"/>
      <c r="F940" s="265"/>
      <c r="G940" s="263"/>
      <c r="H940" s="71"/>
      <c r="I940" s="265"/>
      <c r="J940" s="71"/>
      <c r="K940" s="266"/>
      <c r="L940" s="266"/>
      <c r="M940" s="266"/>
      <c r="N940" s="266"/>
      <c r="O940" s="266"/>
      <c r="P940" s="266"/>
      <c r="Q940" s="267"/>
      <c r="R940" s="71"/>
      <c r="S940" s="71"/>
      <c r="T940" s="222"/>
      <c r="U940" s="71"/>
      <c r="V940" s="71"/>
      <c r="W940" s="71"/>
      <c r="X940" s="71"/>
      <c r="Y940" s="71"/>
      <c r="Z940" s="71"/>
      <c r="AA940" s="71"/>
    </row>
    <row r="941" spans="1:27" ht="15.75" customHeight="1">
      <c r="A941" s="71"/>
      <c r="B941" s="263"/>
      <c r="C941" s="264"/>
      <c r="D941" s="71"/>
      <c r="E941" s="71"/>
      <c r="F941" s="265"/>
      <c r="G941" s="263"/>
      <c r="H941" s="71"/>
      <c r="I941" s="265"/>
      <c r="J941" s="71"/>
      <c r="K941" s="266"/>
      <c r="L941" s="266"/>
      <c r="M941" s="266"/>
      <c r="N941" s="266"/>
      <c r="O941" s="266"/>
      <c r="P941" s="266"/>
      <c r="Q941" s="267"/>
      <c r="R941" s="71"/>
      <c r="S941" s="71"/>
      <c r="T941" s="222"/>
      <c r="U941" s="71"/>
      <c r="V941" s="71"/>
      <c r="W941" s="71"/>
      <c r="X941" s="71"/>
      <c r="Y941" s="71"/>
      <c r="Z941" s="71"/>
      <c r="AA941" s="71"/>
    </row>
    <row r="942" spans="1:27" ht="15.75" customHeight="1">
      <c r="A942" s="71"/>
      <c r="B942" s="263"/>
      <c r="C942" s="264"/>
      <c r="D942" s="71"/>
      <c r="E942" s="71"/>
      <c r="F942" s="265"/>
      <c r="G942" s="263"/>
      <c r="H942" s="71"/>
      <c r="I942" s="265"/>
      <c r="J942" s="71"/>
      <c r="K942" s="266"/>
      <c r="L942" s="266"/>
      <c r="M942" s="266"/>
      <c r="N942" s="266"/>
      <c r="O942" s="266"/>
      <c r="P942" s="266"/>
      <c r="Q942" s="267"/>
      <c r="R942" s="71"/>
      <c r="S942" s="71"/>
      <c r="T942" s="222"/>
      <c r="U942" s="71"/>
      <c r="V942" s="71"/>
      <c r="W942" s="71"/>
      <c r="X942" s="71"/>
      <c r="Y942" s="71"/>
      <c r="Z942" s="71"/>
      <c r="AA942" s="71"/>
    </row>
    <row r="943" spans="1:27" ht="15.75" customHeight="1">
      <c r="A943" s="71"/>
      <c r="B943" s="263"/>
      <c r="C943" s="264"/>
      <c r="D943" s="71"/>
      <c r="E943" s="71"/>
      <c r="F943" s="265"/>
      <c r="G943" s="263"/>
      <c r="H943" s="71"/>
      <c r="I943" s="265"/>
      <c r="J943" s="71"/>
      <c r="K943" s="266"/>
      <c r="L943" s="266"/>
      <c r="M943" s="266"/>
      <c r="N943" s="266"/>
      <c r="O943" s="266"/>
      <c r="P943" s="266"/>
      <c r="Q943" s="267"/>
      <c r="R943" s="71"/>
      <c r="S943" s="71"/>
      <c r="T943" s="222"/>
      <c r="U943" s="71"/>
      <c r="V943" s="71"/>
      <c r="W943" s="71"/>
      <c r="X943" s="71"/>
      <c r="Y943" s="71"/>
      <c r="Z943" s="71"/>
      <c r="AA943" s="71"/>
    </row>
    <row r="944" spans="1:27" ht="15.75" customHeight="1">
      <c r="A944" s="71"/>
      <c r="B944" s="263"/>
      <c r="C944" s="264"/>
      <c r="D944" s="71"/>
      <c r="E944" s="71"/>
      <c r="F944" s="265"/>
      <c r="G944" s="263"/>
      <c r="H944" s="71"/>
      <c r="I944" s="265"/>
      <c r="J944" s="71"/>
      <c r="K944" s="266"/>
      <c r="L944" s="266"/>
      <c r="M944" s="266"/>
      <c r="N944" s="266"/>
      <c r="O944" s="266"/>
      <c r="P944" s="266"/>
      <c r="Q944" s="267"/>
      <c r="R944" s="71"/>
      <c r="S944" s="71"/>
      <c r="T944" s="222"/>
      <c r="U944" s="71"/>
      <c r="V944" s="71"/>
      <c r="W944" s="71"/>
      <c r="X944" s="71"/>
      <c r="Y944" s="71"/>
      <c r="Z944" s="71"/>
      <c r="AA944" s="71"/>
    </row>
    <row r="945" spans="1:27" ht="15.75" customHeight="1">
      <c r="A945" s="71"/>
      <c r="B945" s="263"/>
      <c r="C945" s="264"/>
      <c r="D945" s="71"/>
      <c r="E945" s="71"/>
      <c r="F945" s="265"/>
      <c r="G945" s="263"/>
      <c r="H945" s="71"/>
      <c r="I945" s="265"/>
      <c r="J945" s="71"/>
      <c r="K945" s="266"/>
      <c r="L945" s="266"/>
      <c r="M945" s="266"/>
      <c r="N945" s="266"/>
      <c r="O945" s="266"/>
      <c r="P945" s="266"/>
      <c r="Q945" s="267"/>
      <c r="R945" s="71"/>
      <c r="S945" s="71"/>
      <c r="T945" s="222"/>
      <c r="U945" s="71"/>
      <c r="V945" s="71"/>
      <c r="W945" s="71"/>
      <c r="X945" s="71"/>
      <c r="Y945" s="71"/>
      <c r="Z945" s="71"/>
      <c r="AA945" s="71"/>
    </row>
    <row r="946" spans="1:27" ht="15.75" customHeight="1">
      <c r="A946" s="71"/>
      <c r="B946" s="263"/>
      <c r="C946" s="264"/>
      <c r="D946" s="71"/>
      <c r="E946" s="71"/>
      <c r="F946" s="265"/>
      <c r="G946" s="263"/>
      <c r="H946" s="71"/>
      <c r="I946" s="265"/>
      <c r="J946" s="71"/>
      <c r="K946" s="266"/>
      <c r="L946" s="266"/>
      <c r="M946" s="266"/>
      <c r="N946" s="266"/>
      <c r="O946" s="266"/>
      <c r="P946" s="266"/>
      <c r="Q946" s="267"/>
      <c r="R946" s="71"/>
      <c r="S946" s="71"/>
      <c r="T946" s="222"/>
      <c r="U946" s="71"/>
      <c r="V946" s="71"/>
      <c r="W946" s="71"/>
      <c r="X946" s="71"/>
      <c r="Y946" s="71"/>
      <c r="Z946" s="71"/>
      <c r="AA946" s="71"/>
    </row>
    <row r="947" spans="1:27" ht="15.75" customHeight="1">
      <c r="A947" s="71"/>
      <c r="B947" s="263"/>
      <c r="C947" s="264"/>
      <c r="D947" s="71"/>
      <c r="E947" s="71"/>
      <c r="F947" s="265"/>
      <c r="G947" s="263"/>
      <c r="H947" s="71"/>
      <c r="I947" s="265"/>
      <c r="J947" s="71"/>
      <c r="K947" s="266"/>
      <c r="L947" s="266"/>
      <c r="M947" s="266"/>
      <c r="N947" s="266"/>
      <c r="O947" s="266"/>
      <c r="P947" s="266"/>
      <c r="Q947" s="267"/>
      <c r="R947" s="71"/>
      <c r="S947" s="71"/>
      <c r="T947" s="222"/>
      <c r="U947" s="71"/>
      <c r="V947" s="71"/>
      <c r="W947" s="71"/>
      <c r="X947" s="71"/>
      <c r="Y947" s="71"/>
      <c r="Z947" s="71"/>
      <c r="AA947" s="71"/>
    </row>
    <row r="948" spans="1:27" ht="15.75" customHeight="1">
      <c r="A948" s="71"/>
      <c r="B948" s="263"/>
      <c r="C948" s="264"/>
      <c r="D948" s="71"/>
      <c r="E948" s="71"/>
      <c r="F948" s="265"/>
      <c r="G948" s="263"/>
      <c r="H948" s="71"/>
      <c r="I948" s="265"/>
      <c r="J948" s="71"/>
      <c r="K948" s="266"/>
      <c r="L948" s="266"/>
      <c r="M948" s="266"/>
      <c r="N948" s="266"/>
      <c r="O948" s="266"/>
      <c r="P948" s="266"/>
      <c r="Q948" s="267"/>
      <c r="R948" s="71"/>
      <c r="S948" s="71"/>
      <c r="T948" s="222"/>
      <c r="U948" s="71"/>
      <c r="V948" s="71"/>
      <c r="W948" s="71"/>
      <c r="X948" s="71"/>
      <c r="Y948" s="71"/>
      <c r="Z948" s="71"/>
      <c r="AA948" s="71"/>
    </row>
    <row r="949" spans="1:27" ht="15.75" customHeight="1">
      <c r="A949" s="71"/>
      <c r="B949" s="263"/>
      <c r="C949" s="264"/>
      <c r="D949" s="71"/>
      <c r="E949" s="71"/>
      <c r="F949" s="265"/>
      <c r="G949" s="263"/>
      <c r="H949" s="71"/>
      <c r="I949" s="265"/>
      <c r="J949" s="71"/>
      <c r="K949" s="266"/>
      <c r="L949" s="266"/>
      <c r="M949" s="266"/>
      <c r="N949" s="266"/>
      <c r="O949" s="266"/>
      <c r="P949" s="266"/>
      <c r="Q949" s="267"/>
      <c r="R949" s="71"/>
      <c r="S949" s="71"/>
      <c r="T949" s="222"/>
      <c r="U949" s="71"/>
      <c r="V949" s="71"/>
      <c r="W949" s="71"/>
      <c r="X949" s="71"/>
      <c r="Y949" s="71"/>
      <c r="Z949" s="71"/>
      <c r="AA949" s="71"/>
    </row>
    <row r="950" spans="1:27" ht="15.75" customHeight="1">
      <c r="A950" s="71"/>
      <c r="B950" s="263"/>
      <c r="C950" s="264"/>
      <c r="D950" s="71"/>
      <c r="E950" s="71"/>
      <c r="F950" s="265"/>
      <c r="G950" s="263"/>
      <c r="H950" s="71"/>
      <c r="I950" s="265"/>
      <c r="J950" s="71"/>
      <c r="K950" s="266"/>
      <c r="L950" s="266"/>
      <c r="M950" s="266"/>
      <c r="N950" s="266"/>
      <c r="O950" s="266"/>
      <c r="P950" s="266"/>
      <c r="Q950" s="267"/>
      <c r="R950" s="71"/>
      <c r="S950" s="71"/>
      <c r="T950" s="222"/>
      <c r="U950" s="71"/>
      <c r="V950" s="71"/>
      <c r="W950" s="71"/>
      <c r="X950" s="71"/>
      <c r="Y950" s="71"/>
      <c r="Z950" s="71"/>
      <c r="AA950" s="71"/>
    </row>
    <row r="951" spans="1:27" ht="15.75" customHeight="1">
      <c r="A951" s="71"/>
      <c r="B951" s="263"/>
      <c r="C951" s="264"/>
      <c r="D951" s="71"/>
      <c r="E951" s="71"/>
      <c r="F951" s="265"/>
      <c r="G951" s="263"/>
      <c r="H951" s="71"/>
      <c r="I951" s="265"/>
      <c r="J951" s="71"/>
      <c r="K951" s="266"/>
      <c r="L951" s="266"/>
      <c r="M951" s="266"/>
      <c r="N951" s="266"/>
      <c r="O951" s="266"/>
      <c r="P951" s="266"/>
      <c r="Q951" s="267"/>
      <c r="R951" s="71"/>
      <c r="S951" s="71"/>
      <c r="T951" s="222"/>
      <c r="U951" s="71"/>
      <c r="V951" s="71"/>
      <c r="W951" s="71"/>
      <c r="X951" s="71"/>
      <c r="Y951" s="71"/>
      <c r="Z951" s="71"/>
      <c r="AA951" s="71"/>
    </row>
    <row r="952" spans="1:27" ht="15.75" customHeight="1">
      <c r="A952" s="71"/>
      <c r="B952" s="263"/>
      <c r="C952" s="264"/>
      <c r="D952" s="71"/>
      <c r="E952" s="71"/>
      <c r="F952" s="265"/>
      <c r="G952" s="263"/>
      <c r="H952" s="71"/>
      <c r="I952" s="265"/>
      <c r="J952" s="71"/>
      <c r="K952" s="266"/>
      <c r="L952" s="266"/>
      <c r="M952" s="266"/>
      <c r="N952" s="266"/>
      <c r="O952" s="266"/>
      <c r="P952" s="266"/>
      <c r="Q952" s="267"/>
      <c r="R952" s="71"/>
      <c r="S952" s="71"/>
      <c r="T952" s="222"/>
      <c r="U952" s="71"/>
      <c r="V952" s="71"/>
      <c r="W952" s="71"/>
      <c r="X952" s="71"/>
      <c r="Y952" s="71"/>
      <c r="Z952" s="71"/>
      <c r="AA952" s="71"/>
    </row>
    <row r="953" spans="1:27" ht="15.75" customHeight="1">
      <c r="A953" s="71"/>
      <c r="B953" s="263"/>
      <c r="C953" s="264"/>
      <c r="D953" s="71"/>
      <c r="E953" s="71"/>
      <c r="F953" s="265"/>
      <c r="G953" s="263"/>
      <c r="H953" s="71"/>
      <c r="I953" s="265"/>
      <c r="J953" s="71"/>
      <c r="K953" s="266"/>
      <c r="L953" s="266"/>
      <c r="M953" s="266"/>
      <c r="N953" s="266"/>
      <c r="O953" s="266"/>
      <c r="P953" s="266"/>
      <c r="Q953" s="267"/>
      <c r="R953" s="71"/>
      <c r="S953" s="71"/>
      <c r="T953" s="222"/>
      <c r="U953" s="71"/>
      <c r="V953" s="71"/>
      <c r="W953" s="71"/>
      <c r="X953" s="71"/>
      <c r="Y953" s="71"/>
      <c r="Z953" s="71"/>
      <c r="AA953" s="71"/>
    </row>
    <row r="954" spans="1:27" ht="15.75" customHeight="1">
      <c r="A954" s="71"/>
      <c r="B954" s="263"/>
      <c r="C954" s="264"/>
      <c r="D954" s="71"/>
      <c r="E954" s="71"/>
      <c r="F954" s="265"/>
      <c r="G954" s="263"/>
      <c r="H954" s="71"/>
      <c r="I954" s="265"/>
      <c r="J954" s="71"/>
      <c r="K954" s="266"/>
      <c r="L954" s="266"/>
      <c r="M954" s="266"/>
      <c r="N954" s="266"/>
      <c r="O954" s="266"/>
      <c r="P954" s="266"/>
      <c r="Q954" s="267"/>
      <c r="R954" s="71"/>
      <c r="S954" s="71"/>
      <c r="T954" s="222"/>
      <c r="U954" s="71"/>
      <c r="V954" s="71"/>
      <c r="W954" s="71"/>
      <c r="X954" s="71"/>
      <c r="Y954" s="71"/>
      <c r="Z954" s="71"/>
      <c r="AA954" s="71"/>
    </row>
    <row r="955" spans="1:27" ht="15.75" customHeight="1">
      <c r="A955" s="71"/>
      <c r="B955" s="263"/>
      <c r="C955" s="264"/>
      <c r="D955" s="71"/>
      <c r="E955" s="71"/>
      <c r="F955" s="265"/>
      <c r="G955" s="263"/>
      <c r="H955" s="71"/>
      <c r="I955" s="265"/>
      <c r="J955" s="71"/>
      <c r="K955" s="266"/>
      <c r="L955" s="266"/>
      <c r="M955" s="266"/>
      <c r="N955" s="266"/>
      <c r="O955" s="266"/>
      <c r="P955" s="266"/>
      <c r="Q955" s="267"/>
      <c r="R955" s="71"/>
      <c r="S955" s="71"/>
      <c r="T955" s="222"/>
      <c r="U955" s="71"/>
      <c r="V955" s="71"/>
      <c r="W955" s="71"/>
      <c r="X955" s="71"/>
      <c r="Y955" s="71"/>
      <c r="Z955" s="71"/>
      <c r="AA955" s="71"/>
    </row>
    <row r="956" spans="1:27" ht="15.75" customHeight="1">
      <c r="A956" s="71"/>
      <c r="B956" s="263"/>
      <c r="C956" s="264"/>
      <c r="D956" s="71"/>
      <c r="E956" s="71"/>
      <c r="F956" s="265"/>
      <c r="G956" s="263"/>
      <c r="H956" s="71"/>
      <c r="I956" s="265"/>
      <c r="J956" s="71"/>
      <c r="K956" s="266"/>
      <c r="L956" s="266"/>
      <c r="M956" s="266"/>
      <c r="N956" s="266"/>
      <c r="O956" s="266"/>
      <c r="P956" s="266"/>
      <c r="Q956" s="267"/>
      <c r="R956" s="71"/>
      <c r="S956" s="71"/>
      <c r="T956" s="222"/>
      <c r="U956" s="71"/>
      <c r="V956" s="71"/>
      <c r="W956" s="71"/>
      <c r="X956" s="71"/>
      <c r="Y956" s="71"/>
      <c r="Z956" s="71"/>
      <c r="AA956" s="71"/>
    </row>
    <row r="957" spans="1:27" ht="15.75" customHeight="1">
      <c r="A957" s="71"/>
      <c r="B957" s="263"/>
      <c r="C957" s="264"/>
      <c r="D957" s="71"/>
      <c r="E957" s="71"/>
      <c r="F957" s="265"/>
      <c r="G957" s="263"/>
      <c r="H957" s="71"/>
      <c r="I957" s="265"/>
      <c r="J957" s="71"/>
      <c r="K957" s="266"/>
      <c r="L957" s="266"/>
      <c r="M957" s="266"/>
      <c r="N957" s="266"/>
      <c r="O957" s="266"/>
      <c r="P957" s="266"/>
      <c r="Q957" s="267"/>
      <c r="R957" s="71"/>
      <c r="S957" s="71"/>
      <c r="T957" s="222"/>
      <c r="U957" s="71"/>
      <c r="V957" s="71"/>
      <c r="W957" s="71"/>
      <c r="X957" s="71"/>
      <c r="Y957" s="71"/>
      <c r="Z957" s="71"/>
      <c r="AA957" s="71"/>
    </row>
    <row r="958" spans="1:27" ht="15.75" customHeight="1">
      <c r="A958" s="71"/>
      <c r="B958" s="263"/>
      <c r="C958" s="264"/>
      <c r="D958" s="71"/>
      <c r="E958" s="71"/>
      <c r="F958" s="265"/>
      <c r="G958" s="263"/>
      <c r="H958" s="71"/>
      <c r="I958" s="265"/>
      <c r="J958" s="71"/>
      <c r="K958" s="266"/>
      <c r="L958" s="266"/>
      <c r="M958" s="266"/>
      <c r="N958" s="266"/>
      <c r="O958" s="266"/>
      <c r="P958" s="266"/>
      <c r="Q958" s="267"/>
      <c r="R958" s="71"/>
      <c r="S958" s="71"/>
      <c r="T958" s="222"/>
      <c r="U958" s="71"/>
      <c r="V958" s="71"/>
      <c r="W958" s="71"/>
      <c r="X958" s="71"/>
      <c r="Y958" s="71"/>
      <c r="Z958" s="71"/>
      <c r="AA958" s="71"/>
    </row>
    <row r="959" spans="1:27" ht="15.75" customHeight="1">
      <c r="A959" s="71"/>
      <c r="B959" s="263"/>
      <c r="C959" s="264"/>
      <c r="D959" s="71"/>
      <c r="E959" s="71"/>
      <c r="F959" s="265"/>
      <c r="G959" s="263"/>
      <c r="H959" s="71"/>
      <c r="I959" s="265"/>
      <c r="J959" s="71"/>
      <c r="K959" s="266"/>
      <c r="L959" s="266"/>
      <c r="M959" s="266"/>
      <c r="N959" s="266"/>
      <c r="O959" s="266"/>
      <c r="P959" s="266"/>
      <c r="Q959" s="267"/>
      <c r="R959" s="71"/>
      <c r="S959" s="71"/>
      <c r="T959" s="222"/>
      <c r="U959" s="71"/>
      <c r="V959" s="71"/>
      <c r="W959" s="71"/>
      <c r="X959" s="71"/>
      <c r="Y959" s="71"/>
      <c r="Z959" s="71"/>
      <c r="AA959" s="71"/>
    </row>
    <row r="960" spans="1:27" ht="15.75" customHeight="1">
      <c r="A960" s="71"/>
      <c r="B960" s="263"/>
      <c r="C960" s="264"/>
      <c r="D960" s="71"/>
      <c r="E960" s="71"/>
      <c r="F960" s="265"/>
      <c r="G960" s="263"/>
      <c r="H960" s="71"/>
      <c r="I960" s="265"/>
      <c r="J960" s="71"/>
      <c r="K960" s="266"/>
      <c r="L960" s="266"/>
      <c r="M960" s="266"/>
      <c r="N960" s="266"/>
      <c r="O960" s="266"/>
      <c r="P960" s="266"/>
      <c r="Q960" s="267"/>
      <c r="R960" s="71"/>
      <c r="S960" s="71"/>
      <c r="T960" s="222"/>
      <c r="U960" s="71"/>
      <c r="V960" s="71"/>
      <c r="W960" s="71"/>
      <c r="X960" s="71"/>
      <c r="Y960" s="71"/>
      <c r="Z960" s="71"/>
      <c r="AA960" s="71"/>
    </row>
    <row r="961" spans="1:27" ht="15.75" customHeight="1">
      <c r="A961" s="71"/>
      <c r="B961" s="263"/>
      <c r="C961" s="264"/>
      <c r="D961" s="71"/>
      <c r="E961" s="71"/>
      <c r="F961" s="265"/>
      <c r="G961" s="263"/>
      <c r="H961" s="71"/>
      <c r="I961" s="265"/>
      <c r="J961" s="71"/>
      <c r="K961" s="266"/>
      <c r="L961" s="266"/>
      <c r="M961" s="266"/>
      <c r="N961" s="266"/>
      <c r="O961" s="266"/>
      <c r="P961" s="266"/>
      <c r="Q961" s="267"/>
      <c r="R961" s="71"/>
      <c r="S961" s="71"/>
      <c r="T961" s="222"/>
      <c r="U961" s="71"/>
      <c r="V961" s="71"/>
      <c r="W961" s="71"/>
      <c r="X961" s="71"/>
      <c r="Y961" s="71"/>
      <c r="Z961" s="71"/>
      <c r="AA961" s="71"/>
    </row>
    <row r="962" spans="1:27" ht="15.75" customHeight="1">
      <c r="A962" s="71"/>
      <c r="B962" s="263"/>
      <c r="C962" s="264"/>
      <c r="D962" s="71"/>
      <c r="E962" s="71"/>
      <c r="F962" s="265"/>
      <c r="G962" s="263"/>
      <c r="H962" s="71"/>
      <c r="I962" s="265"/>
      <c r="J962" s="71"/>
      <c r="K962" s="266"/>
      <c r="L962" s="266"/>
      <c r="M962" s="266"/>
      <c r="N962" s="266"/>
      <c r="O962" s="266"/>
      <c r="P962" s="266"/>
      <c r="Q962" s="267"/>
      <c r="R962" s="71"/>
      <c r="S962" s="71"/>
      <c r="T962" s="222"/>
      <c r="U962" s="71"/>
      <c r="V962" s="71"/>
      <c r="W962" s="71"/>
      <c r="X962" s="71"/>
      <c r="Y962" s="71"/>
      <c r="Z962" s="71"/>
      <c r="AA962" s="71"/>
    </row>
    <row r="963" spans="1:27" ht="15.75" customHeight="1">
      <c r="A963" s="71"/>
      <c r="B963" s="263"/>
      <c r="C963" s="264"/>
      <c r="D963" s="71"/>
      <c r="E963" s="71"/>
      <c r="F963" s="265"/>
      <c r="G963" s="263"/>
      <c r="H963" s="71"/>
      <c r="I963" s="265"/>
      <c r="J963" s="71"/>
      <c r="K963" s="266"/>
      <c r="L963" s="266"/>
      <c r="M963" s="266"/>
      <c r="N963" s="266"/>
      <c r="O963" s="266"/>
      <c r="P963" s="266"/>
      <c r="Q963" s="267"/>
      <c r="R963" s="71"/>
      <c r="S963" s="71"/>
      <c r="T963" s="222"/>
      <c r="U963" s="71"/>
      <c r="V963" s="71"/>
      <c r="W963" s="71"/>
      <c r="X963" s="71"/>
      <c r="Y963" s="71"/>
      <c r="Z963" s="71"/>
      <c r="AA963" s="71"/>
    </row>
    <row r="964" spans="1:27" ht="15.75" customHeight="1">
      <c r="A964" s="71"/>
      <c r="B964" s="263"/>
      <c r="C964" s="264"/>
      <c r="D964" s="71"/>
      <c r="E964" s="71"/>
      <c r="F964" s="265"/>
      <c r="G964" s="263"/>
      <c r="H964" s="71"/>
      <c r="I964" s="265"/>
      <c r="J964" s="71"/>
      <c r="K964" s="266"/>
      <c r="L964" s="266"/>
      <c r="M964" s="266"/>
      <c r="N964" s="266"/>
      <c r="O964" s="266"/>
      <c r="P964" s="266"/>
      <c r="Q964" s="267"/>
      <c r="R964" s="71"/>
      <c r="S964" s="71"/>
      <c r="T964" s="222"/>
      <c r="U964" s="71"/>
      <c r="V964" s="71"/>
      <c r="W964" s="71"/>
      <c r="X964" s="71"/>
      <c r="Y964" s="71"/>
      <c r="Z964" s="71"/>
      <c r="AA964" s="71"/>
    </row>
    <row r="965" spans="1:27" ht="15.75" customHeight="1">
      <c r="A965" s="71"/>
      <c r="B965" s="263"/>
      <c r="C965" s="264"/>
      <c r="D965" s="71"/>
      <c r="E965" s="71"/>
      <c r="F965" s="265"/>
      <c r="G965" s="263"/>
      <c r="H965" s="71"/>
      <c r="I965" s="265"/>
      <c r="J965" s="71"/>
      <c r="K965" s="266"/>
      <c r="L965" s="266"/>
      <c r="M965" s="266"/>
      <c r="N965" s="266"/>
      <c r="O965" s="266"/>
      <c r="P965" s="266"/>
      <c r="Q965" s="267"/>
      <c r="R965" s="71"/>
      <c r="S965" s="71"/>
      <c r="T965" s="222"/>
      <c r="U965" s="71"/>
      <c r="V965" s="71"/>
      <c r="W965" s="71"/>
      <c r="X965" s="71"/>
      <c r="Y965" s="71"/>
      <c r="Z965" s="71"/>
      <c r="AA965" s="71"/>
    </row>
    <row r="966" spans="1:27" ht="15.75" customHeight="1">
      <c r="A966" s="71"/>
      <c r="B966" s="263"/>
      <c r="C966" s="264"/>
      <c r="D966" s="71"/>
      <c r="E966" s="71"/>
      <c r="F966" s="265"/>
      <c r="G966" s="263"/>
      <c r="H966" s="71"/>
      <c r="I966" s="265"/>
      <c r="J966" s="71"/>
      <c r="K966" s="266"/>
      <c r="L966" s="266"/>
      <c r="M966" s="266"/>
      <c r="N966" s="266"/>
      <c r="O966" s="266"/>
      <c r="P966" s="266"/>
      <c r="Q966" s="267"/>
      <c r="R966" s="71"/>
      <c r="S966" s="71"/>
      <c r="T966" s="222"/>
      <c r="U966" s="71"/>
      <c r="V966" s="71"/>
      <c r="W966" s="71"/>
      <c r="X966" s="71"/>
      <c r="Y966" s="71"/>
      <c r="Z966" s="71"/>
      <c r="AA966" s="71"/>
    </row>
    <row r="967" spans="1:27" ht="15.75" customHeight="1">
      <c r="A967" s="71"/>
      <c r="B967" s="263"/>
      <c r="C967" s="264"/>
      <c r="D967" s="71"/>
      <c r="E967" s="71"/>
      <c r="F967" s="265"/>
      <c r="G967" s="263"/>
      <c r="H967" s="71"/>
      <c r="I967" s="265"/>
      <c r="J967" s="71"/>
      <c r="K967" s="266"/>
      <c r="L967" s="266"/>
      <c r="M967" s="266"/>
      <c r="N967" s="266"/>
      <c r="O967" s="266"/>
      <c r="P967" s="266"/>
      <c r="Q967" s="267"/>
      <c r="R967" s="71"/>
      <c r="S967" s="71"/>
      <c r="T967" s="222"/>
      <c r="U967" s="71"/>
      <c r="V967" s="71"/>
      <c r="W967" s="71"/>
      <c r="X967" s="71"/>
      <c r="Y967" s="71"/>
      <c r="Z967" s="71"/>
      <c r="AA967" s="71"/>
    </row>
    <row r="968" spans="1:27" ht="15.75" customHeight="1">
      <c r="A968" s="71"/>
      <c r="B968" s="263"/>
      <c r="C968" s="264"/>
      <c r="D968" s="71"/>
      <c r="E968" s="71"/>
      <c r="F968" s="265"/>
      <c r="G968" s="263"/>
      <c r="H968" s="71"/>
      <c r="I968" s="265"/>
      <c r="J968" s="71"/>
      <c r="K968" s="266"/>
      <c r="L968" s="266"/>
      <c r="M968" s="266"/>
      <c r="N968" s="266"/>
      <c r="O968" s="266"/>
      <c r="P968" s="266"/>
      <c r="Q968" s="267"/>
      <c r="R968" s="71"/>
      <c r="S968" s="71"/>
      <c r="T968" s="222"/>
      <c r="U968" s="71"/>
      <c r="V968" s="71"/>
      <c r="W968" s="71"/>
      <c r="X968" s="71"/>
      <c r="Y968" s="71"/>
      <c r="Z968" s="71"/>
      <c r="AA968" s="71"/>
    </row>
    <row r="969" spans="1:27" ht="15.75" customHeight="1">
      <c r="A969" s="71"/>
      <c r="B969" s="263"/>
      <c r="C969" s="264"/>
      <c r="D969" s="71"/>
      <c r="E969" s="71"/>
      <c r="F969" s="265"/>
      <c r="G969" s="263"/>
      <c r="H969" s="71"/>
      <c r="I969" s="265"/>
      <c r="J969" s="71"/>
      <c r="K969" s="266"/>
      <c r="L969" s="266"/>
      <c r="M969" s="266"/>
      <c r="N969" s="266"/>
      <c r="O969" s="266"/>
      <c r="P969" s="266"/>
      <c r="Q969" s="267"/>
      <c r="R969" s="71"/>
      <c r="S969" s="71"/>
      <c r="T969" s="222"/>
      <c r="U969" s="71"/>
      <c r="V969" s="71"/>
      <c r="W969" s="71"/>
      <c r="X969" s="71"/>
      <c r="Y969" s="71"/>
      <c r="Z969" s="71"/>
      <c r="AA969" s="71"/>
    </row>
    <row r="970" spans="1:27" ht="15.75" customHeight="1">
      <c r="A970" s="71"/>
      <c r="B970" s="263"/>
      <c r="C970" s="264"/>
      <c r="D970" s="71"/>
      <c r="E970" s="71"/>
      <c r="F970" s="265"/>
      <c r="G970" s="263"/>
      <c r="H970" s="71"/>
      <c r="I970" s="265"/>
      <c r="J970" s="71"/>
      <c r="K970" s="266"/>
      <c r="L970" s="266"/>
      <c r="M970" s="266"/>
      <c r="N970" s="266"/>
      <c r="O970" s="266"/>
      <c r="P970" s="266"/>
      <c r="Q970" s="267"/>
      <c r="R970" s="71"/>
      <c r="S970" s="71"/>
      <c r="T970" s="222"/>
      <c r="U970" s="71"/>
      <c r="V970" s="71"/>
      <c r="W970" s="71"/>
      <c r="X970" s="71"/>
      <c r="Y970" s="71"/>
      <c r="Z970" s="71"/>
      <c r="AA970" s="71"/>
    </row>
    <row r="971" spans="1:27" ht="15.75" customHeight="1">
      <c r="A971" s="71"/>
      <c r="B971" s="263"/>
      <c r="C971" s="264"/>
      <c r="D971" s="71"/>
      <c r="E971" s="71"/>
      <c r="F971" s="265"/>
      <c r="G971" s="263"/>
      <c r="H971" s="71"/>
      <c r="I971" s="265"/>
      <c r="J971" s="71"/>
      <c r="K971" s="266"/>
      <c r="L971" s="266"/>
      <c r="M971" s="266"/>
      <c r="N971" s="266"/>
      <c r="O971" s="266"/>
      <c r="P971" s="266"/>
      <c r="Q971" s="267"/>
      <c r="R971" s="71"/>
      <c r="S971" s="71"/>
      <c r="T971" s="222"/>
      <c r="U971" s="71"/>
      <c r="V971" s="71"/>
      <c r="W971" s="71"/>
      <c r="X971" s="71"/>
      <c r="Y971" s="71"/>
      <c r="Z971" s="71"/>
      <c r="AA971" s="71"/>
    </row>
    <row r="972" spans="1:27" ht="15.75" customHeight="1">
      <c r="A972" s="71"/>
      <c r="B972" s="263"/>
      <c r="C972" s="264"/>
      <c r="D972" s="71"/>
      <c r="E972" s="71"/>
      <c r="F972" s="265"/>
      <c r="G972" s="263"/>
      <c r="H972" s="71"/>
      <c r="I972" s="265"/>
      <c r="J972" s="71"/>
      <c r="K972" s="266"/>
      <c r="L972" s="266"/>
      <c r="M972" s="266"/>
      <c r="N972" s="266"/>
      <c r="O972" s="266"/>
      <c r="P972" s="266"/>
      <c r="Q972" s="267"/>
      <c r="R972" s="71"/>
      <c r="S972" s="71"/>
      <c r="T972" s="222"/>
      <c r="U972" s="71"/>
      <c r="V972" s="71"/>
      <c r="W972" s="71"/>
      <c r="X972" s="71"/>
      <c r="Y972" s="71"/>
      <c r="Z972" s="71"/>
      <c r="AA972" s="71"/>
    </row>
    <row r="973" spans="1:27" ht="15.75" customHeight="1">
      <c r="A973" s="71"/>
      <c r="B973" s="263"/>
      <c r="C973" s="264"/>
      <c r="D973" s="71"/>
      <c r="E973" s="71"/>
      <c r="F973" s="265"/>
      <c r="G973" s="263"/>
      <c r="H973" s="71"/>
      <c r="I973" s="265"/>
      <c r="J973" s="71"/>
      <c r="K973" s="266"/>
      <c r="L973" s="266"/>
      <c r="M973" s="266"/>
      <c r="N973" s="266"/>
      <c r="O973" s="266"/>
      <c r="P973" s="266"/>
      <c r="Q973" s="267"/>
      <c r="R973" s="71"/>
      <c r="S973" s="71"/>
      <c r="T973" s="222"/>
      <c r="U973" s="71"/>
      <c r="V973" s="71"/>
      <c r="W973" s="71"/>
      <c r="X973" s="71"/>
      <c r="Y973" s="71"/>
      <c r="Z973" s="71"/>
      <c r="AA973" s="71"/>
    </row>
    <row r="974" spans="1:27" ht="15.75" customHeight="1">
      <c r="A974" s="71"/>
      <c r="B974" s="263"/>
      <c r="C974" s="264"/>
      <c r="D974" s="71"/>
      <c r="E974" s="71"/>
      <c r="F974" s="265"/>
      <c r="G974" s="263"/>
      <c r="H974" s="71"/>
      <c r="I974" s="265"/>
      <c r="J974" s="71"/>
      <c r="K974" s="266"/>
      <c r="L974" s="266"/>
      <c r="M974" s="266"/>
      <c r="N974" s="266"/>
      <c r="O974" s="266"/>
      <c r="P974" s="266"/>
      <c r="Q974" s="267"/>
      <c r="R974" s="71"/>
      <c r="S974" s="71"/>
      <c r="T974" s="222"/>
      <c r="U974" s="71"/>
      <c r="V974" s="71"/>
      <c r="W974" s="71"/>
      <c r="X974" s="71"/>
      <c r="Y974" s="71"/>
      <c r="Z974" s="71"/>
      <c r="AA974" s="71"/>
    </row>
    <row r="975" spans="1:27" ht="15.75" customHeight="1">
      <c r="A975" s="71"/>
      <c r="B975" s="263"/>
      <c r="C975" s="264"/>
      <c r="D975" s="71"/>
      <c r="E975" s="71"/>
      <c r="F975" s="265"/>
      <c r="G975" s="263"/>
      <c r="H975" s="71"/>
      <c r="I975" s="265"/>
      <c r="J975" s="71"/>
      <c r="K975" s="266"/>
      <c r="L975" s="266"/>
      <c r="M975" s="266"/>
      <c r="N975" s="266"/>
      <c r="O975" s="266"/>
      <c r="P975" s="266"/>
      <c r="Q975" s="267"/>
      <c r="R975" s="71"/>
      <c r="S975" s="71"/>
      <c r="T975" s="222"/>
      <c r="U975" s="71"/>
      <c r="V975" s="71"/>
      <c r="W975" s="71"/>
      <c r="X975" s="71"/>
      <c r="Y975" s="71"/>
      <c r="Z975" s="71"/>
      <c r="AA975" s="71"/>
    </row>
    <row r="976" spans="1:27" ht="15.75" customHeight="1">
      <c r="A976" s="71"/>
      <c r="B976" s="263"/>
      <c r="C976" s="264"/>
      <c r="D976" s="71"/>
      <c r="E976" s="71"/>
      <c r="F976" s="265"/>
      <c r="G976" s="263"/>
      <c r="H976" s="71"/>
      <c r="I976" s="265"/>
      <c r="J976" s="71"/>
      <c r="K976" s="266"/>
      <c r="L976" s="266"/>
      <c r="M976" s="266"/>
      <c r="N976" s="266"/>
      <c r="O976" s="266"/>
      <c r="P976" s="266"/>
      <c r="Q976" s="267"/>
      <c r="R976" s="71"/>
      <c r="S976" s="71"/>
      <c r="T976" s="222"/>
      <c r="U976" s="71"/>
      <c r="V976" s="71"/>
      <c r="W976" s="71"/>
      <c r="X976" s="71"/>
      <c r="Y976" s="71"/>
      <c r="Z976" s="71"/>
      <c r="AA976" s="71"/>
    </row>
    <row r="977" spans="1:27" ht="15.75" customHeight="1">
      <c r="A977" s="71"/>
      <c r="B977" s="263"/>
      <c r="C977" s="264"/>
      <c r="D977" s="71"/>
      <c r="E977" s="71"/>
      <c r="F977" s="265"/>
      <c r="G977" s="263"/>
      <c r="H977" s="71"/>
      <c r="I977" s="265"/>
      <c r="J977" s="71"/>
      <c r="K977" s="266"/>
      <c r="L977" s="266"/>
      <c r="M977" s="266"/>
      <c r="N977" s="266"/>
      <c r="O977" s="266"/>
      <c r="P977" s="266"/>
      <c r="Q977" s="267"/>
      <c r="R977" s="71"/>
      <c r="S977" s="71"/>
      <c r="T977" s="222"/>
      <c r="U977" s="71"/>
      <c r="V977" s="71"/>
      <c r="W977" s="71"/>
      <c r="X977" s="71"/>
      <c r="Y977" s="71"/>
      <c r="Z977" s="71"/>
      <c r="AA977" s="71"/>
    </row>
    <row r="978" spans="1:27" ht="15.75" customHeight="1">
      <c r="A978" s="71"/>
      <c r="B978" s="263"/>
      <c r="C978" s="264"/>
      <c r="D978" s="71"/>
      <c r="E978" s="71"/>
      <c r="F978" s="265"/>
      <c r="G978" s="263"/>
      <c r="H978" s="71"/>
      <c r="I978" s="265"/>
      <c r="J978" s="71"/>
      <c r="K978" s="266"/>
      <c r="L978" s="266"/>
      <c r="M978" s="266"/>
      <c r="N978" s="266"/>
      <c r="O978" s="266"/>
      <c r="P978" s="266"/>
      <c r="Q978" s="267"/>
      <c r="R978" s="71"/>
      <c r="S978" s="71"/>
      <c r="T978" s="222"/>
      <c r="U978" s="71"/>
      <c r="V978" s="71"/>
      <c r="W978" s="71"/>
      <c r="X978" s="71"/>
      <c r="Y978" s="71"/>
      <c r="Z978" s="71"/>
      <c r="AA978" s="71"/>
    </row>
    <row r="979" spans="1:27" ht="15.75" customHeight="1">
      <c r="A979" s="71"/>
      <c r="B979" s="263"/>
      <c r="C979" s="264"/>
      <c r="D979" s="71"/>
      <c r="E979" s="71"/>
      <c r="F979" s="265"/>
      <c r="G979" s="263"/>
      <c r="H979" s="71"/>
      <c r="I979" s="265"/>
      <c r="J979" s="71"/>
      <c r="K979" s="266"/>
      <c r="L979" s="266"/>
      <c r="M979" s="266"/>
      <c r="N979" s="266"/>
      <c r="O979" s="266"/>
      <c r="P979" s="266"/>
      <c r="Q979" s="267"/>
      <c r="R979" s="71"/>
      <c r="S979" s="71"/>
      <c r="T979" s="222"/>
      <c r="U979" s="71"/>
      <c r="V979" s="71"/>
      <c r="W979" s="71"/>
      <c r="X979" s="71"/>
      <c r="Y979" s="71"/>
      <c r="Z979" s="71"/>
      <c r="AA979" s="71"/>
    </row>
    <row r="980" spans="1:27" ht="15.75" customHeight="1">
      <c r="A980" s="71"/>
      <c r="B980" s="263"/>
      <c r="C980" s="264"/>
      <c r="D980" s="71"/>
      <c r="E980" s="71"/>
      <c r="F980" s="265"/>
      <c r="G980" s="263"/>
      <c r="H980" s="71"/>
      <c r="I980" s="265"/>
      <c r="J980" s="71"/>
      <c r="K980" s="266"/>
      <c r="L980" s="266"/>
      <c r="M980" s="266"/>
      <c r="N980" s="266"/>
      <c r="O980" s="266"/>
      <c r="P980" s="266"/>
      <c r="Q980" s="267"/>
      <c r="R980" s="71"/>
      <c r="S980" s="71"/>
      <c r="T980" s="222"/>
      <c r="U980" s="71"/>
      <c r="V980" s="71"/>
      <c r="W980" s="71"/>
      <c r="X980" s="71"/>
      <c r="Y980" s="71"/>
      <c r="Z980" s="71"/>
      <c r="AA980" s="71"/>
    </row>
    <row r="981" spans="1:27" ht="15.75" customHeight="1">
      <c r="A981" s="71"/>
      <c r="B981" s="263"/>
      <c r="C981" s="264"/>
      <c r="D981" s="71"/>
      <c r="E981" s="71"/>
      <c r="F981" s="265"/>
      <c r="G981" s="263"/>
      <c r="H981" s="71"/>
      <c r="I981" s="265"/>
      <c r="J981" s="71"/>
      <c r="K981" s="266"/>
      <c r="L981" s="266"/>
      <c r="M981" s="266"/>
      <c r="N981" s="266"/>
      <c r="O981" s="266"/>
      <c r="P981" s="266"/>
      <c r="Q981" s="267"/>
      <c r="R981" s="71"/>
      <c r="S981" s="71"/>
      <c r="T981" s="222"/>
      <c r="U981" s="71"/>
      <c r="V981" s="71"/>
      <c r="W981" s="71"/>
      <c r="X981" s="71"/>
      <c r="Y981" s="71"/>
      <c r="Z981" s="71"/>
      <c r="AA981" s="71"/>
    </row>
    <row r="982" spans="1:27" ht="15.75" customHeight="1">
      <c r="A982" s="71"/>
      <c r="B982" s="263"/>
      <c r="C982" s="264"/>
      <c r="D982" s="71"/>
      <c r="E982" s="71"/>
      <c r="F982" s="265"/>
      <c r="G982" s="263"/>
      <c r="H982" s="71"/>
      <c r="I982" s="265"/>
      <c r="J982" s="71"/>
      <c r="K982" s="266"/>
      <c r="L982" s="266"/>
      <c r="M982" s="266"/>
      <c r="N982" s="266"/>
      <c r="O982" s="266"/>
      <c r="P982" s="266"/>
      <c r="Q982" s="267"/>
      <c r="R982" s="71"/>
      <c r="S982" s="71"/>
      <c r="T982" s="222"/>
      <c r="U982" s="71"/>
      <c r="V982" s="71"/>
      <c r="W982" s="71"/>
      <c r="X982" s="71"/>
      <c r="Y982" s="71"/>
      <c r="Z982" s="71"/>
      <c r="AA982" s="71"/>
    </row>
    <row r="983" spans="1:27" ht="15.75" customHeight="1">
      <c r="A983" s="71"/>
      <c r="B983" s="263"/>
      <c r="C983" s="264"/>
      <c r="D983" s="71"/>
      <c r="E983" s="71"/>
      <c r="F983" s="265"/>
      <c r="G983" s="263"/>
      <c r="H983" s="71"/>
      <c r="I983" s="265"/>
      <c r="J983" s="71"/>
      <c r="K983" s="266"/>
      <c r="L983" s="266"/>
      <c r="M983" s="266"/>
      <c r="N983" s="266"/>
      <c r="O983" s="266"/>
      <c r="P983" s="266"/>
      <c r="Q983" s="267"/>
      <c r="R983" s="71"/>
      <c r="S983" s="71"/>
      <c r="T983" s="222"/>
      <c r="U983" s="71"/>
      <c r="V983" s="71"/>
      <c r="W983" s="71"/>
      <c r="X983" s="71"/>
      <c r="Y983" s="71"/>
      <c r="Z983" s="71"/>
      <c r="AA983" s="71"/>
    </row>
    <row r="984" spans="1:27" ht="15.75" customHeight="1">
      <c r="A984" s="71"/>
      <c r="B984" s="263"/>
      <c r="C984" s="264"/>
      <c r="D984" s="71"/>
      <c r="E984" s="71"/>
      <c r="F984" s="265"/>
      <c r="G984" s="263"/>
      <c r="H984" s="71"/>
      <c r="I984" s="265"/>
      <c r="J984" s="71"/>
      <c r="K984" s="266"/>
      <c r="L984" s="266"/>
      <c r="M984" s="266"/>
      <c r="N984" s="266"/>
      <c r="O984" s="266"/>
      <c r="P984" s="266"/>
      <c r="Q984" s="267"/>
      <c r="R984" s="71"/>
      <c r="S984" s="71"/>
      <c r="T984" s="222"/>
      <c r="U984" s="71"/>
      <c r="V984" s="71"/>
      <c r="W984" s="71"/>
      <c r="X984" s="71"/>
      <c r="Y984" s="71"/>
      <c r="Z984" s="71"/>
      <c r="AA984" s="71"/>
    </row>
    <row r="985" spans="1:27" ht="15.75" customHeight="1">
      <c r="A985" s="71"/>
      <c r="B985" s="263"/>
      <c r="C985" s="264"/>
      <c r="D985" s="71"/>
      <c r="E985" s="71"/>
      <c r="F985" s="265"/>
      <c r="G985" s="263"/>
      <c r="H985" s="71"/>
      <c r="I985" s="265"/>
      <c r="J985" s="71"/>
      <c r="K985" s="266"/>
      <c r="L985" s="266"/>
      <c r="M985" s="266"/>
      <c r="N985" s="266"/>
      <c r="O985" s="266"/>
      <c r="P985" s="266"/>
      <c r="Q985" s="267"/>
      <c r="R985" s="71"/>
      <c r="S985" s="71"/>
      <c r="T985" s="222"/>
      <c r="U985" s="71"/>
      <c r="V985" s="71"/>
      <c r="W985" s="71"/>
      <c r="X985" s="71"/>
      <c r="Y985" s="71"/>
      <c r="Z985" s="71"/>
      <c r="AA985" s="71"/>
    </row>
    <row r="986" spans="1:27" ht="15.75" customHeight="1">
      <c r="A986" s="71"/>
      <c r="B986" s="263"/>
      <c r="C986" s="264"/>
      <c r="D986" s="71"/>
      <c r="E986" s="71"/>
      <c r="F986" s="265"/>
      <c r="G986" s="263"/>
      <c r="H986" s="71"/>
      <c r="I986" s="265"/>
      <c r="J986" s="71"/>
      <c r="K986" s="266"/>
      <c r="L986" s="266"/>
      <c r="M986" s="266"/>
      <c r="N986" s="266"/>
      <c r="O986" s="266"/>
      <c r="P986" s="266"/>
      <c r="Q986" s="267"/>
      <c r="R986" s="71"/>
      <c r="S986" s="71"/>
      <c r="T986" s="222"/>
      <c r="U986" s="71"/>
      <c r="V986" s="71"/>
      <c r="W986" s="71"/>
      <c r="X986" s="71"/>
      <c r="Y986" s="71"/>
      <c r="Z986" s="71"/>
      <c r="AA986" s="71"/>
    </row>
  </sheetData>
  <mergeCells count="5">
    <mergeCell ref="T11:T13"/>
    <mergeCell ref="T14:T15"/>
    <mergeCell ref="T16:T17"/>
    <mergeCell ref="T30:T32"/>
    <mergeCell ref="T41:T5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80"/>
  <sheetViews>
    <sheetView workbookViewId="0"/>
  </sheetViews>
  <sheetFormatPr defaultColWidth="11.25" defaultRowHeight="15" customHeight="1"/>
  <cols>
    <col min="1" max="5" width="11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0.25" customHeight="1">
      <c r="A1" s="268" t="s">
        <v>0</v>
      </c>
      <c r="B1" s="268" t="s">
        <v>443</v>
      </c>
      <c r="C1" s="269" t="s">
        <v>444</v>
      </c>
      <c r="D1" s="268" t="s">
        <v>445</v>
      </c>
      <c r="E1" s="268" t="s">
        <v>446</v>
      </c>
      <c r="F1" s="270" t="s">
        <v>447</v>
      </c>
      <c r="G1" s="271" t="s">
        <v>7</v>
      </c>
      <c r="H1" s="271" t="s">
        <v>8</v>
      </c>
      <c r="I1" s="272" t="s">
        <v>9</v>
      </c>
    </row>
    <row r="2" spans="1:9" ht="15.75">
      <c r="A2" s="230" t="s">
        <v>448</v>
      </c>
      <c r="B2" s="216">
        <v>45390</v>
      </c>
      <c r="C2" s="9">
        <v>0.35555555555555557</v>
      </c>
      <c r="D2" s="216">
        <v>45390</v>
      </c>
      <c r="E2" s="273">
        <v>0.65208333333333335</v>
      </c>
      <c r="F2" s="235">
        <v>0.19</v>
      </c>
      <c r="G2" s="274" t="s">
        <v>12</v>
      </c>
      <c r="H2" s="274" t="s">
        <v>13</v>
      </c>
      <c r="I2" s="275"/>
    </row>
    <row r="3" spans="1:9" ht="15.75">
      <c r="A3" s="230" t="s">
        <v>449</v>
      </c>
      <c r="B3" s="216">
        <v>45390</v>
      </c>
      <c r="C3" s="9">
        <v>0.34583333333333333</v>
      </c>
      <c r="D3" s="216">
        <v>45390</v>
      </c>
      <c r="E3" s="273">
        <v>0.65347222222222223</v>
      </c>
      <c r="F3" s="235">
        <v>0.17</v>
      </c>
      <c r="G3" s="274" t="s">
        <v>12</v>
      </c>
      <c r="H3" s="274" t="s">
        <v>13</v>
      </c>
      <c r="I3" s="275"/>
    </row>
    <row r="4" spans="1:9" ht="15.75">
      <c r="A4" s="230" t="s">
        <v>450</v>
      </c>
      <c r="B4" s="216">
        <v>45390</v>
      </c>
      <c r="C4" s="9">
        <v>0.36666666666666664</v>
      </c>
      <c r="D4" s="216">
        <v>45390</v>
      </c>
      <c r="E4" s="273">
        <v>0.65486111111111112</v>
      </c>
      <c r="F4" s="235">
        <v>0.21</v>
      </c>
      <c r="G4" s="274" t="s">
        <v>12</v>
      </c>
      <c r="H4" s="274" t="s">
        <v>13</v>
      </c>
      <c r="I4" s="275"/>
    </row>
    <row r="5" spans="1:9" ht="15.75">
      <c r="A5" s="16" t="s">
        <v>451</v>
      </c>
      <c r="B5" s="8">
        <v>45391</v>
      </c>
      <c r="C5" s="9">
        <v>0.32430555555555557</v>
      </c>
      <c r="D5" s="8">
        <v>45391</v>
      </c>
      <c r="E5" s="273">
        <v>0.58819444444444446</v>
      </c>
      <c r="F5" s="235">
        <v>0.18</v>
      </c>
      <c r="G5" s="274" t="s">
        <v>12</v>
      </c>
      <c r="H5" s="274" t="s">
        <v>13</v>
      </c>
      <c r="I5" s="275"/>
    </row>
    <row r="6" spans="1:9" ht="15.75">
      <c r="A6" s="16" t="s">
        <v>452</v>
      </c>
      <c r="B6" s="8">
        <v>45391</v>
      </c>
      <c r="C6" s="9">
        <v>0.34722222222222221</v>
      </c>
      <c r="D6" s="8">
        <v>45391</v>
      </c>
      <c r="E6" s="273">
        <v>0.59027777777777779</v>
      </c>
      <c r="F6" s="235">
        <v>0.34</v>
      </c>
      <c r="G6" s="274" t="s">
        <v>12</v>
      </c>
      <c r="H6" s="274" t="s">
        <v>13</v>
      </c>
      <c r="I6" s="275"/>
    </row>
    <row r="7" spans="1:9" ht="15.75">
      <c r="A7" s="16" t="s">
        <v>453</v>
      </c>
      <c r="B7" s="8">
        <v>45391</v>
      </c>
      <c r="C7" s="9">
        <v>0.38194444444444442</v>
      </c>
      <c r="D7" s="8">
        <v>45391</v>
      </c>
      <c r="E7" s="248">
        <v>0.58750000000000002</v>
      </c>
      <c r="F7" s="235">
        <v>0.18</v>
      </c>
      <c r="G7" s="274" t="s">
        <v>12</v>
      </c>
      <c r="H7" s="274" t="s">
        <v>13</v>
      </c>
      <c r="I7" s="275"/>
    </row>
    <row r="8" spans="1:9" ht="15.75">
      <c r="A8" s="16" t="s">
        <v>454</v>
      </c>
      <c r="B8" s="8">
        <v>45391</v>
      </c>
      <c r="C8" s="9">
        <v>0.43125000000000002</v>
      </c>
      <c r="D8" s="8">
        <v>45391</v>
      </c>
      <c r="E8" s="248">
        <v>0.59097222222222223</v>
      </c>
      <c r="F8" s="235">
        <v>0.03</v>
      </c>
      <c r="G8" s="274" t="s">
        <v>12</v>
      </c>
      <c r="H8" s="274" t="s">
        <v>13</v>
      </c>
      <c r="I8" s="275"/>
    </row>
    <row r="9" spans="1:9" ht="15.75">
      <c r="A9" s="230" t="s">
        <v>455</v>
      </c>
      <c r="B9" s="8">
        <v>45392</v>
      </c>
      <c r="C9" s="9">
        <v>0.34930555555555554</v>
      </c>
      <c r="D9" s="216">
        <v>45393</v>
      </c>
      <c r="E9" s="273">
        <v>0.625</v>
      </c>
      <c r="F9" s="235">
        <v>0.43</v>
      </c>
      <c r="G9" s="274" t="s">
        <v>12</v>
      </c>
      <c r="H9" s="274" t="s">
        <v>456</v>
      </c>
      <c r="I9" s="275"/>
    </row>
    <row r="10" spans="1:9" ht="15.75">
      <c r="A10" s="230" t="s">
        <v>457</v>
      </c>
      <c r="B10" s="8">
        <v>45392</v>
      </c>
      <c r="C10" s="9">
        <v>0.36944444444444446</v>
      </c>
      <c r="D10" s="216">
        <v>45393</v>
      </c>
      <c r="E10" s="273">
        <v>0.62708333333333333</v>
      </c>
      <c r="F10" s="276">
        <v>0.08</v>
      </c>
      <c r="G10" s="274" t="s">
        <v>12</v>
      </c>
      <c r="H10" s="274" t="s">
        <v>456</v>
      </c>
      <c r="I10" s="275"/>
    </row>
    <row r="11" spans="1:9" ht="15.75">
      <c r="A11" s="230" t="s">
        <v>458</v>
      </c>
      <c r="B11" s="8">
        <v>45392</v>
      </c>
      <c r="C11" s="9">
        <v>0.42708333333333331</v>
      </c>
      <c r="D11" s="216">
        <v>45393</v>
      </c>
      <c r="E11" s="273">
        <v>0.62847222222222221</v>
      </c>
      <c r="F11" s="235">
        <v>0.2</v>
      </c>
      <c r="G11" s="274" t="s">
        <v>12</v>
      </c>
      <c r="H11" s="274" t="s">
        <v>456</v>
      </c>
      <c r="I11" s="275"/>
    </row>
    <row r="12" spans="1:9" ht="15.75">
      <c r="A12" s="230" t="s">
        <v>459</v>
      </c>
      <c r="B12" s="8">
        <v>45392</v>
      </c>
      <c r="C12" s="9">
        <v>0.47847222222222224</v>
      </c>
      <c r="D12" s="216">
        <v>45393</v>
      </c>
      <c r="E12" s="18">
        <v>0.63402777777777775</v>
      </c>
      <c r="F12" s="235">
        <v>0.28999999999999998</v>
      </c>
      <c r="G12" s="274" t="s">
        <v>12</v>
      </c>
      <c r="H12" s="274" t="s">
        <v>456</v>
      </c>
      <c r="I12" s="275"/>
    </row>
    <row r="13" spans="1:9" ht="15.75">
      <c r="A13" s="230" t="s">
        <v>460</v>
      </c>
      <c r="B13" s="8">
        <v>45392</v>
      </c>
      <c r="C13" s="277">
        <v>0.49861111111111112</v>
      </c>
      <c r="D13" s="216">
        <v>45393</v>
      </c>
      <c r="E13" s="278">
        <v>0.63541666666666663</v>
      </c>
      <c r="F13" s="235">
        <v>0.17</v>
      </c>
      <c r="G13" s="274" t="s">
        <v>12</v>
      </c>
      <c r="H13" s="274" t="s">
        <v>456</v>
      </c>
      <c r="I13" s="275"/>
    </row>
    <row r="14" spans="1:9" ht="15.75">
      <c r="A14" s="230" t="s">
        <v>461</v>
      </c>
      <c r="B14" s="8">
        <v>45400</v>
      </c>
      <c r="C14" s="9">
        <v>0.36458333333333331</v>
      </c>
      <c r="D14" s="8">
        <v>45400</v>
      </c>
      <c r="E14" s="10">
        <v>0.69513888888888886</v>
      </c>
      <c r="F14" s="235">
        <v>0.05</v>
      </c>
      <c r="G14" s="274" t="s">
        <v>12</v>
      </c>
      <c r="H14" s="274" t="s">
        <v>13</v>
      </c>
      <c r="I14" s="275"/>
    </row>
    <row r="15" spans="1:9" ht="15.75">
      <c r="A15" s="230" t="s">
        <v>462</v>
      </c>
      <c r="B15" s="8">
        <v>45400</v>
      </c>
      <c r="C15" s="9">
        <v>0.39513888888888887</v>
      </c>
      <c r="D15" s="8">
        <v>45400</v>
      </c>
      <c r="E15" s="10">
        <v>0.69652777777777775</v>
      </c>
      <c r="F15" s="279">
        <v>0.56999999999999995</v>
      </c>
      <c r="G15" s="274" t="s">
        <v>12</v>
      </c>
      <c r="H15" s="274" t="s">
        <v>13</v>
      </c>
      <c r="I15" s="275"/>
    </row>
    <row r="16" spans="1:9" ht="15.75">
      <c r="A16" s="230" t="s">
        <v>463</v>
      </c>
      <c r="B16" s="8">
        <v>45400</v>
      </c>
      <c r="C16" s="9">
        <v>0.44444444444444442</v>
      </c>
      <c r="D16" s="8">
        <v>45400</v>
      </c>
      <c r="E16" s="10">
        <v>0.69791666666666663</v>
      </c>
      <c r="F16" s="279">
        <v>0</v>
      </c>
      <c r="G16" s="274" t="s">
        <v>12</v>
      </c>
      <c r="H16" s="274" t="s">
        <v>13</v>
      </c>
      <c r="I16" s="275"/>
    </row>
    <row r="17" spans="1:20" ht="15.75">
      <c r="A17" s="230" t="s">
        <v>464</v>
      </c>
      <c r="B17" s="8">
        <v>45400</v>
      </c>
      <c r="C17" s="280">
        <v>0.47222222222222221</v>
      </c>
      <c r="D17" s="8">
        <v>45400</v>
      </c>
      <c r="E17" s="10">
        <v>0.69861111111111107</v>
      </c>
      <c r="F17" s="279">
        <v>0.02</v>
      </c>
      <c r="G17" s="274" t="s">
        <v>12</v>
      </c>
      <c r="H17" s="274" t="s">
        <v>13</v>
      </c>
      <c r="I17" s="275"/>
    </row>
    <row r="18" spans="1:20" ht="15.75">
      <c r="A18" s="230" t="s">
        <v>465</v>
      </c>
      <c r="B18" s="8">
        <v>45400</v>
      </c>
      <c r="C18" s="280">
        <v>0.53194444444444444</v>
      </c>
      <c r="D18" s="8">
        <v>45400</v>
      </c>
      <c r="E18" s="10">
        <v>0.69930555555555551</v>
      </c>
      <c r="F18" s="279">
        <v>0</v>
      </c>
      <c r="G18" s="274" t="s">
        <v>12</v>
      </c>
      <c r="H18" s="274" t="s">
        <v>13</v>
      </c>
      <c r="I18" s="275"/>
    </row>
    <row r="19" spans="1:20" ht="15.75">
      <c r="A19" s="230" t="s">
        <v>466</v>
      </c>
      <c r="B19" s="8">
        <v>45405</v>
      </c>
      <c r="C19" s="277">
        <v>0.37013888888888891</v>
      </c>
      <c r="D19" s="8">
        <v>45405</v>
      </c>
      <c r="E19" s="18">
        <v>0.5854166666666667</v>
      </c>
      <c r="F19" s="279">
        <v>0</v>
      </c>
      <c r="G19" s="274" t="s">
        <v>12</v>
      </c>
      <c r="H19" s="274" t="s">
        <v>456</v>
      </c>
      <c r="I19" s="275"/>
    </row>
    <row r="20" spans="1:20" ht="15.75">
      <c r="A20" s="230" t="s">
        <v>467</v>
      </c>
      <c r="B20" s="8">
        <v>45405</v>
      </c>
      <c r="C20" s="280">
        <v>0.3972222222222222</v>
      </c>
      <c r="D20" s="8">
        <v>45405</v>
      </c>
      <c r="E20" s="18">
        <v>0.58888888888888891</v>
      </c>
      <c r="F20" s="279">
        <v>0.01</v>
      </c>
      <c r="G20" s="274" t="s">
        <v>12</v>
      </c>
      <c r="H20" s="274" t="s">
        <v>456</v>
      </c>
      <c r="I20" s="275"/>
    </row>
    <row r="21" spans="1:20" ht="15.75">
      <c r="A21" s="16" t="s">
        <v>468</v>
      </c>
      <c r="B21" s="8">
        <v>45405</v>
      </c>
      <c r="C21" s="277">
        <v>0.41041666666666665</v>
      </c>
      <c r="D21" s="8">
        <v>45405</v>
      </c>
      <c r="E21" s="18">
        <v>0.59375</v>
      </c>
      <c r="F21" s="279">
        <v>0.01</v>
      </c>
      <c r="G21" s="274" t="s">
        <v>12</v>
      </c>
      <c r="H21" s="274" t="s">
        <v>456</v>
      </c>
      <c r="I21" s="275"/>
    </row>
    <row r="22" spans="1:20" ht="15.75">
      <c r="A22" s="16" t="s">
        <v>469</v>
      </c>
      <c r="B22" s="8">
        <v>45405</v>
      </c>
      <c r="C22" s="9">
        <v>0.47361111111111109</v>
      </c>
      <c r="D22" s="8">
        <v>45405</v>
      </c>
      <c r="E22" s="18">
        <v>0.60624999999999996</v>
      </c>
      <c r="F22" s="279">
        <v>0.01</v>
      </c>
      <c r="G22" s="274" t="s">
        <v>12</v>
      </c>
      <c r="H22" s="274" t="s">
        <v>13</v>
      </c>
      <c r="I22" s="275"/>
    </row>
    <row r="23" spans="1:20" ht="15.75">
      <c r="A23" s="16" t="s">
        <v>470</v>
      </c>
      <c r="B23" s="8">
        <v>45405</v>
      </c>
      <c r="C23" s="277">
        <v>0.49305555555555558</v>
      </c>
      <c r="D23" s="8">
        <v>45405</v>
      </c>
      <c r="E23" s="18">
        <v>0.6069444444444444</v>
      </c>
      <c r="F23" s="279">
        <v>0.05</v>
      </c>
      <c r="G23" s="274" t="s">
        <v>12</v>
      </c>
      <c r="H23" s="274" t="s">
        <v>13</v>
      </c>
      <c r="I23" s="275"/>
    </row>
    <row r="24" spans="1:20" ht="15.75">
      <c r="A24" s="16" t="s">
        <v>471</v>
      </c>
      <c r="B24" s="8">
        <v>45405</v>
      </c>
      <c r="C24" s="55">
        <v>0.51249999999999996</v>
      </c>
      <c r="D24" s="8">
        <v>45405</v>
      </c>
      <c r="E24" s="18">
        <v>0.60763888888888884</v>
      </c>
      <c r="F24" s="279">
        <v>0</v>
      </c>
      <c r="G24" s="274" t="s">
        <v>12</v>
      </c>
      <c r="H24" s="274" t="s">
        <v>13</v>
      </c>
      <c r="I24" s="275"/>
    </row>
    <row r="25" spans="1:20" ht="15.75">
      <c r="A25" s="16" t="s">
        <v>472</v>
      </c>
      <c r="B25" s="19">
        <v>45407</v>
      </c>
      <c r="C25" s="9">
        <v>0.33194444444444443</v>
      </c>
      <c r="D25" s="19">
        <v>45407</v>
      </c>
      <c r="E25" s="18">
        <v>0.66041666666666665</v>
      </c>
      <c r="F25" s="279">
        <v>0.57999999999999996</v>
      </c>
      <c r="G25" s="274" t="s">
        <v>12</v>
      </c>
      <c r="H25" s="274" t="s">
        <v>456</v>
      </c>
      <c r="I25" s="275"/>
    </row>
    <row r="26" spans="1:20" ht="15.75">
      <c r="A26" s="16" t="s">
        <v>473</v>
      </c>
      <c r="B26" s="19">
        <v>45407</v>
      </c>
      <c r="C26" s="280">
        <v>0.36180555555555555</v>
      </c>
      <c r="D26" s="19">
        <v>45407</v>
      </c>
      <c r="E26" s="18">
        <v>0.66249999999999998</v>
      </c>
      <c r="F26" s="279">
        <v>7.0000000000000007E-2</v>
      </c>
      <c r="G26" s="274" t="s">
        <v>12</v>
      </c>
      <c r="H26" s="274" t="s">
        <v>456</v>
      </c>
      <c r="I26" s="275"/>
    </row>
    <row r="27" spans="1:20" ht="15.75">
      <c r="A27" s="16" t="s">
        <v>474</v>
      </c>
      <c r="B27" s="19">
        <v>45407</v>
      </c>
      <c r="C27" s="280">
        <v>0.3888888888888889</v>
      </c>
      <c r="D27" s="19">
        <v>45407</v>
      </c>
      <c r="E27" s="18">
        <v>0.66319444444444442</v>
      </c>
      <c r="F27" s="276">
        <v>0.01</v>
      </c>
      <c r="G27" s="274" t="s">
        <v>12</v>
      </c>
      <c r="H27" s="274" t="s">
        <v>456</v>
      </c>
      <c r="I27" s="275"/>
    </row>
    <row r="28" spans="1:20" ht="15.75">
      <c r="A28" s="16" t="s">
        <v>475</v>
      </c>
      <c r="B28" s="19">
        <v>45407</v>
      </c>
      <c r="C28" s="55">
        <v>0.43055555555555558</v>
      </c>
      <c r="D28" s="19">
        <v>45407</v>
      </c>
      <c r="E28" s="21">
        <v>0.66527777777777775</v>
      </c>
      <c r="F28" s="276">
        <v>0.02</v>
      </c>
      <c r="G28" s="274" t="s">
        <v>12</v>
      </c>
      <c r="H28" s="274" t="s">
        <v>456</v>
      </c>
      <c r="I28" s="275"/>
    </row>
    <row r="29" spans="1:20" ht="15.75">
      <c r="A29" s="16" t="s">
        <v>476</v>
      </c>
      <c r="B29" s="19">
        <v>45407</v>
      </c>
      <c r="C29" s="55">
        <v>0.45069444444444445</v>
      </c>
      <c r="D29" s="19">
        <v>45407</v>
      </c>
      <c r="E29" s="21">
        <v>0.66666666666666663</v>
      </c>
      <c r="F29" s="276">
        <v>0.06</v>
      </c>
      <c r="G29" s="274" t="s">
        <v>12</v>
      </c>
      <c r="H29" s="274" t="s">
        <v>456</v>
      </c>
      <c r="I29" s="275"/>
    </row>
    <row r="30" spans="1:20" ht="15.75">
      <c r="A30" s="16" t="s">
        <v>477</v>
      </c>
      <c r="B30" s="19">
        <v>45407</v>
      </c>
      <c r="C30" s="55">
        <v>0.4777777777777778</v>
      </c>
      <c r="D30" s="19">
        <v>45407</v>
      </c>
      <c r="E30" s="21">
        <v>0.66805555555555551</v>
      </c>
      <c r="F30" s="276">
        <v>0.22</v>
      </c>
      <c r="G30" s="274" t="s">
        <v>12</v>
      </c>
      <c r="H30" s="274" t="s">
        <v>456</v>
      </c>
      <c r="I30" s="275"/>
    </row>
    <row r="31" spans="1:20" ht="15.75">
      <c r="A31" s="16" t="s">
        <v>478</v>
      </c>
      <c r="B31" s="19">
        <v>45407</v>
      </c>
      <c r="C31" s="55">
        <v>0.5</v>
      </c>
      <c r="D31" s="19">
        <v>45407</v>
      </c>
      <c r="E31" s="24">
        <v>0.6694444444444444</v>
      </c>
      <c r="F31" s="276">
        <v>0.18</v>
      </c>
      <c r="G31" s="274" t="s">
        <v>12</v>
      </c>
      <c r="H31" s="274" t="s">
        <v>456</v>
      </c>
      <c r="I31" s="275"/>
    </row>
    <row r="32" spans="1:20" ht="15.75">
      <c r="A32" s="16" t="s">
        <v>479</v>
      </c>
      <c r="B32" s="19">
        <v>45407</v>
      </c>
      <c r="C32" s="9">
        <v>0.5131944444444444</v>
      </c>
      <c r="D32" s="19">
        <v>45407</v>
      </c>
      <c r="E32" s="18">
        <v>0.67152777777777772</v>
      </c>
      <c r="F32" s="281">
        <v>0.23</v>
      </c>
      <c r="G32" s="274" t="s">
        <v>12</v>
      </c>
      <c r="H32" s="274" t="s">
        <v>456</v>
      </c>
      <c r="I32" s="282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</row>
    <row r="33" spans="1:9" ht="15.75">
      <c r="A33" s="16" t="s">
        <v>480</v>
      </c>
      <c r="B33" s="19">
        <v>45407</v>
      </c>
      <c r="C33" s="9">
        <v>0.40833333333333333</v>
      </c>
      <c r="D33" s="19">
        <v>45407</v>
      </c>
      <c r="E33" s="18">
        <v>0.67291666666666672</v>
      </c>
      <c r="F33" s="281">
        <v>0.11</v>
      </c>
      <c r="G33" s="274" t="s">
        <v>12</v>
      </c>
      <c r="H33" s="274" t="s">
        <v>456</v>
      </c>
      <c r="I33" s="282"/>
    </row>
    <row r="34" spans="1:9" ht="15.75">
      <c r="A34" s="16" t="s">
        <v>481</v>
      </c>
      <c r="B34" s="8">
        <v>45415</v>
      </c>
      <c r="C34" s="9">
        <v>0.2986111111111111</v>
      </c>
      <c r="D34" s="8">
        <v>45415</v>
      </c>
      <c r="E34" s="69">
        <v>0.75902777777777775</v>
      </c>
      <c r="F34" s="281">
        <v>0.24</v>
      </c>
      <c r="G34" s="274" t="s">
        <v>12</v>
      </c>
      <c r="H34" s="16" t="s">
        <v>13</v>
      </c>
      <c r="I34" s="229"/>
    </row>
    <row r="35" spans="1:9" ht="15.75">
      <c r="A35" s="16" t="s">
        <v>482</v>
      </c>
      <c r="B35" s="8">
        <v>45415</v>
      </c>
      <c r="C35" s="9">
        <v>0.32013888888888886</v>
      </c>
      <c r="D35" s="8">
        <v>45415</v>
      </c>
      <c r="E35" s="69">
        <v>0.7583333333333333</v>
      </c>
      <c r="F35" s="281">
        <v>0.11</v>
      </c>
      <c r="G35" s="274" t="s">
        <v>12</v>
      </c>
      <c r="H35" s="16" t="s">
        <v>13</v>
      </c>
      <c r="I35" s="229"/>
    </row>
    <row r="36" spans="1:9" ht="15.75">
      <c r="A36" s="16" t="s">
        <v>483</v>
      </c>
      <c r="B36" s="8">
        <v>45415</v>
      </c>
      <c r="C36" s="9">
        <v>0.41875000000000001</v>
      </c>
      <c r="D36" s="8">
        <v>45415</v>
      </c>
      <c r="E36" s="284">
        <v>0.75972222222222219</v>
      </c>
      <c r="F36" s="281">
        <v>0.17</v>
      </c>
      <c r="G36" s="274" t="s">
        <v>12</v>
      </c>
      <c r="H36" s="16" t="s">
        <v>13</v>
      </c>
      <c r="I36" s="229"/>
    </row>
    <row r="37" spans="1:9" ht="15.75">
      <c r="A37" s="16" t="s">
        <v>484</v>
      </c>
      <c r="B37" s="8">
        <v>45415</v>
      </c>
      <c r="C37" s="9">
        <v>0.43402777777777779</v>
      </c>
      <c r="D37" s="8">
        <v>45415</v>
      </c>
      <c r="E37" s="284">
        <v>0.75694444444444442</v>
      </c>
      <c r="F37" s="281">
        <v>0.38</v>
      </c>
      <c r="G37" s="274" t="s">
        <v>12</v>
      </c>
      <c r="H37" s="16" t="s">
        <v>13</v>
      </c>
      <c r="I37" s="229"/>
    </row>
    <row r="38" spans="1:9" ht="15.75">
      <c r="A38" s="16" t="s">
        <v>485</v>
      </c>
      <c r="B38" s="8">
        <v>45416</v>
      </c>
      <c r="C38" s="9">
        <v>0.36736111111111114</v>
      </c>
      <c r="D38" s="27">
        <v>45417</v>
      </c>
      <c r="E38" s="284">
        <v>0.82013888888888886</v>
      </c>
      <c r="F38" s="281">
        <v>2E-3</v>
      </c>
      <c r="G38" s="274" t="s">
        <v>12</v>
      </c>
      <c r="H38" s="16" t="s">
        <v>53</v>
      </c>
      <c r="I38" s="229"/>
    </row>
    <row r="39" spans="1:9" ht="15.75">
      <c r="A39" s="16" t="s">
        <v>486</v>
      </c>
      <c r="B39" s="8">
        <v>45416</v>
      </c>
      <c r="C39" s="9">
        <v>0.44861111111111113</v>
      </c>
      <c r="D39" s="27">
        <v>45417</v>
      </c>
      <c r="E39" s="284">
        <v>0.82152777777777775</v>
      </c>
      <c r="F39" s="281">
        <v>0</v>
      </c>
      <c r="G39" s="274" t="s">
        <v>12</v>
      </c>
      <c r="H39" s="16" t="s">
        <v>53</v>
      </c>
      <c r="I39" s="285"/>
    </row>
    <row r="40" spans="1:9" ht="15.75">
      <c r="A40" s="16" t="s">
        <v>487</v>
      </c>
      <c r="B40" s="8">
        <v>45416</v>
      </c>
      <c r="C40" s="9">
        <v>0.47986111111111113</v>
      </c>
      <c r="D40" s="27">
        <v>45417</v>
      </c>
      <c r="E40" s="284">
        <v>0.82222222222222219</v>
      </c>
      <c r="F40" s="281">
        <v>0</v>
      </c>
      <c r="G40" s="274" t="s">
        <v>12</v>
      </c>
      <c r="H40" s="16" t="s">
        <v>53</v>
      </c>
      <c r="I40" s="229"/>
    </row>
    <row r="41" spans="1:9" ht="15.75">
      <c r="A41" s="16" t="s">
        <v>488</v>
      </c>
      <c r="B41" s="8">
        <v>45416</v>
      </c>
      <c r="C41" s="9">
        <v>0.53125</v>
      </c>
      <c r="D41" s="27">
        <v>45417</v>
      </c>
      <c r="E41" s="284">
        <v>0.82291666666666663</v>
      </c>
      <c r="F41" s="281">
        <v>0.49</v>
      </c>
      <c r="G41" s="274" t="s">
        <v>12</v>
      </c>
      <c r="H41" s="16" t="s">
        <v>53</v>
      </c>
      <c r="I41" s="229"/>
    </row>
    <row r="42" spans="1:9" ht="15.75">
      <c r="A42" s="16" t="s">
        <v>489</v>
      </c>
      <c r="B42" s="27">
        <v>45417</v>
      </c>
      <c r="C42" s="9">
        <v>0.39444444444444443</v>
      </c>
      <c r="D42" s="27">
        <v>45417</v>
      </c>
      <c r="E42" s="284">
        <v>0.82361111111111107</v>
      </c>
      <c r="F42" s="281">
        <v>0.23</v>
      </c>
      <c r="G42" s="274" t="s">
        <v>12</v>
      </c>
      <c r="H42" s="16" t="s">
        <v>53</v>
      </c>
      <c r="I42" s="285"/>
    </row>
    <row r="43" spans="1:9" ht="15.75">
      <c r="A43" s="16" t="s">
        <v>490</v>
      </c>
      <c r="B43" s="27">
        <v>45417</v>
      </c>
      <c r="C43" s="9">
        <v>0.40555555555555556</v>
      </c>
      <c r="D43" s="27">
        <v>45417</v>
      </c>
      <c r="E43" s="284">
        <v>0.82430555555555551</v>
      </c>
      <c r="F43" s="281">
        <v>7.0000000000000007E-2</v>
      </c>
      <c r="G43" s="274" t="s">
        <v>12</v>
      </c>
      <c r="H43" s="16" t="s">
        <v>53</v>
      </c>
      <c r="I43" s="229"/>
    </row>
    <row r="44" spans="1:9" ht="15.75">
      <c r="A44" s="16" t="s">
        <v>491</v>
      </c>
      <c r="B44" s="27">
        <v>45417</v>
      </c>
      <c r="C44" s="255">
        <v>0.42986111111111114</v>
      </c>
      <c r="D44" s="27">
        <v>45417</v>
      </c>
      <c r="E44" s="284">
        <v>0.82499999999999996</v>
      </c>
      <c r="F44" s="276">
        <v>0.08</v>
      </c>
      <c r="G44" s="274" t="s">
        <v>12</v>
      </c>
      <c r="H44" s="16" t="s">
        <v>53</v>
      </c>
      <c r="I44" s="286"/>
    </row>
    <row r="45" spans="1:9" ht="15.75">
      <c r="A45" s="16" t="s">
        <v>492</v>
      </c>
      <c r="B45" s="27">
        <v>45417</v>
      </c>
      <c r="C45" s="256">
        <v>0.45624999999999999</v>
      </c>
      <c r="D45" s="27">
        <v>45417</v>
      </c>
      <c r="E45" s="284">
        <v>0.8256944444444444</v>
      </c>
      <c r="F45" s="276">
        <v>0.92</v>
      </c>
      <c r="G45" s="274" t="s">
        <v>12</v>
      </c>
      <c r="H45" s="16" t="s">
        <v>53</v>
      </c>
      <c r="I45" s="286"/>
    </row>
    <row r="46" spans="1:9" ht="15.75">
      <c r="A46" s="16" t="s">
        <v>493</v>
      </c>
      <c r="B46" s="27">
        <v>45417</v>
      </c>
      <c r="C46" s="9">
        <v>0.2951388888888889</v>
      </c>
      <c r="D46" s="27">
        <v>45417</v>
      </c>
      <c r="E46" s="284">
        <v>0.82638888888888884</v>
      </c>
      <c r="F46" s="276">
        <v>0.14000000000000001</v>
      </c>
      <c r="G46" s="274" t="s">
        <v>12</v>
      </c>
      <c r="H46" s="16" t="s">
        <v>53</v>
      </c>
      <c r="I46" s="286"/>
    </row>
    <row r="47" spans="1:9" ht="15.75">
      <c r="A47" s="287" t="s">
        <v>494</v>
      </c>
      <c r="B47" s="27">
        <v>45417</v>
      </c>
      <c r="C47" s="255">
        <v>0.33124999999999999</v>
      </c>
      <c r="D47" s="27">
        <v>45417</v>
      </c>
      <c r="E47" s="284">
        <v>0.82708333333333328</v>
      </c>
      <c r="F47" s="276">
        <v>0.13</v>
      </c>
      <c r="G47" s="274" t="s">
        <v>12</v>
      </c>
      <c r="H47" s="16" t="s">
        <v>53</v>
      </c>
      <c r="I47" s="286"/>
    </row>
    <row r="48" spans="1:9" ht="15.75">
      <c r="A48" s="16" t="s">
        <v>495</v>
      </c>
      <c r="B48" s="27">
        <v>45417</v>
      </c>
      <c r="C48" s="256">
        <v>0.35069444444444442</v>
      </c>
      <c r="D48" s="27">
        <v>45417</v>
      </c>
      <c r="E48" s="284">
        <v>0.82777777777777772</v>
      </c>
      <c r="F48" s="276">
        <v>0.18</v>
      </c>
      <c r="G48" s="274" t="s">
        <v>12</v>
      </c>
      <c r="H48" s="16" t="s">
        <v>53</v>
      </c>
      <c r="I48" s="286"/>
    </row>
    <row r="49" spans="2:9" ht="15.75">
      <c r="B49" s="288"/>
      <c r="C49" s="289"/>
      <c r="F49" s="290"/>
      <c r="I49" s="291"/>
    </row>
    <row r="50" spans="2:9" ht="15.75">
      <c r="B50" s="288"/>
      <c r="C50" s="289"/>
      <c r="F50" s="290"/>
      <c r="I50" s="291"/>
    </row>
    <row r="51" spans="2:9" ht="15.75">
      <c r="B51" s="288"/>
      <c r="C51" s="289"/>
      <c r="F51" s="290"/>
      <c r="I51" s="291"/>
    </row>
    <row r="52" spans="2:9" ht="15.75">
      <c r="B52" s="288"/>
      <c r="C52" s="289"/>
      <c r="F52" s="290"/>
      <c r="I52" s="291"/>
    </row>
    <row r="53" spans="2:9" ht="15.75">
      <c r="B53" s="288"/>
      <c r="C53" s="289"/>
      <c r="F53" s="290"/>
      <c r="I53" s="291"/>
    </row>
    <row r="54" spans="2:9" ht="15.75">
      <c r="B54" s="288"/>
      <c r="C54" s="289"/>
      <c r="F54" s="290"/>
      <c r="I54" s="291"/>
    </row>
    <row r="55" spans="2:9" ht="15.75">
      <c r="B55" s="288"/>
      <c r="C55" s="289"/>
      <c r="F55" s="290"/>
      <c r="I55" s="291"/>
    </row>
    <row r="56" spans="2:9" ht="15.75">
      <c r="B56" s="288"/>
      <c r="C56" s="289"/>
      <c r="F56" s="290"/>
      <c r="I56" s="291"/>
    </row>
    <row r="57" spans="2:9" ht="15.75">
      <c r="B57" s="288"/>
      <c r="C57" s="289"/>
      <c r="F57" s="290"/>
      <c r="I57" s="291"/>
    </row>
    <row r="58" spans="2:9" ht="15.75">
      <c r="B58" s="288"/>
      <c r="C58" s="289"/>
      <c r="F58" s="290"/>
      <c r="I58" s="291"/>
    </row>
    <row r="59" spans="2:9" ht="15.75">
      <c r="B59" s="288"/>
      <c r="C59" s="289"/>
      <c r="F59" s="290"/>
      <c r="I59" s="291"/>
    </row>
    <row r="60" spans="2:9" ht="15.75">
      <c r="B60" s="288"/>
      <c r="C60" s="289"/>
      <c r="F60" s="290"/>
      <c r="I60" s="291"/>
    </row>
    <row r="61" spans="2:9" ht="15.75">
      <c r="B61" s="288"/>
      <c r="C61" s="289"/>
      <c r="F61" s="290"/>
      <c r="I61" s="291"/>
    </row>
    <row r="62" spans="2:9" ht="15.75">
      <c r="B62" s="288"/>
      <c r="C62" s="289"/>
      <c r="F62" s="290"/>
      <c r="I62" s="291"/>
    </row>
    <row r="63" spans="2:9" ht="15.75">
      <c r="B63" s="288"/>
      <c r="C63" s="289"/>
      <c r="F63" s="290"/>
      <c r="I63" s="291"/>
    </row>
    <row r="64" spans="2:9" ht="15.75">
      <c r="B64" s="288"/>
      <c r="C64" s="289"/>
      <c r="F64" s="290"/>
      <c r="I64" s="291"/>
    </row>
    <row r="65" spans="2:9" ht="15.75">
      <c r="B65" s="288"/>
      <c r="C65" s="289"/>
      <c r="F65" s="290"/>
      <c r="I65" s="291"/>
    </row>
    <row r="66" spans="2:9" ht="15.75">
      <c r="B66" s="288"/>
      <c r="C66" s="289"/>
      <c r="F66" s="290"/>
      <c r="I66" s="291"/>
    </row>
    <row r="67" spans="2:9" ht="15.75">
      <c r="B67" s="288"/>
      <c r="C67" s="289"/>
      <c r="F67" s="290"/>
      <c r="I67" s="291"/>
    </row>
    <row r="68" spans="2:9" ht="15.75">
      <c r="B68" s="288"/>
      <c r="C68" s="289"/>
      <c r="F68" s="290"/>
      <c r="I68" s="291"/>
    </row>
    <row r="69" spans="2:9" ht="15.75">
      <c r="B69" s="288"/>
      <c r="C69" s="289"/>
      <c r="F69" s="290"/>
      <c r="I69" s="291"/>
    </row>
    <row r="70" spans="2:9" ht="15.75">
      <c r="B70" s="288"/>
      <c r="C70" s="289"/>
      <c r="F70" s="290"/>
      <c r="I70" s="291"/>
    </row>
    <row r="71" spans="2:9" ht="15.75">
      <c r="B71" s="288"/>
      <c r="C71" s="289"/>
      <c r="F71" s="290"/>
      <c r="I71" s="291"/>
    </row>
    <row r="72" spans="2:9" ht="15.75">
      <c r="B72" s="288"/>
      <c r="C72" s="289"/>
      <c r="F72" s="290"/>
      <c r="I72" s="291"/>
    </row>
    <row r="73" spans="2:9" ht="15.75">
      <c r="B73" s="288"/>
      <c r="C73" s="289"/>
      <c r="F73" s="290"/>
      <c r="I73" s="291"/>
    </row>
    <row r="74" spans="2:9" ht="15.75">
      <c r="B74" s="288"/>
      <c r="C74" s="289"/>
      <c r="F74" s="290"/>
      <c r="I74" s="291"/>
    </row>
    <row r="75" spans="2:9" ht="15.75">
      <c r="B75" s="288"/>
      <c r="C75" s="289"/>
      <c r="F75" s="290"/>
      <c r="I75" s="291"/>
    </row>
    <row r="76" spans="2:9" ht="15.75">
      <c r="B76" s="288"/>
      <c r="C76" s="289"/>
      <c r="F76" s="290"/>
      <c r="I76" s="291"/>
    </row>
    <row r="77" spans="2:9" ht="15.75">
      <c r="B77" s="288"/>
      <c r="C77" s="289"/>
      <c r="F77" s="290"/>
      <c r="I77" s="291"/>
    </row>
    <row r="78" spans="2:9" ht="15.75">
      <c r="B78" s="288"/>
      <c r="C78" s="289"/>
      <c r="F78" s="290"/>
      <c r="I78" s="291"/>
    </row>
    <row r="79" spans="2:9" ht="15.75">
      <c r="B79" s="288"/>
      <c r="C79" s="289"/>
      <c r="F79" s="290"/>
      <c r="I79" s="291"/>
    </row>
    <row r="80" spans="2:9" ht="15.75">
      <c r="B80" s="288"/>
      <c r="C80" s="289"/>
      <c r="F80" s="290"/>
      <c r="I80" s="291"/>
    </row>
    <row r="81" spans="2:9" ht="15.75">
      <c r="B81" s="288"/>
      <c r="C81" s="289"/>
      <c r="F81" s="290"/>
      <c r="I81" s="291"/>
    </row>
    <row r="82" spans="2:9" ht="15.75">
      <c r="B82" s="288"/>
      <c r="C82" s="289"/>
      <c r="F82" s="290"/>
      <c r="I82" s="291"/>
    </row>
    <row r="83" spans="2:9" ht="15.75">
      <c r="B83" s="288"/>
      <c r="C83" s="289"/>
      <c r="F83" s="290"/>
      <c r="I83" s="291"/>
    </row>
    <row r="84" spans="2:9" ht="15.75">
      <c r="B84" s="288"/>
      <c r="C84" s="289"/>
      <c r="F84" s="290"/>
      <c r="I84" s="291"/>
    </row>
    <row r="85" spans="2:9" ht="15.75">
      <c r="B85" s="288"/>
      <c r="C85" s="289"/>
      <c r="F85" s="290"/>
      <c r="I85" s="291"/>
    </row>
    <row r="86" spans="2:9" ht="15.75">
      <c r="B86" s="288"/>
      <c r="C86" s="289"/>
      <c r="F86" s="290"/>
      <c r="I86" s="291"/>
    </row>
    <row r="87" spans="2:9" ht="15.75">
      <c r="B87" s="288"/>
      <c r="C87" s="289"/>
      <c r="F87" s="290"/>
      <c r="I87" s="291"/>
    </row>
    <row r="88" spans="2:9" ht="15.75">
      <c r="B88" s="288"/>
      <c r="C88" s="289"/>
      <c r="F88" s="290"/>
      <c r="I88" s="291"/>
    </row>
    <row r="89" spans="2:9" ht="15.75">
      <c r="B89" s="288"/>
      <c r="C89" s="289"/>
      <c r="F89" s="290"/>
      <c r="I89" s="291"/>
    </row>
    <row r="90" spans="2:9" ht="15.75">
      <c r="B90" s="288"/>
      <c r="C90" s="289"/>
      <c r="F90" s="290"/>
      <c r="I90" s="291"/>
    </row>
    <row r="91" spans="2:9" ht="15.75">
      <c r="B91" s="288"/>
      <c r="C91" s="289"/>
      <c r="F91" s="290"/>
      <c r="I91" s="291"/>
    </row>
    <row r="92" spans="2:9" ht="15.75">
      <c r="B92" s="288"/>
      <c r="C92" s="289"/>
      <c r="F92" s="290"/>
      <c r="I92" s="291"/>
    </row>
    <row r="93" spans="2:9" ht="15.75">
      <c r="B93" s="288"/>
      <c r="C93" s="289"/>
      <c r="F93" s="290"/>
      <c r="I93" s="291"/>
    </row>
    <row r="94" spans="2:9" ht="15.75">
      <c r="B94" s="288"/>
      <c r="C94" s="289"/>
      <c r="F94" s="290"/>
      <c r="I94" s="291"/>
    </row>
    <row r="95" spans="2:9" ht="15.75">
      <c r="B95" s="288"/>
      <c r="C95" s="289"/>
      <c r="F95" s="290"/>
      <c r="I95" s="291"/>
    </row>
    <row r="96" spans="2:9" ht="15.75">
      <c r="B96" s="288"/>
      <c r="C96" s="289"/>
      <c r="F96" s="290"/>
      <c r="I96" s="291"/>
    </row>
    <row r="97" spans="2:9" ht="15.75">
      <c r="B97" s="288"/>
      <c r="C97" s="289"/>
      <c r="F97" s="290"/>
      <c r="I97" s="291"/>
    </row>
    <row r="98" spans="2:9" ht="15.75">
      <c r="B98" s="288"/>
      <c r="C98" s="289"/>
      <c r="F98" s="290"/>
      <c r="I98" s="291"/>
    </row>
    <row r="99" spans="2:9" ht="15.75">
      <c r="B99" s="288"/>
      <c r="C99" s="289"/>
      <c r="F99" s="290"/>
      <c r="I99" s="291"/>
    </row>
    <row r="100" spans="2:9" ht="15.75">
      <c r="B100" s="288"/>
      <c r="C100" s="289"/>
      <c r="F100" s="290"/>
      <c r="I100" s="291"/>
    </row>
    <row r="101" spans="2:9" ht="15.75">
      <c r="B101" s="288"/>
      <c r="C101" s="289"/>
      <c r="F101" s="290"/>
      <c r="I101" s="291"/>
    </row>
    <row r="102" spans="2:9" ht="15.75">
      <c r="B102" s="288"/>
      <c r="C102" s="289"/>
      <c r="F102" s="290"/>
      <c r="I102" s="291"/>
    </row>
    <row r="103" spans="2:9" ht="15.75">
      <c r="B103" s="288"/>
      <c r="C103" s="289"/>
      <c r="F103" s="290"/>
      <c r="I103" s="291"/>
    </row>
    <row r="104" spans="2:9" ht="15.75">
      <c r="B104" s="288"/>
      <c r="C104" s="289"/>
      <c r="F104" s="290"/>
      <c r="I104" s="291"/>
    </row>
    <row r="105" spans="2:9" ht="15.75">
      <c r="B105" s="288"/>
      <c r="C105" s="289"/>
      <c r="F105" s="290"/>
      <c r="I105" s="291"/>
    </row>
    <row r="106" spans="2:9" ht="15.75">
      <c r="B106" s="288"/>
      <c r="C106" s="289"/>
      <c r="F106" s="290"/>
      <c r="I106" s="291"/>
    </row>
    <row r="107" spans="2:9" ht="15.75">
      <c r="B107" s="288"/>
      <c r="C107" s="289"/>
      <c r="F107" s="290"/>
      <c r="I107" s="291"/>
    </row>
    <row r="108" spans="2:9" ht="15.75">
      <c r="B108" s="288"/>
      <c r="C108" s="289"/>
      <c r="F108" s="290"/>
      <c r="I108" s="291"/>
    </row>
    <row r="109" spans="2:9" ht="15.75">
      <c r="B109" s="288"/>
      <c r="C109" s="289"/>
      <c r="F109" s="290"/>
      <c r="I109" s="291"/>
    </row>
    <row r="110" spans="2:9" ht="15.75">
      <c r="B110" s="288"/>
      <c r="C110" s="289"/>
      <c r="F110" s="290"/>
      <c r="I110" s="291"/>
    </row>
    <row r="111" spans="2:9" ht="15.75">
      <c r="B111" s="288"/>
      <c r="C111" s="289"/>
      <c r="F111" s="290"/>
      <c r="I111" s="291"/>
    </row>
    <row r="112" spans="2:9" ht="15.75">
      <c r="B112" s="288"/>
      <c r="C112" s="289"/>
      <c r="F112" s="290"/>
      <c r="I112" s="291"/>
    </row>
    <row r="113" spans="2:9" ht="15.75">
      <c r="B113" s="288"/>
      <c r="C113" s="289"/>
      <c r="F113" s="290"/>
      <c r="I113" s="291"/>
    </row>
    <row r="114" spans="2:9" ht="15.75">
      <c r="B114" s="288"/>
      <c r="C114" s="289"/>
      <c r="F114" s="290"/>
      <c r="I114" s="291"/>
    </row>
    <row r="115" spans="2:9" ht="15.75">
      <c r="B115" s="288"/>
      <c r="C115" s="289"/>
      <c r="F115" s="290"/>
      <c r="I115" s="291"/>
    </row>
    <row r="116" spans="2:9" ht="15.75">
      <c r="B116" s="288"/>
      <c r="C116" s="289"/>
      <c r="F116" s="290"/>
      <c r="I116" s="291"/>
    </row>
    <row r="117" spans="2:9" ht="15.75">
      <c r="B117" s="288"/>
      <c r="C117" s="289"/>
      <c r="F117" s="290"/>
      <c r="I117" s="291"/>
    </row>
    <row r="118" spans="2:9" ht="15.75">
      <c r="B118" s="288"/>
      <c r="C118" s="289"/>
      <c r="F118" s="290"/>
      <c r="I118" s="291"/>
    </row>
    <row r="119" spans="2:9" ht="15.75">
      <c r="B119" s="288"/>
      <c r="C119" s="289"/>
      <c r="F119" s="290"/>
      <c r="I119" s="291"/>
    </row>
    <row r="120" spans="2:9" ht="15.75">
      <c r="B120" s="288"/>
      <c r="C120" s="289"/>
      <c r="F120" s="290"/>
      <c r="I120" s="291"/>
    </row>
    <row r="121" spans="2:9" ht="15.75">
      <c r="B121" s="288"/>
      <c r="C121" s="289"/>
      <c r="F121" s="290"/>
      <c r="I121" s="291"/>
    </row>
    <row r="122" spans="2:9" ht="15.75">
      <c r="B122" s="288"/>
      <c r="C122" s="289"/>
      <c r="F122" s="290"/>
      <c r="I122" s="291"/>
    </row>
    <row r="123" spans="2:9" ht="15.75">
      <c r="B123" s="288"/>
      <c r="C123" s="289"/>
      <c r="F123" s="290"/>
      <c r="I123" s="291"/>
    </row>
    <row r="124" spans="2:9" ht="15.75">
      <c r="B124" s="288"/>
      <c r="C124" s="289"/>
      <c r="F124" s="290"/>
      <c r="I124" s="291"/>
    </row>
    <row r="125" spans="2:9" ht="15.75">
      <c r="B125" s="288"/>
      <c r="C125" s="289"/>
      <c r="F125" s="290"/>
      <c r="I125" s="291"/>
    </row>
    <row r="126" spans="2:9" ht="15.75">
      <c r="B126" s="288"/>
      <c r="C126" s="289"/>
      <c r="F126" s="290"/>
      <c r="I126" s="291"/>
    </row>
    <row r="127" spans="2:9" ht="15.75">
      <c r="B127" s="288"/>
      <c r="C127" s="289"/>
      <c r="F127" s="290"/>
      <c r="I127" s="291"/>
    </row>
    <row r="128" spans="2:9" ht="15.75">
      <c r="B128" s="288"/>
      <c r="C128" s="289"/>
      <c r="F128" s="290"/>
      <c r="I128" s="291"/>
    </row>
    <row r="129" spans="2:9" ht="15.75">
      <c r="B129" s="288"/>
      <c r="C129" s="289"/>
      <c r="F129" s="290"/>
      <c r="I129" s="291"/>
    </row>
    <row r="130" spans="2:9" ht="15.75">
      <c r="B130" s="288"/>
      <c r="C130" s="289"/>
      <c r="F130" s="290"/>
      <c r="I130" s="291"/>
    </row>
    <row r="131" spans="2:9" ht="15.75">
      <c r="B131" s="288"/>
      <c r="C131" s="289"/>
      <c r="F131" s="290"/>
      <c r="I131" s="291"/>
    </row>
    <row r="132" spans="2:9" ht="15.75">
      <c r="B132" s="288"/>
      <c r="C132" s="289"/>
      <c r="F132" s="290"/>
      <c r="I132" s="291"/>
    </row>
    <row r="133" spans="2:9" ht="15.75">
      <c r="B133" s="288"/>
      <c r="C133" s="289"/>
      <c r="F133" s="290"/>
      <c r="I133" s="291"/>
    </row>
    <row r="134" spans="2:9" ht="15.75">
      <c r="B134" s="288"/>
      <c r="C134" s="289"/>
      <c r="F134" s="290"/>
      <c r="I134" s="291"/>
    </row>
    <row r="135" spans="2:9" ht="15.75">
      <c r="B135" s="288"/>
      <c r="C135" s="289"/>
      <c r="F135" s="290"/>
      <c r="I135" s="291"/>
    </row>
    <row r="136" spans="2:9" ht="15.75">
      <c r="B136" s="288"/>
      <c r="C136" s="289"/>
      <c r="F136" s="290"/>
      <c r="I136" s="291"/>
    </row>
    <row r="137" spans="2:9" ht="15.75">
      <c r="B137" s="288"/>
      <c r="C137" s="289"/>
      <c r="F137" s="290"/>
      <c r="I137" s="291"/>
    </row>
    <row r="138" spans="2:9" ht="15.75">
      <c r="B138" s="288"/>
      <c r="C138" s="289"/>
      <c r="F138" s="290"/>
      <c r="I138" s="291"/>
    </row>
    <row r="139" spans="2:9" ht="15.75">
      <c r="B139" s="288"/>
      <c r="C139" s="289"/>
      <c r="F139" s="290"/>
      <c r="I139" s="291"/>
    </row>
    <row r="140" spans="2:9" ht="15.75">
      <c r="B140" s="288"/>
      <c r="C140" s="289"/>
      <c r="F140" s="290"/>
      <c r="I140" s="291"/>
    </row>
    <row r="141" spans="2:9" ht="15.75">
      <c r="B141" s="288"/>
      <c r="C141" s="289"/>
      <c r="F141" s="290"/>
      <c r="I141" s="291"/>
    </row>
    <row r="142" spans="2:9" ht="15.75">
      <c r="B142" s="288"/>
      <c r="C142" s="289"/>
      <c r="F142" s="290"/>
      <c r="I142" s="291"/>
    </row>
    <row r="143" spans="2:9" ht="15.75">
      <c r="B143" s="288"/>
      <c r="C143" s="289"/>
      <c r="F143" s="290"/>
      <c r="I143" s="291"/>
    </row>
    <row r="144" spans="2:9" ht="15.75">
      <c r="B144" s="288"/>
      <c r="C144" s="289"/>
      <c r="F144" s="290"/>
      <c r="I144" s="291"/>
    </row>
    <row r="145" spans="2:9" ht="15.75">
      <c r="B145" s="288"/>
      <c r="C145" s="289"/>
      <c r="F145" s="290"/>
      <c r="I145" s="291"/>
    </row>
    <row r="146" spans="2:9" ht="15.75">
      <c r="B146" s="288"/>
      <c r="C146" s="289"/>
      <c r="F146" s="290"/>
      <c r="I146" s="291"/>
    </row>
    <row r="147" spans="2:9" ht="15.75">
      <c r="B147" s="288"/>
      <c r="C147" s="289"/>
      <c r="F147" s="290"/>
      <c r="I147" s="291"/>
    </row>
    <row r="148" spans="2:9" ht="15.75">
      <c r="B148" s="288"/>
      <c r="C148" s="289"/>
      <c r="F148" s="290"/>
      <c r="I148" s="291"/>
    </row>
    <row r="149" spans="2:9" ht="15.75">
      <c r="B149" s="288"/>
      <c r="C149" s="289"/>
      <c r="F149" s="290"/>
      <c r="I149" s="291"/>
    </row>
    <row r="150" spans="2:9" ht="15.75">
      <c r="B150" s="288"/>
      <c r="C150" s="289"/>
      <c r="F150" s="290"/>
      <c r="I150" s="291"/>
    </row>
    <row r="151" spans="2:9" ht="15.75">
      <c r="B151" s="288"/>
      <c r="C151" s="289"/>
      <c r="F151" s="290"/>
      <c r="I151" s="291"/>
    </row>
    <row r="152" spans="2:9" ht="15.75">
      <c r="B152" s="288"/>
      <c r="C152" s="289"/>
      <c r="F152" s="290"/>
      <c r="I152" s="291"/>
    </row>
    <row r="153" spans="2:9" ht="15.75">
      <c r="B153" s="288"/>
      <c r="C153" s="289"/>
      <c r="F153" s="290"/>
      <c r="I153" s="291"/>
    </row>
    <row r="154" spans="2:9" ht="15.75">
      <c r="B154" s="288"/>
      <c r="C154" s="289"/>
      <c r="F154" s="290"/>
      <c r="I154" s="291"/>
    </row>
    <row r="155" spans="2:9" ht="15.75">
      <c r="B155" s="288"/>
      <c r="C155" s="289"/>
      <c r="F155" s="290"/>
      <c r="I155" s="291"/>
    </row>
    <row r="156" spans="2:9" ht="15.75">
      <c r="B156" s="288"/>
      <c r="C156" s="289"/>
      <c r="F156" s="290"/>
      <c r="I156" s="291"/>
    </row>
    <row r="157" spans="2:9" ht="15.75">
      <c r="B157" s="288"/>
      <c r="C157" s="289"/>
      <c r="F157" s="290"/>
      <c r="I157" s="291"/>
    </row>
    <row r="158" spans="2:9" ht="15.75">
      <c r="B158" s="288"/>
      <c r="C158" s="289"/>
      <c r="F158" s="290"/>
      <c r="I158" s="291"/>
    </row>
    <row r="159" spans="2:9" ht="15.75">
      <c r="B159" s="288"/>
      <c r="C159" s="289"/>
      <c r="F159" s="290"/>
      <c r="I159" s="291"/>
    </row>
    <row r="160" spans="2:9" ht="15.75">
      <c r="B160" s="288"/>
      <c r="C160" s="289"/>
      <c r="F160" s="290"/>
      <c r="I160" s="291"/>
    </row>
    <row r="161" spans="2:9" ht="15.75">
      <c r="B161" s="288"/>
      <c r="C161" s="289"/>
      <c r="F161" s="290"/>
      <c r="I161" s="291"/>
    </row>
    <row r="162" spans="2:9" ht="15.75">
      <c r="B162" s="288"/>
      <c r="C162" s="289"/>
      <c r="F162" s="290"/>
      <c r="I162" s="291"/>
    </row>
    <row r="163" spans="2:9" ht="15.75">
      <c r="B163" s="288"/>
      <c r="C163" s="289"/>
      <c r="F163" s="290"/>
      <c r="I163" s="291"/>
    </row>
    <row r="164" spans="2:9" ht="15.75">
      <c r="B164" s="288"/>
      <c r="C164" s="289"/>
      <c r="F164" s="290"/>
      <c r="I164" s="291"/>
    </row>
    <row r="165" spans="2:9" ht="15.75">
      <c r="B165" s="288"/>
      <c r="C165" s="289"/>
      <c r="F165" s="290"/>
      <c r="I165" s="291"/>
    </row>
    <row r="166" spans="2:9" ht="15.75">
      <c r="B166" s="288"/>
      <c r="C166" s="289"/>
      <c r="F166" s="290"/>
      <c r="I166" s="291"/>
    </row>
    <row r="167" spans="2:9" ht="15.75">
      <c r="B167" s="288"/>
      <c r="C167" s="289"/>
      <c r="F167" s="290"/>
      <c r="I167" s="291"/>
    </row>
    <row r="168" spans="2:9" ht="15.75">
      <c r="B168" s="288"/>
      <c r="C168" s="289"/>
      <c r="F168" s="290"/>
      <c r="I168" s="291"/>
    </row>
    <row r="169" spans="2:9" ht="15.75">
      <c r="B169" s="288"/>
      <c r="C169" s="289"/>
      <c r="F169" s="290"/>
      <c r="I169" s="291"/>
    </row>
    <row r="170" spans="2:9" ht="15.75">
      <c r="B170" s="288"/>
      <c r="C170" s="289"/>
      <c r="F170" s="290"/>
      <c r="I170" s="291"/>
    </row>
    <row r="171" spans="2:9" ht="15.75">
      <c r="B171" s="288"/>
      <c r="C171" s="289"/>
      <c r="F171" s="290"/>
      <c r="I171" s="291"/>
    </row>
    <row r="172" spans="2:9" ht="15.75">
      <c r="B172" s="288"/>
      <c r="C172" s="289"/>
      <c r="F172" s="290"/>
      <c r="I172" s="291"/>
    </row>
    <row r="173" spans="2:9" ht="15.75">
      <c r="B173" s="288"/>
      <c r="C173" s="289"/>
      <c r="F173" s="290"/>
      <c r="I173" s="291"/>
    </row>
    <row r="174" spans="2:9" ht="15.75">
      <c r="B174" s="288"/>
      <c r="C174" s="289"/>
      <c r="F174" s="290"/>
      <c r="I174" s="291"/>
    </row>
    <row r="175" spans="2:9" ht="15.75">
      <c r="B175" s="288"/>
      <c r="C175" s="289"/>
      <c r="F175" s="290"/>
      <c r="I175" s="291"/>
    </row>
    <row r="176" spans="2:9" ht="15.75">
      <c r="B176" s="288"/>
      <c r="C176" s="289"/>
      <c r="F176" s="290"/>
      <c r="I176" s="291"/>
    </row>
    <row r="177" spans="2:9" ht="15.75">
      <c r="B177" s="288"/>
      <c r="C177" s="289"/>
      <c r="F177" s="290"/>
      <c r="I177" s="291"/>
    </row>
    <row r="178" spans="2:9" ht="15.75">
      <c r="B178" s="288"/>
      <c r="C178" s="289"/>
      <c r="F178" s="290"/>
      <c r="I178" s="291"/>
    </row>
    <row r="179" spans="2:9" ht="15.75">
      <c r="B179" s="288"/>
      <c r="C179" s="289"/>
      <c r="F179" s="290"/>
      <c r="I179" s="291"/>
    </row>
    <row r="180" spans="2:9" ht="15.75">
      <c r="B180" s="288"/>
      <c r="C180" s="289"/>
      <c r="F180" s="290"/>
      <c r="I180" s="291"/>
    </row>
    <row r="181" spans="2:9" ht="15.75">
      <c r="B181" s="288"/>
      <c r="C181" s="289"/>
      <c r="F181" s="290"/>
      <c r="I181" s="291"/>
    </row>
    <row r="182" spans="2:9" ht="15.75">
      <c r="B182" s="288"/>
      <c r="C182" s="289"/>
      <c r="F182" s="290"/>
      <c r="I182" s="291"/>
    </row>
    <row r="183" spans="2:9" ht="15.75">
      <c r="B183" s="288"/>
      <c r="C183" s="289"/>
      <c r="F183" s="290"/>
      <c r="I183" s="291"/>
    </row>
    <row r="184" spans="2:9" ht="15.75">
      <c r="B184" s="288"/>
      <c r="C184" s="289"/>
      <c r="F184" s="290"/>
      <c r="I184" s="291"/>
    </row>
    <row r="185" spans="2:9" ht="15.75">
      <c r="B185" s="288"/>
      <c r="C185" s="289"/>
      <c r="F185" s="290"/>
      <c r="I185" s="291"/>
    </row>
    <row r="186" spans="2:9" ht="15.75">
      <c r="B186" s="288"/>
      <c r="C186" s="289"/>
      <c r="F186" s="290"/>
      <c r="I186" s="291"/>
    </row>
    <row r="187" spans="2:9" ht="15.75">
      <c r="B187" s="288"/>
      <c r="C187" s="289"/>
      <c r="F187" s="290"/>
      <c r="I187" s="291"/>
    </row>
    <row r="188" spans="2:9" ht="15.75">
      <c r="B188" s="288"/>
      <c r="C188" s="289"/>
      <c r="F188" s="290"/>
      <c r="I188" s="291"/>
    </row>
    <row r="189" spans="2:9" ht="15.75">
      <c r="B189" s="288"/>
      <c r="C189" s="289"/>
      <c r="F189" s="290"/>
      <c r="I189" s="291"/>
    </row>
    <row r="190" spans="2:9" ht="15.75">
      <c r="B190" s="288"/>
      <c r="C190" s="289"/>
      <c r="F190" s="290"/>
      <c r="I190" s="291"/>
    </row>
    <row r="191" spans="2:9" ht="15.75">
      <c r="B191" s="288"/>
      <c r="C191" s="289"/>
      <c r="F191" s="290"/>
      <c r="I191" s="291"/>
    </row>
    <row r="192" spans="2:9" ht="15.75">
      <c r="B192" s="288"/>
      <c r="C192" s="289"/>
      <c r="F192" s="290"/>
      <c r="I192" s="291"/>
    </row>
    <row r="193" spans="2:9" ht="15.75">
      <c r="B193" s="288"/>
      <c r="C193" s="289"/>
      <c r="F193" s="290"/>
      <c r="I193" s="291"/>
    </row>
    <row r="194" spans="2:9" ht="15.75">
      <c r="B194" s="288"/>
      <c r="C194" s="289"/>
      <c r="F194" s="290"/>
      <c r="I194" s="291"/>
    </row>
    <row r="195" spans="2:9" ht="15.75">
      <c r="B195" s="288"/>
      <c r="C195" s="289"/>
      <c r="F195" s="290"/>
      <c r="I195" s="291"/>
    </row>
    <row r="196" spans="2:9" ht="15.75">
      <c r="B196" s="288"/>
      <c r="C196" s="289"/>
      <c r="F196" s="290"/>
      <c r="I196" s="291"/>
    </row>
    <row r="197" spans="2:9" ht="15.75">
      <c r="B197" s="288"/>
      <c r="C197" s="289"/>
      <c r="F197" s="290"/>
      <c r="I197" s="291"/>
    </row>
    <row r="198" spans="2:9" ht="15.75">
      <c r="B198" s="288"/>
      <c r="C198" s="289"/>
      <c r="F198" s="290"/>
      <c r="I198" s="291"/>
    </row>
    <row r="199" spans="2:9" ht="15.75">
      <c r="B199" s="288"/>
      <c r="C199" s="289"/>
      <c r="F199" s="290"/>
      <c r="I199" s="291"/>
    </row>
    <row r="200" spans="2:9" ht="15.75">
      <c r="B200" s="288"/>
      <c r="C200" s="289"/>
      <c r="F200" s="290"/>
      <c r="I200" s="291"/>
    </row>
    <row r="201" spans="2:9" ht="15.75">
      <c r="B201" s="288"/>
      <c r="C201" s="289"/>
      <c r="F201" s="290"/>
      <c r="I201" s="291"/>
    </row>
    <row r="202" spans="2:9" ht="15.75">
      <c r="B202" s="288"/>
      <c r="C202" s="289"/>
      <c r="F202" s="290"/>
      <c r="I202" s="291"/>
    </row>
    <row r="203" spans="2:9" ht="15.75">
      <c r="B203" s="288"/>
      <c r="C203" s="289"/>
      <c r="F203" s="290"/>
      <c r="I203" s="291"/>
    </row>
    <row r="204" spans="2:9" ht="15.75">
      <c r="B204" s="288"/>
      <c r="C204" s="289"/>
      <c r="F204" s="290"/>
      <c r="I204" s="291"/>
    </row>
    <row r="205" spans="2:9" ht="15.75">
      <c r="B205" s="288"/>
      <c r="C205" s="289"/>
      <c r="F205" s="290"/>
      <c r="I205" s="291"/>
    </row>
    <row r="206" spans="2:9" ht="15.75">
      <c r="B206" s="288"/>
      <c r="C206" s="289"/>
      <c r="F206" s="290"/>
      <c r="I206" s="291"/>
    </row>
    <row r="207" spans="2:9" ht="15.75">
      <c r="B207" s="288"/>
      <c r="C207" s="289"/>
      <c r="F207" s="290"/>
      <c r="I207" s="291"/>
    </row>
    <row r="208" spans="2:9" ht="15.75">
      <c r="B208" s="288"/>
      <c r="C208" s="289"/>
      <c r="F208" s="290"/>
      <c r="I208" s="291"/>
    </row>
    <row r="209" spans="2:9" ht="15.75">
      <c r="B209" s="288"/>
      <c r="C209" s="289"/>
      <c r="F209" s="290"/>
      <c r="I209" s="291"/>
    </row>
    <row r="210" spans="2:9" ht="15.75">
      <c r="B210" s="288"/>
      <c r="C210" s="289"/>
      <c r="F210" s="290"/>
      <c r="I210" s="291"/>
    </row>
    <row r="211" spans="2:9" ht="15.75">
      <c r="B211" s="288"/>
      <c r="C211" s="289"/>
      <c r="F211" s="290"/>
      <c r="I211" s="291"/>
    </row>
    <row r="212" spans="2:9" ht="15.75">
      <c r="B212" s="288"/>
      <c r="C212" s="289"/>
      <c r="F212" s="290"/>
      <c r="I212" s="291"/>
    </row>
    <row r="213" spans="2:9" ht="15.75">
      <c r="B213" s="288"/>
      <c r="C213" s="289"/>
      <c r="F213" s="290"/>
      <c r="I213" s="291"/>
    </row>
    <row r="214" spans="2:9" ht="15.75">
      <c r="B214" s="288"/>
      <c r="C214" s="289"/>
      <c r="F214" s="290"/>
      <c r="I214" s="291"/>
    </row>
    <row r="215" spans="2:9" ht="15.75">
      <c r="B215" s="288"/>
      <c r="C215" s="289"/>
      <c r="F215" s="290"/>
      <c r="I215" s="291"/>
    </row>
    <row r="216" spans="2:9" ht="15.75">
      <c r="B216" s="288"/>
      <c r="C216" s="289"/>
      <c r="F216" s="290"/>
      <c r="I216" s="291"/>
    </row>
    <row r="217" spans="2:9" ht="15.75">
      <c r="B217" s="288"/>
      <c r="C217" s="289"/>
      <c r="F217" s="290"/>
      <c r="I217" s="291"/>
    </row>
    <row r="218" spans="2:9" ht="15.75">
      <c r="B218" s="288"/>
      <c r="C218" s="289"/>
      <c r="F218" s="290"/>
      <c r="I218" s="291"/>
    </row>
    <row r="219" spans="2:9" ht="15.75">
      <c r="B219" s="288"/>
      <c r="C219" s="289"/>
      <c r="F219" s="290"/>
      <c r="I219" s="291"/>
    </row>
    <row r="220" spans="2:9" ht="15.75">
      <c r="B220" s="288"/>
      <c r="C220" s="289"/>
      <c r="F220" s="290"/>
      <c r="I220" s="291"/>
    </row>
    <row r="221" spans="2:9" ht="15.75">
      <c r="B221" s="288"/>
      <c r="C221" s="289"/>
      <c r="F221" s="290"/>
      <c r="I221" s="291"/>
    </row>
    <row r="222" spans="2:9" ht="15.75">
      <c r="B222" s="288"/>
      <c r="C222" s="289"/>
      <c r="F222" s="290"/>
      <c r="I222" s="291"/>
    </row>
    <row r="223" spans="2:9" ht="15.75">
      <c r="B223" s="288"/>
      <c r="C223" s="289"/>
      <c r="F223" s="290"/>
      <c r="I223" s="291"/>
    </row>
    <row r="224" spans="2:9" ht="15.75">
      <c r="B224" s="288"/>
      <c r="C224" s="289"/>
      <c r="F224" s="290"/>
      <c r="I224" s="291"/>
    </row>
    <row r="225" spans="2:9" ht="15.75">
      <c r="B225" s="288"/>
      <c r="C225" s="289"/>
      <c r="F225" s="290"/>
      <c r="I225" s="291"/>
    </row>
    <row r="226" spans="2:9" ht="15.75">
      <c r="B226" s="288"/>
      <c r="C226" s="289"/>
      <c r="F226" s="290"/>
      <c r="I226" s="291"/>
    </row>
    <row r="227" spans="2:9" ht="15.75">
      <c r="B227" s="288"/>
      <c r="C227" s="289"/>
      <c r="F227" s="290"/>
      <c r="I227" s="291"/>
    </row>
    <row r="228" spans="2:9" ht="15.75">
      <c r="B228" s="288"/>
      <c r="C228" s="289"/>
      <c r="F228" s="290"/>
      <c r="I228" s="291"/>
    </row>
    <row r="229" spans="2:9" ht="15.75">
      <c r="B229" s="288"/>
      <c r="C229" s="289"/>
      <c r="F229" s="290"/>
      <c r="I229" s="291"/>
    </row>
    <row r="230" spans="2:9" ht="15.75">
      <c r="B230" s="288"/>
      <c r="C230" s="289"/>
      <c r="F230" s="290"/>
      <c r="I230" s="291"/>
    </row>
    <row r="231" spans="2:9" ht="15.75">
      <c r="B231" s="288"/>
      <c r="C231" s="289"/>
      <c r="F231" s="290"/>
      <c r="I231" s="291"/>
    </row>
    <row r="232" spans="2:9" ht="15.75">
      <c r="B232" s="288"/>
      <c r="C232" s="289"/>
      <c r="F232" s="290"/>
      <c r="I232" s="291"/>
    </row>
    <row r="233" spans="2:9" ht="15.75">
      <c r="B233" s="288"/>
      <c r="C233" s="289"/>
      <c r="F233" s="290"/>
      <c r="I233" s="291"/>
    </row>
    <row r="234" spans="2:9" ht="15.75">
      <c r="B234" s="288"/>
      <c r="C234" s="289"/>
      <c r="F234" s="290"/>
      <c r="I234" s="291"/>
    </row>
    <row r="235" spans="2:9" ht="15.75">
      <c r="B235" s="288"/>
      <c r="C235" s="289"/>
      <c r="F235" s="290"/>
      <c r="I235" s="291"/>
    </row>
    <row r="236" spans="2:9" ht="15.75">
      <c r="B236" s="288"/>
      <c r="C236" s="289"/>
      <c r="F236" s="290"/>
      <c r="I236" s="291"/>
    </row>
    <row r="237" spans="2:9" ht="15.75">
      <c r="B237" s="288"/>
      <c r="C237" s="289"/>
      <c r="F237" s="290"/>
      <c r="I237" s="291"/>
    </row>
    <row r="238" spans="2:9" ht="15.75">
      <c r="B238" s="288"/>
      <c r="C238" s="289"/>
      <c r="F238" s="290"/>
      <c r="I238" s="291"/>
    </row>
    <row r="239" spans="2:9" ht="15.75">
      <c r="B239" s="288"/>
      <c r="C239" s="289"/>
      <c r="F239" s="290"/>
      <c r="I239" s="291"/>
    </row>
    <row r="240" spans="2:9" ht="15.75">
      <c r="B240" s="288"/>
      <c r="C240" s="289"/>
      <c r="F240" s="290"/>
      <c r="I240" s="291"/>
    </row>
    <row r="241" spans="2:9" ht="15.75">
      <c r="B241" s="288"/>
      <c r="C241" s="289"/>
      <c r="F241" s="290"/>
      <c r="I241" s="291"/>
    </row>
    <row r="242" spans="2:9" ht="15.75">
      <c r="B242" s="288"/>
      <c r="C242" s="289"/>
      <c r="F242" s="290"/>
      <c r="I242" s="291"/>
    </row>
    <row r="243" spans="2:9" ht="15.75">
      <c r="B243" s="288"/>
      <c r="C243" s="289"/>
      <c r="F243" s="290"/>
      <c r="I243" s="291"/>
    </row>
    <row r="244" spans="2:9" ht="15.75">
      <c r="B244" s="288"/>
      <c r="C244" s="289"/>
      <c r="F244" s="290"/>
      <c r="I244" s="291"/>
    </row>
    <row r="245" spans="2:9" ht="15.75">
      <c r="B245" s="288"/>
      <c r="C245" s="289"/>
      <c r="F245" s="290"/>
      <c r="I245" s="291"/>
    </row>
    <row r="246" spans="2:9" ht="15.75">
      <c r="B246" s="288"/>
      <c r="C246" s="289"/>
      <c r="F246" s="290"/>
      <c r="I246" s="291"/>
    </row>
    <row r="247" spans="2:9" ht="15.75">
      <c r="B247" s="288"/>
      <c r="C247" s="289"/>
      <c r="F247" s="290"/>
      <c r="I247" s="291"/>
    </row>
    <row r="248" spans="2:9" ht="15.75">
      <c r="B248" s="288"/>
      <c r="C248" s="289"/>
      <c r="F248" s="290"/>
      <c r="I248" s="291"/>
    </row>
    <row r="249" spans="2:9" ht="15.75">
      <c r="B249" s="288"/>
      <c r="C249" s="289"/>
      <c r="F249" s="290"/>
      <c r="I249" s="291"/>
    </row>
    <row r="250" spans="2:9" ht="15.75">
      <c r="B250" s="288"/>
      <c r="C250" s="289"/>
      <c r="F250" s="290"/>
      <c r="I250" s="291"/>
    </row>
    <row r="251" spans="2:9" ht="15.75">
      <c r="B251" s="288"/>
      <c r="C251" s="289"/>
      <c r="F251" s="290"/>
      <c r="I251" s="291"/>
    </row>
    <row r="252" spans="2:9" ht="15.75">
      <c r="B252" s="288"/>
      <c r="C252" s="289"/>
      <c r="F252" s="290"/>
      <c r="I252" s="291"/>
    </row>
    <row r="253" spans="2:9" ht="15.75">
      <c r="B253" s="288"/>
      <c r="C253" s="289"/>
      <c r="F253" s="290"/>
      <c r="I253" s="291"/>
    </row>
    <row r="254" spans="2:9" ht="15.75">
      <c r="B254" s="288"/>
      <c r="C254" s="289"/>
      <c r="F254" s="290"/>
      <c r="I254" s="291"/>
    </row>
    <row r="255" spans="2:9" ht="15.75">
      <c r="B255" s="288"/>
      <c r="C255" s="289"/>
      <c r="F255" s="290"/>
      <c r="I255" s="291"/>
    </row>
    <row r="256" spans="2:9" ht="15.75">
      <c r="B256" s="288"/>
      <c r="C256" s="289"/>
      <c r="F256" s="290"/>
      <c r="I256" s="291"/>
    </row>
    <row r="257" spans="2:9" ht="15.75">
      <c r="B257" s="288"/>
      <c r="C257" s="289"/>
      <c r="F257" s="290"/>
      <c r="I257" s="291"/>
    </row>
    <row r="258" spans="2:9" ht="15.75">
      <c r="B258" s="288"/>
      <c r="C258" s="289"/>
      <c r="F258" s="290"/>
      <c r="I258" s="291"/>
    </row>
    <row r="259" spans="2:9" ht="15.75">
      <c r="B259" s="288"/>
      <c r="C259" s="289"/>
      <c r="F259" s="290"/>
      <c r="I259" s="291"/>
    </row>
    <row r="260" spans="2:9" ht="15.75">
      <c r="B260" s="288"/>
      <c r="C260" s="289"/>
      <c r="F260" s="290"/>
      <c r="I260" s="291"/>
    </row>
    <row r="261" spans="2:9" ht="15.75">
      <c r="B261" s="288"/>
      <c r="C261" s="289"/>
      <c r="F261" s="290"/>
      <c r="I261" s="291"/>
    </row>
    <row r="262" spans="2:9" ht="15.75">
      <c r="B262" s="288"/>
      <c r="C262" s="289"/>
      <c r="F262" s="290"/>
      <c r="I262" s="291"/>
    </row>
    <row r="263" spans="2:9" ht="15.75">
      <c r="B263" s="288"/>
      <c r="C263" s="289"/>
      <c r="F263" s="290"/>
      <c r="I263" s="291"/>
    </row>
    <row r="264" spans="2:9" ht="15.75">
      <c r="B264" s="288"/>
      <c r="C264" s="289"/>
      <c r="F264" s="290"/>
      <c r="I264" s="291"/>
    </row>
    <row r="265" spans="2:9" ht="15.75">
      <c r="B265" s="288"/>
      <c r="C265" s="289"/>
      <c r="F265" s="290"/>
      <c r="I265" s="291"/>
    </row>
    <row r="266" spans="2:9" ht="15.75">
      <c r="B266" s="288"/>
      <c r="C266" s="289"/>
      <c r="F266" s="290"/>
      <c r="I266" s="291"/>
    </row>
    <row r="267" spans="2:9" ht="15.75">
      <c r="B267" s="288"/>
      <c r="C267" s="289"/>
      <c r="F267" s="290"/>
      <c r="I267" s="291"/>
    </row>
    <row r="268" spans="2:9" ht="15.75">
      <c r="B268" s="288"/>
      <c r="C268" s="289"/>
      <c r="F268" s="290"/>
      <c r="I268" s="291"/>
    </row>
    <row r="269" spans="2:9" ht="15.75">
      <c r="B269" s="288"/>
      <c r="C269" s="289"/>
      <c r="F269" s="290"/>
      <c r="I269" s="291"/>
    </row>
    <row r="270" spans="2:9" ht="15.75">
      <c r="B270" s="288"/>
      <c r="C270" s="289"/>
      <c r="F270" s="290"/>
      <c r="I270" s="291"/>
    </row>
    <row r="271" spans="2:9" ht="15.75">
      <c r="B271" s="288"/>
      <c r="C271" s="289"/>
      <c r="F271" s="290"/>
      <c r="I271" s="291"/>
    </row>
    <row r="272" spans="2:9" ht="15.75">
      <c r="B272" s="288"/>
      <c r="C272" s="289"/>
      <c r="F272" s="290"/>
      <c r="I272" s="291"/>
    </row>
    <row r="273" spans="2:9" ht="15.75">
      <c r="B273" s="288"/>
      <c r="C273" s="289"/>
      <c r="F273" s="290"/>
      <c r="I273" s="291"/>
    </row>
    <row r="274" spans="2:9" ht="15.75">
      <c r="B274" s="288"/>
      <c r="C274" s="289"/>
      <c r="F274" s="290"/>
      <c r="I274" s="291"/>
    </row>
    <row r="275" spans="2:9" ht="15.75">
      <c r="B275" s="288"/>
      <c r="C275" s="289"/>
      <c r="F275" s="290"/>
      <c r="I275" s="291"/>
    </row>
    <row r="276" spans="2:9" ht="15.75">
      <c r="B276" s="288"/>
      <c r="C276" s="289"/>
      <c r="F276" s="290"/>
      <c r="I276" s="291"/>
    </row>
    <row r="277" spans="2:9" ht="15.75">
      <c r="B277" s="288"/>
      <c r="C277" s="289"/>
      <c r="F277" s="290"/>
      <c r="I277" s="291"/>
    </row>
    <row r="278" spans="2:9" ht="15.75">
      <c r="B278" s="288"/>
      <c r="C278" s="289"/>
      <c r="F278" s="290"/>
      <c r="I278" s="291"/>
    </row>
    <row r="279" spans="2:9" ht="15.75">
      <c r="B279" s="288"/>
      <c r="C279" s="289"/>
      <c r="F279" s="290"/>
      <c r="I279" s="291"/>
    </row>
    <row r="280" spans="2:9" ht="15.75">
      <c r="B280" s="288"/>
      <c r="C280" s="289"/>
      <c r="F280" s="290"/>
      <c r="I280" s="291"/>
    </row>
    <row r="281" spans="2:9" ht="15.75">
      <c r="B281" s="288"/>
      <c r="C281" s="289"/>
      <c r="F281" s="290"/>
      <c r="I281" s="291"/>
    </row>
    <row r="282" spans="2:9" ht="15.75">
      <c r="B282" s="288"/>
      <c r="C282" s="289"/>
      <c r="F282" s="290"/>
      <c r="I282" s="291"/>
    </row>
    <row r="283" spans="2:9" ht="15.75">
      <c r="B283" s="288"/>
      <c r="C283" s="289"/>
      <c r="F283" s="290"/>
      <c r="I283" s="291"/>
    </row>
    <row r="284" spans="2:9" ht="15.75">
      <c r="B284" s="288"/>
      <c r="C284" s="289"/>
      <c r="F284" s="290"/>
      <c r="I284" s="291"/>
    </row>
    <row r="285" spans="2:9" ht="15.75">
      <c r="B285" s="288"/>
      <c r="C285" s="289"/>
      <c r="F285" s="290"/>
      <c r="I285" s="291"/>
    </row>
    <row r="286" spans="2:9" ht="15.75">
      <c r="B286" s="288"/>
      <c r="C286" s="289"/>
      <c r="F286" s="290"/>
      <c r="I286" s="291"/>
    </row>
    <row r="287" spans="2:9" ht="15.75">
      <c r="B287" s="288"/>
      <c r="C287" s="289"/>
      <c r="F287" s="290"/>
      <c r="I287" s="291"/>
    </row>
    <row r="288" spans="2:9" ht="15.75">
      <c r="B288" s="288"/>
      <c r="C288" s="289"/>
      <c r="F288" s="290"/>
      <c r="I288" s="291"/>
    </row>
    <row r="289" spans="2:9" ht="15.75">
      <c r="B289" s="288"/>
      <c r="C289" s="289"/>
      <c r="F289" s="290"/>
      <c r="I289" s="291"/>
    </row>
    <row r="290" spans="2:9" ht="15.75">
      <c r="B290" s="288"/>
      <c r="C290" s="289"/>
      <c r="F290" s="290"/>
      <c r="I290" s="291"/>
    </row>
    <row r="291" spans="2:9" ht="15.75">
      <c r="B291" s="288"/>
      <c r="C291" s="289"/>
      <c r="F291" s="290"/>
      <c r="I291" s="291"/>
    </row>
    <row r="292" spans="2:9" ht="15.75">
      <c r="B292" s="288"/>
      <c r="C292" s="289"/>
      <c r="F292" s="290"/>
      <c r="I292" s="291"/>
    </row>
    <row r="293" spans="2:9" ht="15.75">
      <c r="B293" s="288"/>
      <c r="C293" s="289"/>
      <c r="F293" s="290"/>
      <c r="I293" s="291"/>
    </row>
    <row r="294" spans="2:9" ht="15.75">
      <c r="B294" s="288"/>
      <c r="C294" s="289"/>
      <c r="F294" s="290"/>
      <c r="I294" s="291"/>
    </row>
    <row r="295" spans="2:9" ht="15.75">
      <c r="B295" s="288"/>
      <c r="C295" s="289"/>
      <c r="F295" s="290"/>
      <c r="I295" s="291"/>
    </row>
    <row r="296" spans="2:9" ht="15.75">
      <c r="B296" s="288"/>
      <c r="C296" s="289"/>
      <c r="F296" s="290"/>
      <c r="I296" s="291"/>
    </row>
    <row r="297" spans="2:9" ht="15.75">
      <c r="B297" s="288"/>
      <c r="C297" s="289"/>
      <c r="F297" s="290"/>
      <c r="I297" s="291"/>
    </row>
    <row r="298" spans="2:9" ht="15.75">
      <c r="B298" s="288"/>
      <c r="C298" s="289"/>
      <c r="F298" s="290"/>
      <c r="I298" s="291"/>
    </row>
    <row r="299" spans="2:9" ht="15.75">
      <c r="B299" s="288"/>
      <c r="C299" s="289"/>
      <c r="F299" s="290"/>
      <c r="I299" s="291"/>
    </row>
    <row r="300" spans="2:9" ht="15.75">
      <c r="B300" s="288"/>
      <c r="C300" s="289"/>
      <c r="F300" s="290"/>
      <c r="I300" s="291"/>
    </row>
    <row r="301" spans="2:9" ht="15.75">
      <c r="B301" s="288"/>
      <c r="C301" s="289"/>
      <c r="F301" s="290"/>
      <c r="I301" s="291"/>
    </row>
    <row r="302" spans="2:9" ht="15.75">
      <c r="B302" s="288"/>
      <c r="C302" s="289"/>
      <c r="F302" s="290"/>
      <c r="I302" s="291"/>
    </row>
    <row r="303" spans="2:9" ht="15.75">
      <c r="B303" s="288"/>
      <c r="C303" s="289"/>
      <c r="F303" s="290"/>
      <c r="I303" s="291"/>
    </row>
    <row r="304" spans="2:9" ht="15.75">
      <c r="B304" s="288"/>
      <c r="C304" s="289"/>
      <c r="F304" s="290"/>
      <c r="I304" s="291"/>
    </row>
    <row r="305" spans="2:9" ht="15.75">
      <c r="B305" s="288"/>
      <c r="C305" s="289"/>
      <c r="F305" s="290"/>
      <c r="I305" s="291"/>
    </row>
    <row r="306" spans="2:9" ht="15.75">
      <c r="B306" s="288"/>
      <c r="C306" s="289"/>
      <c r="F306" s="290"/>
      <c r="I306" s="291"/>
    </row>
    <row r="307" spans="2:9" ht="15.75">
      <c r="B307" s="288"/>
      <c r="C307" s="289"/>
      <c r="F307" s="290"/>
      <c r="I307" s="291"/>
    </row>
    <row r="308" spans="2:9" ht="15.75">
      <c r="B308" s="288"/>
      <c r="C308" s="289"/>
      <c r="F308" s="290"/>
      <c r="I308" s="291"/>
    </row>
    <row r="309" spans="2:9" ht="15.75">
      <c r="B309" s="288"/>
      <c r="C309" s="289"/>
      <c r="F309" s="290"/>
      <c r="I309" s="291"/>
    </row>
    <row r="310" spans="2:9" ht="15.75">
      <c r="B310" s="288"/>
      <c r="C310" s="289"/>
      <c r="F310" s="290"/>
      <c r="I310" s="291"/>
    </row>
    <row r="311" spans="2:9" ht="15.75">
      <c r="B311" s="288"/>
      <c r="C311" s="289"/>
      <c r="F311" s="290"/>
      <c r="I311" s="291"/>
    </row>
    <row r="312" spans="2:9" ht="15.75">
      <c r="B312" s="288"/>
      <c r="C312" s="289"/>
      <c r="F312" s="290"/>
      <c r="I312" s="291"/>
    </row>
    <row r="313" spans="2:9" ht="15.75">
      <c r="B313" s="288"/>
      <c r="C313" s="289"/>
      <c r="F313" s="290"/>
      <c r="I313" s="291"/>
    </row>
    <row r="314" spans="2:9" ht="15.75">
      <c r="B314" s="288"/>
      <c r="C314" s="289"/>
      <c r="F314" s="290"/>
      <c r="I314" s="291"/>
    </row>
    <row r="315" spans="2:9" ht="15.75">
      <c r="B315" s="288"/>
      <c r="C315" s="289"/>
      <c r="F315" s="290"/>
      <c r="I315" s="291"/>
    </row>
    <row r="316" spans="2:9" ht="15.75">
      <c r="B316" s="288"/>
      <c r="C316" s="289"/>
      <c r="F316" s="290"/>
      <c r="I316" s="291"/>
    </row>
    <row r="317" spans="2:9" ht="15.75">
      <c r="B317" s="288"/>
      <c r="C317" s="289"/>
      <c r="F317" s="290"/>
      <c r="I317" s="291"/>
    </row>
    <row r="318" spans="2:9" ht="15.75">
      <c r="B318" s="288"/>
      <c r="C318" s="289"/>
      <c r="F318" s="290"/>
      <c r="I318" s="291"/>
    </row>
    <row r="319" spans="2:9" ht="15.75">
      <c r="B319" s="288"/>
      <c r="C319" s="289"/>
      <c r="F319" s="290"/>
      <c r="I319" s="291"/>
    </row>
    <row r="320" spans="2:9" ht="15.75">
      <c r="B320" s="288"/>
      <c r="C320" s="289"/>
      <c r="F320" s="290"/>
      <c r="I320" s="291"/>
    </row>
    <row r="321" spans="2:9" ht="15.75">
      <c r="B321" s="288"/>
      <c r="C321" s="289"/>
      <c r="F321" s="290"/>
      <c r="I321" s="291"/>
    </row>
    <row r="322" spans="2:9" ht="15.75">
      <c r="B322" s="288"/>
      <c r="C322" s="289"/>
      <c r="F322" s="290"/>
      <c r="I322" s="291"/>
    </row>
    <row r="323" spans="2:9" ht="15.75">
      <c r="B323" s="288"/>
      <c r="C323" s="289"/>
      <c r="F323" s="290"/>
      <c r="I323" s="291"/>
    </row>
    <row r="324" spans="2:9" ht="15.75">
      <c r="B324" s="288"/>
      <c r="C324" s="289"/>
      <c r="F324" s="290"/>
      <c r="I324" s="291"/>
    </row>
    <row r="325" spans="2:9" ht="15.75">
      <c r="B325" s="288"/>
      <c r="C325" s="289"/>
      <c r="F325" s="290"/>
      <c r="I325" s="291"/>
    </row>
    <row r="326" spans="2:9" ht="15.75">
      <c r="B326" s="288"/>
      <c r="C326" s="289"/>
      <c r="F326" s="290"/>
      <c r="I326" s="291"/>
    </row>
    <row r="327" spans="2:9" ht="15.75">
      <c r="B327" s="288"/>
      <c r="C327" s="289"/>
      <c r="F327" s="290"/>
      <c r="I327" s="291"/>
    </row>
    <row r="328" spans="2:9" ht="15.75">
      <c r="B328" s="288"/>
      <c r="C328" s="289"/>
      <c r="F328" s="290"/>
      <c r="I328" s="291"/>
    </row>
    <row r="329" spans="2:9" ht="15.75">
      <c r="B329" s="288"/>
      <c r="C329" s="289"/>
      <c r="F329" s="290"/>
      <c r="I329" s="291"/>
    </row>
    <row r="330" spans="2:9" ht="15.75">
      <c r="B330" s="288"/>
      <c r="C330" s="289"/>
      <c r="F330" s="290"/>
      <c r="I330" s="291"/>
    </row>
    <row r="331" spans="2:9" ht="15.75">
      <c r="B331" s="288"/>
      <c r="C331" s="289"/>
      <c r="F331" s="290"/>
      <c r="I331" s="291"/>
    </row>
    <row r="332" spans="2:9" ht="15.75">
      <c r="B332" s="288"/>
      <c r="C332" s="289"/>
      <c r="F332" s="290"/>
      <c r="I332" s="291"/>
    </row>
    <row r="333" spans="2:9" ht="15.75">
      <c r="B333" s="288"/>
      <c r="C333" s="289"/>
      <c r="F333" s="290"/>
      <c r="I333" s="291"/>
    </row>
    <row r="334" spans="2:9" ht="15.75">
      <c r="B334" s="288"/>
      <c r="C334" s="289"/>
      <c r="F334" s="290"/>
      <c r="I334" s="291"/>
    </row>
    <row r="335" spans="2:9" ht="15.75">
      <c r="B335" s="288"/>
      <c r="C335" s="289"/>
      <c r="F335" s="290"/>
      <c r="I335" s="291"/>
    </row>
    <row r="336" spans="2:9" ht="15.75">
      <c r="B336" s="288"/>
      <c r="C336" s="289"/>
      <c r="F336" s="290"/>
      <c r="I336" s="291"/>
    </row>
    <row r="337" spans="2:9" ht="15.75">
      <c r="B337" s="288"/>
      <c r="C337" s="289"/>
      <c r="F337" s="290"/>
      <c r="I337" s="291"/>
    </row>
    <row r="338" spans="2:9" ht="15.75">
      <c r="B338" s="288"/>
      <c r="C338" s="289"/>
      <c r="F338" s="290"/>
      <c r="I338" s="291"/>
    </row>
    <row r="339" spans="2:9" ht="15.75">
      <c r="B339" s="288"/>
      <c r="C339" s="289"/>
      <c r="F339" s="290"/>
      <c r="I339" s="291"/>
    </row>
    <row r="340" spans="2:9" ht="15.75">
      <c r="B340" s="288"/>
      <c r="C340" s="289"/>
      <c r="F340" s="290"/>
      <c r="I340" s="291"/>
    </row>
    <row r="341" spans="2:9" ht="15.75">
      <c r="B341" s="288"/>
      <c r="C341" s="289"/>
      <c r="F341" s="290"/>
      <c r="I341" s="291"/>
    </row>
    <row r="342" spans="2:9" ht="15.75">
      <c r="B342" s="288"/>
      <c r="C342" s="289"/>
      <c r="F342" s="290"/>
      <c r="I342" s="291"/>
    </row>
    <row r="343" spans="2:9" ht="15.75">
      <c r="B343" s="288"/>
      <c r="C343" s="289"/>
      <c r="F343" s="290"/>
      <c r="I343" s="291"/>
    </row>
    <row r="344" spans="2:9" ht="15.75">
      <c r="B344" s="288"/>
      <c r="C344" s="289"/>
      <c r="F344" s="290"/>
      <c r="I344" s="291"/>
    </row>
    <row r="345" spans="2:9" ht="15.75">
      <c r="B345" s="288"/>
      <c r="C345" s="289"/>
      <c r="F345" s="290"/>
      <c r="I345" s="291"/>
    </row>
    <row r="346" spans="2:9" ht="15.75">
      <c r="B346" s="288"/>
      <c r="C346" s="289"/>
      <c r="F346" s="290"/>
      <c r="I346" s="291"/>
    </row>
    <row r="347" spans="2:9" ht="15.75">
      <c r="B347" s="288"/>
      <c r="C347" s="289"/>
      <c r="F347" s="290"/>
      <c r="I347" s="291"/>
    </row>
    <row r="348" spans="2:9" ht="15.75">
      <c r="B348" s="288"/>
      <c r="C348" s="289"/>
      <c r="F348" s="290"/>
      <c r="I348" s="291"/>
    </row>
    <row r="349" spans="2:9" ht="15.75">
      <c r="B349" s="288"/>
      <c r="C349" s="289"/>
      <c r="F349" s="290"/>
      <c r="I349" s="291"/>
    </row>
    <row r="350" spans="2:9" ht="15.75">
      <c r="B350" s="288"/>
      <c r="C350" s="289"/>
      <c r="F350" s="290"/>
      <c r="I350" s="291"/>
    </row>
    <row r="351" spans="2:9" ht="15.75">
      <c r="B351" s="288"/>
      <c r="C351" s="289"/>
      <c r="F351" s="290"/>
      <c r="I351" s="291"/>
    </row>
    <row r="352" spans="2:9" ht="15.75">
      <c r="B352" s="288"/>
      <c r="C352" s="289"/>
      <c r="F352" s="290"/>
      <c r="I352" s="291"/>
    </row>
    <row r="353" spans="2:9" ht="15.75">
      <c r="B353" s="288"/>
      <c r="C353" s="289"/>
      <c r="F353" s="290"/>
      <c r="I353" s="291"/>
    </row>
    <row r="354" spans="2:9" ht="15.75">
      <c r="B354" s="288"/>
      <c r="C354" s="289"/>
      <c r="F354" s="290"/>
      <c r="I354" s="291"/>
    </row>
    <row r="355" spans="2:9" ht="15.75">
      <c r="B355" s="288"/>
      <c r="C355" s="289"/>
      <c r="F355" s="290"/>
      <c r="I355" s="291"/>
    </row>
    <row r="356" spans="2:9" ht="15.75">
      <c r="B356" s="288"/>
      <c r="C356" s="289"/>
      <c r="F356" s="290"/>
      <c r="I356" s="291"/>
    </row>
    <row r="357" spans="2:9" ht="15.75">
      <c r="B357" s="288"/>
      <c r="C357" s="289"/>
      <c r="F357" s="290"/>
      <c r="I357" s="291"/>
    </row>
    <row r="358" spans="2:9" ht="15.75">
      <c r="B358" s="288"/>
      <c r="C358" s="289"/>
      <c r="F358" s="290"/>
      <c r="I358" s="291"/>
    </row>
    <row r="359" spans="2:9" ht="15.75">
      <c r="B359" s="288"/>
      <c r="C359" s="289"/>
      <c r="F359" s="290"/>
      <c r="I359" s="291"/>
    </row>
    <row r="360" spans="2:9" ht="15.75">
      <c r="B360" s="288"/>
      <c r="C360" s="289"/>
      <c r="F360" s="290"/>
      <c r="I360" s="291"/>
    </row>
    <row r="361" spans="2:9" ht="15.75">
      <c r="B361" s="288"/>
      <c r="C361" s="289"/>
      <c r="F361" s="290"/>
      <c r="I361" s="291"/>
    </row>
    <row r="362" spans="2:9" ht="15.75">
      <c r="B362" s="288"/>
      <c r="C362" s="289"/>
      <c r="F362" s="290"/>
      <c r="I362" s="291"/>
    </row>
    <row r="363" spans="2:9" ht="15.75">
      <c r="B363" s="288"/>
      <c r="C363" s="289"/>
      <c r="F363" s="290"/>
      <c r="I363" s="291"/>
    </row>
    <row r="364" spans="2:9" ht="15.75">
      <c r="B364" s="288"/>
      <c r="C364" s="289"/>
      <c r="F364" s="290"/>
      <c r="I364" s="291"/>
    </row>
    <row r="365" spans="2:9" ht="15.75">
      <c r="B365" s="288"/>
      <c r="C365" s="289"/>
      <c r="F365" s="290"/>
      <c r="I365" s="291"/>
    </row>
    <row r="366" spans="2:9" ht="15.75">
      <c r="B366" s="288"/>
      <c r="C366" s="289"/>
      <c r="F366" s="290"/>
      <c r="I366" s="291"/>
    </row>
    <row r="367" spans="2:9" ht="15.75">
      <c r="B367" s="288"/>
      <c r="C367" s="289"/>
      <c r="F367" s="290"/>
      <c r="I367" s="291"/>
    </row>
    <row r="368" spans="2:9" ht="15.75">
      <c r="B368" s="288"/>
      <c r="C368" s="289"/>
      <c r="F368" s="290"/>
      <c r="I368" s="291"/>
    </row>
    <row r="369" spans="2:9" ht="15.75">
      <c r="B369" s="288"/>
      <c r="C369" s="289"/>
      <c r="F369" s="290"/>
      <c r="I369" s="291"/>
    </row>
    <row r="370" spans="2:9" ht="15.75">
      <c r="B370" s="288"/>
      <c r="C370" s="289"/>
      <c r="F370" s="290"/>
      <c r="I370" s="291"/>
    </row>
    <row r="371" spans="2:9" ht="15.75">
      <c r="B371" s="288"/>
      <c r="C371" s="289"/>
      <c r="F371" s="290"/>
      <c r="I371" s="291"/>
    </row>
    <row r="372" spans="2:9" ht="15.75">
      <c r="B372" s="288"/>
      <c r="C372" s="289"/>
      <c r="F372" s="290"/>
      <c r="I372" s="291"/>
    </row>
    <row r="373" spans="2:9" ht="15.75">
      <c r="B373" s="288"/>
      <c r="C373" s="289"/>
      <c r="F373" s="290"/>
      <c r="I373" s="291"/>
    </row>
    <row r="374" spans="2:9" ht="15.75">
      <c r="B374" s="288"/>
      <c r="C374" s="289"/>
      <c r="F374" s="290"/>
      <c r="I374" s="291"/>
    </row>
    <row r="375" spans="2:9" ht="15.75">
      <c r="B375" s="288"/>
      <c r="C375" s="289"/>
      <c r="F375" s="290"/>
      <c r="I375" s="291"/>
    </row>
    <row r="376" spans="2:9" ht="15.75">
      <c r="B376" s="288"/>
      <c r="C376" s="289"/>
      <c r="F376" s="290"/>
      <c r="I376" s="291"/>
    </row>
    <row r="377" spans="2:9" ht="15.75">
      <c r="B377" s="288"/>
      <c r="C377" s="289"/>
      <c r="F377" s="290"/>
      <c r="I377" s="291"/>
    </row>
    <row r="378" spans="2:9" ht="15.75">
      <c r="B378" s="288"/>
      <c r="C378" s="289"/>
      <c r="F378" s="290"/>
      <c r="I378" s="291"/>
    </row>
    <row r="379" spans="2:9" ht="15.75">
      <c r="B379" s="288"/>
      <c r="C379" s="289"/>
      <c r="F379" s="290"/>
      <c r="I379" s="291"/>
    </row>
    <row r="380" spans="2:9" ht="15.75">
      <c r="B380" s="288"/>
      <c r="C380" s="289"/>
      <c r="F380" s="290"/>
      <c r="I380" s="291"/>
    </row>
    <row r="381" spans="2:9" ht="15.75">
      <c r="B381" s="288"/>
      <c r="C381" s="289"/>
      <c r="F381" s="290"/>
      <c r="I381" s="291"/>
    </row>
    <row r="382" spans="2:9" ht="15.75">
      <c r="B382" s="288"/>
      <c r="C382" s="289"/>
      <c r="F382" s="290"/>
      <c r="I382" s="291"/>
    </row>
    <row r="383" spans="2:9" ht="15.75">
      <c r="B383" s="288"/>
      <c r="C383" s="289"/>
      <c r="F383" s="290"/>
      <c r="I383" s="291"/>
    </row>
    <row r="384" spans="2:9" ht="15.75">
      <c r="B384" s="288"/>
      <c r="C384" s="289"/>
      <c r="F384" s="290"/>
      <c r="I384" s="291"/>
    </row>
    <row r="385" spans="2:9" ht="15.75">
      <c r="B385" s="288"/>
      <c r="C385" s="289"/>
      <c r="F385" s="290"/>
      <c r="I385" s="291"/>
    </row>
    <row r="386" spans="2:9" ht="15.75">
      <c r="B386" s="288"/>
      <c r="C386" s="289"/>
      <c r="F386" s="290"/>
      <c r="I386" s="291"/>
    </row>
    <row r="387" spans="2:9" ht="15.75">
      <c r="B387" s="288"/>
      <c r="C387" s="289"/>
      <c r="F387" s="290"/>
      <c r="I387" s="291"/>
    </row>
    <row r="388" spans="2:9" ht="15.75">
      <c r="B388" s="288"/>
      <c r="C388" s="289"/>
      <c r="F388" s="290"/>
      <c r="I388" s="291"/>
    </row>
    <row r="389" spans="2:9" ht="15.75">
      <c r="B389" s="288"/>
      <c r="C389" s="289"/>
      <c r="F389" s="290"/>
      <c r="I389" s="291"/>
    </row>
    <row r="390" spans="2:9" ht="15.75">
      <c r="B390" s="288"/>
      <c r="C390" s="289"/>
      <c r="F390" s="290"/>
      <c r="I390" s="291"/>
    </row>
    <row r="391" spans="2:9" ht="15.75">
      <c r="B391" s="288"/>
      <c r="C391" s="289"/>
      <c r="F391" s="290"/>
      <c r="I391" s="291"/>
    </row>
    <row r="392" spans="2:9" ht="15.75">
      <c r="B392" s="288"/>
      <c r="C392" s="289"/>
      <c r="F392" s="290"/>
      <c r="I392" s="291"/>
    </row>
    <row r="393" spans="2:9" ht="15.75">
      <c r="B393" s="288"/>
      <c r="C393" s="289"/>
      <c r="F393" s="290"/>
      <c r="I393" s="291"/>
    </row>
    <row r="394" spans="2:9" ht="15.75">
      <c r="B394" s="288"/>
      <c r="C394" s="289"/>
      <c r="F394" s="290"/>
      <c r="I394" s="291"/>
    </row>
    <row r="395" spans="2:9" ht="15.75">
      <c r="B395" s="288"/>
      <c r="C395" s="289"/>
      <c r="F395" s="290"/>
      <c r="I395" s="291"/>
    </row>
    <row r="396" spans="2:9" ht="15.75">
      <c r="B396" s="288"/>
      <c r="C396" s="289"/>
      <c r="F396" s="290"/>
      <c r="I396" s="291"/>
    </row>
    <row r="397" spans="2:9" ht="15.75">
      <c r="B397" s="288"/>
      <c r="C397" s="289"/>
      <c r="F397" s="290"/>
      <c r="I397" s="291"/>
    </row>
    <row r="398" spans="2:9" ht="15.75">
      <c r="B398" s="288"/>
      <c r="C398" s="289"/>
      <c r="F398" s="290"/>
      <c r="I398" s="291"/>
    </row>
    <row r="399" spans="2:9" ht="15.75">
      <c r="B399" s="288"/>
      <c r="C399" s="289"/>
      <c r="F399" s="290"/>
      <c r="I399" s="291"/>
    </row>
    <row r="400" spans="2:9" ht="15.75">
      <c r="B400" s="288"/>
      <c r="C400" s="289"/>
      <c r="F400" s="290"/>
      <c r="I400" s="291"/>
    </row>
    <row r="401" spans="2:9" ht="15.75">
      <c r="B401" s="288"/>
      <c r="C401" s="289"/>
      <c r="F401" s="290"/>
      <c r="I401" s="291"/>
    </row>
    <row r="402" spans="2:9" ht="15.75">
      <c r="B402" s="288"/>
      <c r="C402" s="289"/>
      <c r="F402" s="290"/>
      <c r="I402" s="291"/>
    </row>
    <row r="403" spans="2:9" ht="15.75">
      <c r="B403" s="288"/>
      <c r="C403" s="289"/>
      <c r="F403" s="290"/>
      <c r="I403" s="291"/>
    </row>
    <row r="404" spans="2:9" ht="15.75">
      <c r="B404" s="288"/>
      <c r="C404" s="289"/>
      <c r="F404" s="290"/>
      <c r="I404" s="291"/>
    </row>
    <row r="405" spans="2:9" ht="15.75">
      <c r="B405" s="288"/>
      <c r="C405" s="289"/>
      <c r="F405" s="290"/>
      <c r="I405" s="291"/>
    </row>
    <row r="406" spans="2:9" ht="15.75">
      <c r="B406" s="288"/>
      <c r="C406" s="289"/>
      <c r="F406" s="290"/>
      <c r="I406" s="291"/>
    </row>
    <row r="407" spans="2:9" ht="15.75">
      <c r="B407" s="288"/>
      <c r="C407" s="289"/>
      <c r="F407" s="290"/>
      <c r="I407" s="291"/>
    </row>
    <row r="408" spans="2:9" ht="15.75">
      <c r="B408" s="288"/>
      <c r="C408" s="289"/>
      <c r="F408" s="290"/>
      <c r="I408" s="291"/>
    </row>
    <row r="409" spans="2:9" ht="15.75">
      <c r="B409" s="288"/>
      <c r="C409" s="289"/>
      <c r="F409" s="290"/>
      <c r="I409" s="291"/>
    </row>
    <row r="410" spans="2:9" ht="15.75">
      <c r="B410" s="288"/>
      <c r="C410" s="289"/>
      <c r="F410" s="290"/>
      <c r="I410" s="291"/>
    </row>
    <row r="411" spans="2:9" ht="15.75">
      <c r="B411" s="288"/>
      <c r="C411" s="289"/>
      <c r="F411" s="290"/>
      <c r="I411" s="291"/>
    </row>
    <row r="412" spans="2:9" ht="15.75">
      <c r="B412" s="288"/>
      <c r="C412" s="289"/>
      <c r="F412" s="290"/>
      <c r="I412" s="291"/>
    </row>
    <row r="413" spans="2:9" ht="15.75">
      <c r="B413" s="288"/>
      <c r="C413" s="289"/>
      <c r="F413" s="290"/>
      <c r="I413" s="291"/>
    </row>
    <row r="414" spans="2:9" ht="15.75">
      <c r="B414" s="288"/>
      <c r="C414" s="289"/>
      <c r="F414" s="290"/>
      <c r="I414" s="291"/>
    </row>
    <row r="415" spans="2:9" ht="15.75">
      <c r="B415" s="288"/>
      <c r="C415" s="289"/>
      <c r="F415" s="290"/>
      <c r="I415" s="291"/>
    </row>
    <row r="416" spans="2:9" ht="15.75">
      <c r="B416" s="288"/>
      <c r="C416" s="289"/>
      <c r="F416" s="290"/>
      <c r="I416" s="291"/>
    </row>
    <row r="417" spans="2:9" ht="15.75">
      <c r="B417" s="288"/>
      <c r="C417" s="289"/>
      <c r="F417" s="290"/>
      <c r="I417" s="291"/>
    </row>
    <row r="418" spans="2:9" ht="15.75">
      <c r="B418" s="288"/>
      <c r="C418" s="289"/>
      <c r="F418" s="290"/>
      <c r="I418" s="291"/>
    </row>
    <row r="419" spans="2:9" ht="15.75">
      <c r="B419" s="288"/>
      <c r="C419" s="289"/>
      <c r="F419" s="290"/>
      <c r="I419" s="291"/>
    </row>
    <row r="420" spans="2:9" ht="15.75">
      <c r="B420" s="288"/>
      <c r="C420" s="289"/>
      <c r="F420" s="290"/>
      <c r="I420" s="291"/>
    </row>
    <row r="421" spans="2:9" ht="15.75">
      <c r="B421" s="288"/>
      <c r="C421" s="289"/>
      <c r="F421" s="290"/>
      <c r="I421" s="291"/>
    </row>
    <row r="422" spans="2:9" ht="15.75">
      <c r="B422" s="288"/>
      <c r="C422" s="289"/>
      <c r="F422" s="290"/>
      <c r="I422" s="291"/>
    </row>
    <row r="423" spans="2:9" ht="15.75">
      <c r="B423" s="288"/>
      <c r="C423" s="289"/>
      <c r="F423" s="290"/>
      <c r="I423" s="291"/>
    </row>
    <row r="424" spans="2:9" ht="15.75">
      <c r="B424" s="288"/>
      <c r="C424" s="289"/>
      <c r="F424" s="290"/>
      <c r="I424" s="291"/>
    </row>
    <row r="425" spans="2:9" ht="15.75">
      <c r="B425" s="288"/>
      <c r="C425" s="289"/>
      <c r="F425" s="290"/>
      <c r="I425" s="291"/>
    </row>
    <row r="426" spans="2:9" ht="15.75">
      <c r="B426" s="288"/>
      <c r="C426" s="289"/>
      <c r="F426" s="290"/>
      <c r="I426" s="291"/>
    </row>
    <row r="427" spans="2:9" ht="15.75">
      <c r="B427" s="288"/>
      <c r="C427" s="289"/>
      <c r="F427" s="290"/>
      <c r="I427" s="291"/>
    </row>
    <row r="428" spans="2:9" ht="15.75">
      <c r="B428" s="288"/>
      <c r="C428" s="289"/>
      <c r="F428" s="290"/>
      <c r="I428" s="291"/>
    </row>
    <row r="429" spans="2:9" ht="15.75">
      <c r="B429" s="288"/>
      <c r="C429" s="289"/>
      <c r="F429" s="290"/>
      <c r="I429" s="291"/>
    </row>
    <row r="430" spans="2:9" ht="15.75">
      <c r="B430" s="288"/>
      <c r="C430" s="289"/>
      <c r="F430" s="290"/>
      <c r="I430" s="291"/>
    </row>
    <row r="431" spans="2:9" ht="15.75">
      <c r="B431" s="288"/>
      <c r="C431" s="289"/>
      <c r="F431" s="290"/>
      <c r="I431" s="291"/>
    </row>
    <row r="432" spans="2:9" ht="15.75">
      <c r="B432" s="288"/>
      <c r="C432" s="289"/>
      <c r="F432" s="290"/>
      <c r="I432" s="291"/>
    </row>
    <row r="433" spans="2:9" ht="15.75">
      <c r="B433" s="288"/>
      <c r="C433" s="289"/>
      <c r="F433" s="290"/>
      <c r="I433" s="291"/>
    </row>
    <row r="434" spans="2:9" ht="15.75">
      <c r="B434" s="288"/>
      <c r="C434" s="289"/>
      <c r="F434" s="290"/>
      <c r="I434" s="291"/>
    </row>
    <row r="435" spans="2:9" ht="15.75">
      <c r="B435" s="288"/>
      <c r="C435" s="289"/>
      <c r="F435" s="290"/>
      <c r="I435" s="291"/>
    </row>
    <row r="436" spans="2:9" ht="15.75">
      <c r="B436" s="288"/>
      <c r="C436" s="289"/>
      <c r="F436" s="290"/>
      <c r="I436" s="291"/>
    </row>
    <row r="437" spans="2:9" ht="15.75">
      <c r="B437" s="288"/>
      <c r="C437" s="289"/>
      <c r="F437" s="290"/>
      <c r="I437" s="291"/>
    </row>
    <row r="438" spans="2:9" ht="15.75">
      <c r="B438" s="288"/>
      <c r="C438" s="289"/>
      <c r="F438" s="290"/>
      <c r="I438" s="291"/>
    </row>
    <row r="439" spans="2:9" ht="15.75">
      <c r="B439" s="288"/>
      <c r="C439" s="289"/>
      <c r="F439" s="290"/>
      <c r="I439" s="291"/>
    </row>
    <row r="440" spans="2:9" ht="15.75">
      <c r="B440" s="288"/>
      <c r="C440" s="289"/>
      <c r="F440" s="290"/>
      <c r="I440" s="291"/>
    </row>
    <row r="441" spans="2:9" ht="15.75">
      <c r="B441" s="288"/>
      <c r="C441" s="289"/>
      <c r="F441" s="290"/>
      <c r="I441" s="291"/>
    </row>
    <row r="442" spans="2:9" ht="15.75">
      <c r="B442" s="288"/>
      <c r="C442" s="289"/>
      <c r="F442" s="290"/>
      <c r="I442" s="291"/>
    </row>
    <row r="443" spans="2:9" ht="15.75">
      <c r="B443" s="288"/>
      <c r="C443" s="289"/>
      <c r="F443" s="290"/>
      <c r="I443" s="291"/>
    </row>
    <row r="444" spans="2:9" ht="15.75">
      <c r="B444" s="288"/>
      <c r="C444" s="289"/>
      <c r="F444" s="290"/>
      <c r="I444" s="291"/>
    </row>
    <row r="445" spans="2:9" ht="15.75">
      <c r="B445" s="288"/>
      <c r="C445" s="289"/>
      <c r="F445" s="290"/>
      <c r="I445" s="291"/>
    </row>
    <row r="446" spans="2:9" ht="15.75">
      <c r="B446" s="288"/>
      <c r="C446" s="289"/>
      <c r="F446" s="290"/>
      <c r="I446" s="291"/>
    </row>
    <row r="447" spans="2:9" ht="15.75">
      <c r="B447" s="288"/>
      <c r="C447" s="289"/>
      <c r="F447" s="290"/>
      <c r="I447" s="291"/>
    </row>
    <row r="448" spans="2:9" ht="15.75">
      <c r="B448" s="288"/>
      <c r="C448" s="289"/>
      <c r="F448" s="290"/>
      <c r="I448" s="291"/>
    </row>
    <row r="449" spans="2:9" ht="15.75">
      <c r="B449" s="288"/>
      <c r="C449" s="289"/>
      <c r="F449" s="290"/>
      <c r="I449" s="291"/>
    </row>
    <row r="450" spans="2:9" ht="15.75">
      <c r="B450" s="288"/>
      <c r="C450" s="289"/>
      <c r="F450" s="290"/>
      <c r="I450" s="291"/>
    </row>
    <row r="451" spans="2:9" ht="15.75">
      <c r="B451" s="288"/>
      <c r="C451" s="289"/>
      <c r="F451" s="290"/>
      <c r="I451" s="291"/>
    </row>
    <row r="452" spans="2:9" ht="15.75">
      <c r="B452" s="288"/>
      <c r="C452" s="289"/>
      <c r="F452" s="290"/>
      <c r="I452" s="291"/>
    </row>
    <row r="453" spans="2:9" ht="15.75">
      <c r="B453" s="288"/>
      <c r="C453" s="289"/>
      <c r="F453" s="290"/>
      <c r="I453" s="291"/>
    </row>
    <row r="454" spans="2:9" ht="15.75">
      <c r="B454" s="288"/>
      <c r="C454" s="289"/>
      <c r="F454" s="290"/>
      <c r="I454" s="291"/>
    </row>
    <row r="455" spans="2:9" ht="15.75">
      <c r="B455" s="288"/>
      <c r="C455" s="289"/>
      <c r="F455" s="290"/>
      <c r="I455" s="291"/>
    </row>
    <row r="456" spans="2:9" ht="15.75">
      <c r="B456" s="288"/>
      <c r="C456" s="289"/>
      <c r="F456" s="290"/>
      <c r="I456" s="291"/>
    </row>
    <row r="457" spans="2:9" ht="15.75">
      <c r="B457" s="288"/>
      <c r="C457" s="289"/>
      <c r="F457" s="290"/>
      <c r="I457" s="291"/>
    </row>
    <row r="458" spans="2:9" ht="15.75">
      <c r="B458" s="288"/>
      <c r="C458" s="289"/>
      <c r="F458" s="290"/>
      <c r="I458" s="291"/>
    </row>
    <row r="459" spans="2:9" ht="15.75">
      <c r="B459" s="288"/>
      <c r="C459" s="289"/>
      <c r="F459" s="290"/>
      <c r="I459" s="291"/>
    </row>
    <row r="460" spans="2:9" ht="15.75">
      <c r="B460" s="288"/>
      <c r="C460" s="289"/>
      <c r="F460" s="290"/>
      <c r="I460" s="291"/>
    </row>
    <row r="461" spans="2:9" ht="15.75">
      <c r="B461" s="288"/>
      <c r="C461" s="289"/>
      <c r="F461" s="290"/>
      <c r="I461" s="291"/>
    </row>
    <row r="462" spans="2:9" ht="15.75">
      <c r="B462" s="288"/>
      <c r="C462" s="289"/>
      <c r="F462" s="290"/>
      <c r="I462" s="291"/>
    </row>
    <row r="463" spans="2:9" ht="15.75">
      <c r="B463" s="288"/>
      <c r="C463" s="289"/>
      <c r="F463" s="290"/>
      <c r="I463" s="291"/>
    </row>
    <row r="464" spans="2:9" ht="15.75">
      <c r="B464" s="288"/>
      <c r="C464" s="289"/>
      <c r="F464" s="290"/>
      <c r="I464" s="291"/>
    </row>
    <row r="465" spans="2:9" ht="15.75">
      <c r="B465" s="288"/>
      <c r="C465" s="289"/>
      <c r="F465" s="290"/>
      <c r="I465" s="291"/>
    </row>
    <row r="466" spans="2:9" ht="15.75">
      <c r="B466" s="288"/>
      <c r="C466" s="289"/>
      <c r="F466" s="290"/>
      <c r="I466" s="291"/>
    </row>
    <row r="467" spans="2:9" ht="15.75">
      <c r="B467" s="288"/>
      <c r="C467" s="289"/>
      <c r="F467" s="290"/>
      <c r="I467" s="291"/>
    </row>
    <row r="468" spans="2:9" ht="15.75">
      <c r="B468" s="288"/>
      <c r="C468" s="289"/>
      <c r="F468" s="290"/>
      <c r="I468" s="291"/>
    </row>
    <row r="469" spans="2:9" ht="15.75">
      <c r="B469" s="288"/>
      <c r="C469" s="289"/>
      <c r="F469" s="290"/>
      <c r="I469" s="291"/>
    </row>
    <row r="470" spans="2:9" ht="15.75">
      <c r="B470" s="288"/>
      <c r="C470" s="289"/>
      <c r="F470" s="290"/>
      <c r="I470" s="291"/>
    </row>
    <row r="471" spans="2:9" ht="15.75">
      <c r="B471" s="288"/>
      <c r="C471" s="289"/>
      <c r="F471" s="290"/>
      <c r="I471" s="291"/>
    </row>
    <row r="472" spans="2:9" ht="15.75">
      <c r="B472" s="288"/>
      <c r="C472" s="289"/>
      <c r="F472" s="290"/>
      <c r="I472" s="291"/>
    </row>
    <row r="473" spans="2:9" ht="15.75">
      <c r="B473" s="288"/>
      <c r="C473" s="289"/>
      <c r="F473" s="290"/>
      <c r="I473" s="291"/>
    </row>
    <row r="474" spans="2:9" ht="15.75">
      <c r="B474" s="288"/>
      <c r="C474" s="289"/>
      <c r="F474" s="290"/>
      <c r="I474" s="291"/>
    </row>
    <row r="475" spans="2:9" ht="15.75">
      <c r="B475" s="288"/>
      <c r="C475" s="289"/>
      <c r="F475" s="290"/>
      <c r="I475" s="291"/>
    </row>
    <row r="476" spans="2:9" ht="15.75">
      <c r="B476" s="288"/>
      <c r="C476" s="289"/>
      <c r="F476" s="290"/>
      <c r="I476" s="291"/>
    </row>
    <row r="477" spans="2:9" ht="15.75">
      <c r="B477" s="288"/>
      <c r="C477" s="289"/>
      <c r="F477" s="290"/>
      <c r="I477" s="291"/>
    </row>
    <row r="478" spans="2:9" ht="15.75">
      <c r="B478" s="288"/>
      <c r="C478" s="289"/>
      <c r="F478" s="290"/>
      <c r="I478" s="291"/>
    </row>
    <row r="479" spans="2:9" ht="15.75">
      <c r="B479" s="288"/>
      <c r="C479" s="289"/>
      <c r="F479" s="290"/>
      <c r="I479" s="291"/>
    </row>
    <row r="480" spans="2:9" ht="15.75">
      <c r="B480" s="288"/>
      <c r="C480" s="289"/>
      <c r="F480" s="290"/>
      <c r="I480" s="291"/>
    </row>
    <row r="481" spans="2:9" ht="15.75">
      <c r="B481" s="288"/>
      <c r="C481" s="289"/>
      <c r="F481" s="290"/>
      <c r="I481" s="291"/>
    </row>
    <row r="482" spans="2:9" ht="15.75">
      <c r="B482" s="288"/>
      <c r="C482" s="289"/>
      <c r="F482" s="290"/>
      <c r="I482" s="291"/>
    </row>
    <row r="483" spans="2:9" ht="15.75">
      <c r="B483" s="288"/>
      <c r="C483" s="289"/>
      <c r="F483" s="290"/>
      <c r="I483" s="291"/>
    </row>
    <row r="484" spans="2:9" ht="15.75">
      <c r="B484" s="288"/>
      <c r="C484" s="289"/>
      <c r="F484" s="290"/>
      <c r="I484" s="291"/>
    </row>
    <row r="485" spans="2:9" ht="15.75">
      <c r="B485" s="288"/>
      <c r="C485" s="289"/>
      <c r="F485" s="290"/>
      <c r="I485" s="291"/>
    </row>
    <row r="486" spans="2:9" ht="15.75">
      <c r="B486" s="288"/>
      <c r="C486" s="289"/>
      <c r="F486" s="290"/>
      <c r="I486" s="291"/>
    </row>
    <row r="487" spans="2:9" ht="15.75">
      <c r="B487" s="288"/>
      <c r="C487" s="289"/>
      <c r="F487" s="290"/>
      <c r="I487" s="291"/>
    </row>
    <row r="488" spans="2:9" ht="15.75">
      <c r="B488" s="288"/>
      <c r="C488" s="289"/>
      <c r="F488" s="290"/>
      <c r="I488" s="291"/>
    </row>
    <row r="489" spans="2:9" ht="15.75">
      <c r="B489" s="288"/>
      <c r="C489" s="289"/>
      <c r="F489" s="290"/>
      <c r="I489" s="291"/>
    </row>
    <row r="490" spans="2:9" ht="15.75">
      <c r="B490" s="288"/>
      <c r="C490" s="289"/>
      <c r="F490" s="290"/>
      <c r="I490" s="291"/>
    </row>
    <row r="491" spans="2:9" ht="15.75">
      <c r="B491" s="288"/>
      <c r="C491" s="289"/>
      <c r="F491" s="290"/>
      <c r="I491" s="291"/>
    </row>
    <row r="492" spans="2:9" ht="15.75">
      <c r="B492" s="288"/>
      <c r="C492" s="289"/>
      <c r="F492" s="290"/>
      <c r="I492" s="291"/>
    </row>
    <row r="493" spans="2:9" ht="15.75">
      <c r="B493" s="288"/>
      <c r="C493" s="289"/>
      <c r="F493" s="290"/>
      <c r="I493" s="291"/>
    </row>
    <row r="494" spans="2:9" ht="15.75">
      <c r="B494" s="288"/>
      <c r="C494" s="289"/>
      <c r="F494" s="290"/>
      <c r="I494" s="291"/>
    </row>
    <row r="495" spans="2:9" ht="15.75">
      <c r="B495" s="288"/>
      <c r="C495" s="289"/>
      <c r="F495" s="290"/>
      <c r="I495" s="291"/>
    </row>
    <row r="496" spans="2:9" ht="15.75">
      <c r="B496" s="288"/>
      <c r="C496" s="289"/>
      <c r="F496" s="290"/>
      <c r="I496" s="291"/>
    </row>
    <row r="497" spans="2:9" ht="15.75">
      <c r="B497" s="288"/>
      <c r="C497" s="289"/>
      <c r="F497" s="290"/>
      <c r="I497" s="291"/>
    </row>
    <row r="498" spans="2:9" ht="15.75">
      <c r="B498" s="288"/>
      <c r="C498" s="289"/>
      <c r="F498" s="290"/>
      <c r="I498" s="291"/>
    </row>
    <row r="499" spans="2:9" ht="15.75">
      <c r="B499" s="288"/>
      <c r="C499" s="289"/>
      <c r="F499" s="290"/>
      <c r="I499" s="291"/>
    </row>
    <row r="500" spans="2:9" ht="15.75">
      <c r="B500" s="288"/>
      <c r="C500" s="289"/>
      <c r="F500" s="290"/>
      <c r="I500" s="291"/>
    </row>
    <row r="501" spans="2:9" ht="15.75">
      <c r="B501" s="288"/>
      <c r="C501" s="289"/>
      <c r="F501" s="290"/>
      <c r="I501" s="291"/>
    </row>
    <row r="502" spans="2:9" ht="15.75">
      <c r="B502" s="288"/>
      <c r="C502" s="289"/>
      <c r="F502" s="290"/>
      <c r="I502" s="291"/>
    </row>
    <row r="503" spans="2:9" ht="15.75">
      <c r="B503" s="288"/>
      <c r="C503" s="289"/>
      <c r="F503" s="290"/>
      <c r="I503" s="291"/>
    </row>
    <row r="504" spans="2:9" ht="15.75">
      <c r="B504" s="288"/>
      <c r="C504" s="289"/>
      <c r="F504" s="290"/>
      <c r="I504" s="291"/>
    </row>
    <row r="505" spans="2:9" ht="15.75">
      <c r="B505" s="288"/>
      <c r="C505" s="289"/>
      <c r="F505" s="290"/>
      <c r="I505" s="291"/>
    </row>
    <row r="506" spans="2:9" ht="15.75">
      <c r="B506" s="288"/>
      <c r="C506" s="289"/>
      <c r="F506" s="290"/>
      <c r="I506" s="291"/>
    </row>
    <row r="507" spans="2:9" ht="15.75">
      <c r="B507" s="288"/>
      <c r="C507" s="289"/>
      <c r="F507" s="290"/>
      <c r="I507" s="291"/>
    </row>
    <row r="508" spans="2:9" ht="15.75">
      <c r="B508" s="288"/>
      <c r="C508" s="289"/>
      <c r="F508" s="290"/>
      <c r="I508" s="291"/>
    </row>
    <row r="509" spans="2:9" ht="15.75">
      <c r="B509" s="288"/>
      <c r="C509" s="289"/>
      <c r="F509" s="290"/>
      <c r="I509" s="291"/>
    </row>
    <row r="510" spans="2:9" ht="15.75">
      <c r="B510" s="288"/>
      <c r="C510" s="289"/>
      <c r="F510" s="290"/>
      <c r="I510" s="291"/>
    </row>
    <row r="511" spans="2:9" ht="15.75">
      <c r="B511" s="288"/>
      <c r="C511" s="289"/>
      <c r="F511" s="290"/>
      <c r="I511" s="291"/>
    </row>
    <row r="512" spans="2:9" ht="15.75">
      <c r="B512" s="288"/>
      <c r="C512" s="289"/>
      <c r="F512" s="290"/>
      <c r="I512" s="291"/>
    </row>
    <row r="513" spans="2:9" ht="15.75">
      <c r="B513" s="288"/>
      <c r="C513" s="289"/>
      <c r="F513" s="290"/>
      <c r="I513" s="291"/>
    </row>
    <row r="514" spans="2:9" ht="15.75">
      <c r="B514" s="288"/>
      <c r="C514" s="289"/>
      <c r="F514" s="290"/>
      <c r="I514" s="291"/>
    </row>
    <row r="515" spans="2:9" ht="15.75">
      <c r="B515" s="288"/>
      <c r="C515" s="289"/>
      <c r="F515" s="290"/>
      <c r="I515" s="291"/>
    </row>
    <row r="516" spans="2:9" ht="15.75">
      <c r="B516" s="288"/>
      <c r="C516" s="289"/>
      <c r="F516" s="290"/>
      <c r="I516" s="291"/>
    </row>
    <row r="517" spans="2:9" ht="15.75">
      <c r="B517" s="288"/>
      <c r="C517" s="289"/>
      <c r="F517" s="290"/>
      <c r="I517" s="291"/>
    </row>
    <row r="518" spans="2:9" ht="15.75">
      <c r="B518" s="288"/>
      <c r="C518" s="289"/>
      <c r="F518" s="290"/>
      <c r="I518" s="291"/>
    </row>
    <row r="519" spans="2:9" ht="15.75">
      <c r="B519" s="288"/>
      <c r="C519" s="289"/>
      <c r="F519" s="290"/>
      <c r="I519" s="291"/>
    </row>
    <row r="520" spans="2:9" ht="15.75">
      <c r="B520" s="288"/>
      <c r="C520" s="289"/>
      <c r="F520" s="290"/>
      <c r="I520" s="291"/>
    </row>
    <row r="521" spans="2:9" ht="15.75">
      <c r="B521" s="288"/>
      <c r="C521" s="289"/>
      <c r="F521" s="290"/>
      <c r="I521" s="291"/>
    </row>
    <row r="522" spans="2:9" ht="15.75">
      <c r="B522" s="288"/>
      <c r="C522" s="289"/>
      <c r="F522" s="290"/>
      <c r="I522" s="291"/>
    </row>
    <row r="523" spans="2:9" ht="15.75">
      <c r="B523" s="288"/>
      <c r="C523" s="289"/>
      <c r="F523" s="290"/>
      <c r="I523" s="291"/>
    </row>
    <row r="524" spans="2:9" ht="15.75">
      <c r="B524" s="288"/>
      <c r="C524" s="289"/>
      <c r="F524" s="290"/>
      <c r="I524" s="291"/>
    </row>
    <row r="525" spans="2:9" ht="15.75">
      <c r="B525" s="288"/>
      <c r="C525" s="289"/>
      <c r="F525" s="290"/>
      <c r="I525" s="291"/>
    </row>
    <row r="526" spans="2:9" ht="15.75">
      <c r="B526" s="288"/>
      <c r="C526" s="289"/>
      <c r="F526" s="290"/>
      <c r="I526" s="291"/>
    </row>
    <row r="527" spans="2:9" ht="15.75">
      <c r="B527" s="288"/>
      <c r="C527" s="289"/>
      <c r="F527" s="290"/>
      <c r="I527" s="291"/>
    </row>
    <row r="528" spans="2:9" ht="15.75">
      <c r="B528" s="288"/>
      <c r="C528" s="289"/>
      <c r="F528" s="290"/>
      <c r="I528" s="291"/>
    </row>
    <row r="529" spans="2:9" ht="15.75">
      <c r="B529" s="288"/>
      <c r="C529" s="289"/>
      <c r="F529" s="290"/>
      <c r="I529" s="291"/>
    </row>
    <row r="530" spans="2:9" ht="15.75">
      <c r="B530" s="288"/>
      <c r="C530" s="289"/>
      <c r="F530" s="290"/>
      <c r="I530" s="291"/>
    </row>
    <row r="531" spans="2:9" ht="15.75">
      <c r="B531" s="288"/>
      <c r="C531" s="289"/>
      <c r="F531" s="290"/>
      <c r="I531" s="291"/>
    </row>
    <row r="532" spans="2:9" ht="15.75">
      <c r="B532" s="288"/>
      <c r="C532" s="289"/>
      <c r="F532" s="290"/>
      <c r="I532" s="291"/>
    </row>
    <row r="533" spans="2:9" ht="15.75">
      <c r="B533" s="288"/>
      <c r="C533" s="289"/>
      <c r="F533" s="290"/>
      <c r="I533" s="291"/>
    </row>
    <row r="534" spans="2:9" ht="15.75">
      <c r="B534" s="288"/>
      <c r="C534" s="289"/>
      <c r="F534" s="290"/>
      <c r="I534" s="291"/>
    </row>
    <row r="535" spans="2:9" ht="15.75">
      <c r="B535" s="288"/>
      <c r="C535" s="289"/>
      <c r="F535" s="290"/>
      <c r="I535" s="291"/>
    </row>
    <row r="536" spans="2:9" ht="15.75">
      <c r="B536" s="288"/>
      <c r="C536" s="289"/>
      <c r="F536" s="290"/>
      <c r="I536" s="291"/>
    </row>
    <row r="537" spans="2:9" ht="15.75">
      <c r="B537" s="288"/>
      <c r="C537" s="289"/>
      <c r="F537" s="290"/>
      <c r="I537" s="291"/>
    </row>
    <row r="538" spans="2:9" ht="15.75">
      <c r="B538" s="288"/>
      <c r="C538" s="289"/>
      <c r="F538" s="290"/>
      <c r="I538" s="291"/>
    </row>
    <row r="539" spans="2:9" ht="15.75">
      <c r="B539" s="288"/>
      <c r="C539" s="289"/>
      <c r="F539" s="290"/>
      <c r="I539" s="291"/>
    </row>
    <row r="540" spans="2:9" ht="15.75">
      <c r="B540" s="288"/>
      <c r="C540" s="289"/>
      <c r="F540" s="290"/>
      <c r="I540" s="291"/>
    </row>
    <row r="541" spans="2:9" ht="15.75">
      <c r="B541" s="288"/>
      <c r="C541" s="289"/>
      <c r="F541" s="290"/>
      <c r="I541" s="291"/>
    </row>
    <row r="542" spans="2:9" ht="15.75">
      <c r="B542" s="288"/>
      <c r="C542" s="289"/>
      <c r="F542" s="290"/>
      <c r="I542" s="291"/>
    </row>
    <row r="543" spans="2:9" ht="15.75">
      <c r="B543" s="288"/>
      <c r="C543" s="289"/>
      <c r="F543" s="290"/>
      <c r="I543" s="291"/>
    </row>
    <row r="544" spans="2:9" ht="15.75">
      <c r="B544" s="288"/>
      <c r="C544" s="289"/>
      <c r="F544" s="290"/>
      <c r="I544" s="291"/>
    </row>
    <row r="545" spans="2:9" ht="15.75">
      <c r="B545" s="288"/>
      <c r="C545" s="289"/>
      <c r="F545" s="290"/>
      <c r="I545" s="291"/>
    </row>
    <row r="546" spans="2:9" ht="15.75">
      <c r="B546" s="288"/>
      <c r="C546" s="289"/>
      <c r="F546" s="290"/>
      <c r="I546" s="291"/>
    </row>
    <row r="547" spans="2:9" ht="15.75">
      <c r="B547" s="288"/>
      <c r="C547" s="289"/>
      <c r="F547" s="290"/>
      <c r="I547" s="291"/>
    </row>
    <row r="548" spans="2:9" ht="15.75">
      <c r="B548" s="288"/>
      <c r="C548" s="289"/>
      <c r="F548" s="290"/>
      <c r="I548" s="291"/>
    </row>
    <row r="549" spans="2:9" ht="15.75">
      <c r="B549" s="288"/>
      <c r="C549" s="289"/>
      <c r="F549" s="290"/>
      <c r="I549" s="291"/>
    </row>
    <row r="550" spans="2:9" ht="15.75">
      <c r="B550" s="288"/>
      <c r="C550" s="289"/>
      <c r="F550" s="290"/>
      <c r="I550" s="291"/>
    </row>
    <row r="551" spans="2:9" ht="15.75">
      <c r="B551" s="288"/>
      <c r="C551" s="289"/>
      <c r="F551" s="290"/>
      <c r="I551" s="291"/>
    </row>
    <row r="552" spans="2:9" ht="15.75">
      <c r="B552" s="288"/>
      <c r="C552" s="289"/>
      <c r="F552" s="290"/>
      <c r="I552" s="291"/>
    </row>
    <row r="553" spans="2:9" ht="15.75">
      <c r="B553" s="288"/>
      <c r="C553" s="289"/>
      <c r="F553" s="290"/>
      <c r="I553" s="291"/>
    </row>
    <row r="554" spans="2:9" ht="15.75">
      <c r="B554" s="288"/>
      <c r="C554" s="289"/>
      <c r="F554" s="290"/>
      <c r="I554" s="291"/>
    </row>
    <row r="555" spans="2:9" ht="15.75">
      <c r="B555" s="288"/>
      <c r="C555" s="289"/>
      <c r="F555" s="290"/>
      <c r="I555" s="291"/>
    </row>
    <row r="556" spans="2:9" ht="15.75">
      <c r="B556" s="288"/>
      <c r="C556" s="289"/>
      <c r="F556" s="290"/>
      <c r="I556" s="291"/>
    </row>
    <row r="557" spans="2:9" ht="15.75">
      <c r="B557" s="288"/>
      <c r="C557" s="289"/>
      <c r="F557" s="290"/>
      <c r="I557" s="291"/>
    </row>
    <row r="558" spans="2:9" ht="15.75">
      <c r="B558" s="288"/>
      <c r="C558" s="289"/>
      <c r="F558" s="290"/>
      <c r="I558" s="291"/>
    </row>
    <row r="559" spans="2:9" ht="15.75">
      <c r="B559" s="288"/>
      <c r="C559" s="289"/>
      <c r="F559" s="290"/>
      <c r="I559" s="291"/>
    </row>
    <row r="560" spans="2:9" ht="15.75">
      <c r="B560" s="288"/>
      <c r="C560" s="289"/>
      <c r="F560" s="290"/>
      <c r="I560" s="291"/>
    </row>
    <row r="561" spans="2:9" ht="15.75">
      <c r="B561" s="288"/>
      <c r="C561" s="289"/>
      <c r="F561" s="290"/>
      <c r="I561" s="291"/>
    </row>
    <row r="562" spans="2:9" ht="15.75">
      <c r="B562" s="288"/>
      <c r="C562" s="289"/>
      <c r="F562" s="290"/>
      <c r="I562" s="291"/>
    </row>
    <row r="563" spans="2:9" ht="15.75">
      <c r="B563" s="288"/>
      <c r="C563" s="289"/>
      <c r="F563" s="290"/>
      <c r="I563" s="291"/>
    </row>
    <row r="564" spans="2:9" ht="15.75">
      <c r="B564" s="288"/>
      <c r="C564" s="289"/>
      <c r="F564" s="290"/>
      <c r="I564" s="291"/>
    </row>
    <row r="565" spans="2:9" ht="15.75">
      <c r="B565" s="288"/>
      <c r="C565" s="289"/>
      <c r="F565" s="290"/>
      <c r="I565" s="291"/>
    </row>
    <row r="566" spans="2:9" ht="15.75">
      <c r="B566" s="288"/>
      <c r="C566" s="289"/>
      <c r="F566" s="290"/>
      <c r="I566" s="291"/>
    </row>
    <row r="567" spans="2:9" ht="15.75">
      <c r="B567" s="288"/>
      <c r="C567" s="289"/>
      <c r="F567" s="290"/>
      <c r="I567" s="291"/>
    </row>
    <row r="568" spans="2:9" ht="15.75">
      <c r="B568" s="288"/>
      <c r="C568" s="289"/>
      <c r="F568" s="290"/>
      <c r="I568" s="291"/>
    </row>
    <row r="569" spans="2:9" ht="15.75">
      <c r="B569" s="288"/>
      <c r="C569" s="289"/>
      <c r="F569" s="290"/>
      <c r="I569" s="291"/>
    </row>
    <row r="570" spans="2:9" ht="15.75">
      <c r="B570" s="288"/>
      <c r="C570" s="289"/>
      <c r="F570" s="290"/>
      <c r="I570" s="291"/>
    </row>
    <row r="571" spans="2:9" ht="15.75">
      <c r="B571" s="288"/>
      <c r="C571" s="289"/>
      <c r="F571" s="290"/>
      <c r="I571" s="291"/>
    </row>
    <row r="572" spans="2:9" ht="15.75">
      <c r="B572" s="288"/>
      <c r="C572" s="289"/>
      <c r="F572" s="290"/>
      <c r="I572" s="291"/>
    </row>
    <row r="573" spans="2:9" ht="15.75">
      <c r="B573" s="288"/>
      <c r="C573" s="289"/>
      <c r="F573" s="290"/>
      <c r="I573" s="291"/>
    </row>
    <row r="574" spans="2:9" ht="15.75">
      <c r="B574" s="288"/>
      <c r="C574" s="289"/>
      <c r="F574" s="290"/>
      <c r="I574" s="291"/>
    </row>
    <row r="575" spans="2:9" ht="15.75">
      <c r="B575" s="288"/>
      <c r="C575" s="289"/>
      <c r="F575" s="290"/>
      <c r="I575" s="291"/>
    </row>
    <row r="576" spans="2:9" ht="15.75">
      <c r="B576" s="288"/>
      <c r="C576" s="289"/>
      <c r="F576" s="290"/>
      <c r="I576" s="291"/>
    </row>
    <row r="577" spans="2:9" ht="15.75">
      <c r="B577" s="288"/>
      <c r="C577" s="289"/>
      <c r="F577" s="290"/>
      <c r="I577" s="291"/>
    </row>
    <row r="578" spans="2:9" ht="15.75">
      <c r="B578" s="288"/>
      <c r="C578" s="289"/>
      <c r="F578" s="290"/>
      <c r="I578" s="291"/>
    </row>
    <row r="579" spans="2:9" ht="15.75">
      <c r="B579" s="288"/>
      <c r="C579" s="289"/>
      <c r="F579" s="290"/>
      <c r="I579" s="291"/>
    </row>
    <row r="580" spans="2:9" ht="15.75">
      <c r="B580" s="288"/>
      <c r="C580" s="289"/>
      <c r="F580" s="290"/>
      <c r="I580" s="291"/>
    </row>
    <row r="581" spans="2:9" ht="15.75">
      <c r="B581" s="288"/>
      <c r="C581" s="289"/>
      <c r="F581" s="290"/>
      <c r="I581" s="291"/>
    </row>
    <row r="582" spans="2:9" ht="15.75">
      <c r="B582" s="288"/>
      <c r="C582" s="289"/>
      <c r="F582" s="290"/>
      <c r="I582" s="291"/>
    </row>
    <row r="583" spans="2:9" ht="15.75">
      <c r="B583" s="288"/>
      <c r="C583" s="289"/>
      <c r="F583" s="290"/>
      <c r="I583" s="291"/>
    </row>
    <row r="584" spans="2:9" ht="15.75">
      <c r="B584" s="288"/>
      <c r="C584" s="289"/>
      <c r="F584" s="290"/>
      <c r="I584" s="291"/>
    </row>
    <row r="585" spans="2:9" ht="15.75">
      <c r="B585" s="288"/>
      <c r="C585" s="289"/>
      <c r="F585" s="290"/>
      <c r="I585" s="291"/>
    </row>
    <row r="586" spans="2:9" ht="15.75">
      <c r="B586" s="288"/>
      <c r="C586" s="289"/>
      <c r="F586" s="290"/>
      <c r="I586" s="291"/>
    </row>
    <row r="587" spans="2:9" ht="15.75">
      <c r="B587" s="288"/>
      <c r="C587" s="289"/>
      <c r="F587" s="290"/>
      <c r="I587" s="291"/>
    </row>
    <row r="588" spans="2:9" ht="15.75">
      <c r="B588" s="288"/>
      <c r="C588" s="289"/>
      <c r="F588" s="290"/>
      <c r="I588" s="291"/>
    </row>
    <row r="589" spans="2:9" ht="15.75">
      <c r="B589" s="288"/>
      <c r="C589" s="289"/>
      <c r="F589" s="290"/>
      <c r="I589" s="291"/>
    </row>
    <row r="590" spans="2:9" ht="15.75">
      <c r="B590" s="288"/>
      <c r="C590" s="289"/>
      <c r="F590" s="290"/>
      <c r="I590" s="291"/>
    </row>
    <row r="591" spans="2:9" ht="15.75">
      <c r="B591" s="288"/>
      <c r="C591" s="289"/>
      <c r="F591" s="290"/>
      <c r="I591" s="291"/>
    </row>
    <row r="592" spans="2:9" ht="15.75">
      <c r="B592" s="288"/>
      <c r="C592" s="289"/>
      <c r="F592" s="290"/>
      <c r="I592" s="291"/>
    </row>
    <row r="593" spans="2:9" ht="15.75">
      <c r="B593" s="288"/>
      <c r="C593" s="289"/>
      <c r="F593" s="290"/>
      <c r="I593" s="291"/>
    </row>
    <row r="594" spans="2:9" ht="15.75">
      <c r="B594" s="288"/>
      <c r="C594" s="289"/>
      <c r="F594" s="290"/>
      <c r="I594" s="291"/>
    </row>
    <row r="595" spans="2:9" ht="15.75">
      <c r="B595" s="288"/>
      <c r="C595" s="289"/>
      <c r="F595" s="290"/>
      <c r="I595" s="291"/>
    </row>
    <row r="596" spans="2:9" ht="15.75">
      <c r="B596" s="288"/>
      <c r="C596" s="289"/>
      <c r="F596" s="290"/>
      <c r="I596" s="291"/>
    </row>
    <row r="597" spans="2:9" ht="15.75">
      <c r="B597" s="288"/>
      <c r="C597" s="289"/>
      <c r="F597" s="290"/>
      <c r="I597" s="291"/>
    </row>
    <row r="598" spans="2:9" ht="15.75">
      <c r="B598" s="288"/>
      <c r="C598" s="289"/>
      <c r="F598" s="290"/>
      <c r="I598" s="291"/>
    </row>
    <row r="599" spans="2:9" ht="15.75">
      <c r="B599" s="288"/>
      <c r="C599" s="289"/>
      <c r="F599" s="290"/>
      <c r="I599" s="291"/>
    </row>
    <row r="600" spans="2:9" ht="15.75">
      <c r="B600" s="288"/>
      <c r="C600" s="289"/>
      <c r="F600" s="290"/>
      <c r="I600" s="291"/>
    </row>
    <row r="601" spans="2:9" ht="15.75">
      <c r="B601" s="288"/>
      <c r="C601" s="289"/>
      <c r="F601" s="290"/>
      <c r="I601" s="291"/>
    </row>
    <row r="602" spans="2:9" ht="15.75">
      <c r="B602" s="288"/>
      <c r="C602" s="289"/>
      <c r="F602" s="290"/>
      <c r="I602" s="291"/>
    </row>
    <row r="603" spans="2:9" ht="15.75">
      <c r="B603" s="288"/>
      <c r="C603" s="289"/>
      <c r="F603" s="290"/>
      <c r="I603" s="291"/>
    </row>
    <row r="604" spans="2:9" ht="15.75">
      <c r="B604" s="288"/>
      <c r="C604" s="289"/>
      <c r="F604" s="290"/>
      <c r="I604" s="291"/>
    </row>
    <row r="605" spans="2:9" ht="15.75">
      <c r="B605" s="288"/>
      <c r="C605" s="289"/>
      <c r="F605" s="290"/>
      <c r="I605" s="291"/>
    </row>
    <row r="606" spans="2:9" ht="15.75">
      <c r="B606" s="288"/>
      <c r="C606" s="289"/>
      <c r="F606" s="290"/>
      <c r="I606" s="291"/>
    </row>
    <row r="607" spans="2:9" ht="15.75">
      <c r="B607" s="288"/>
      <c r="C607" s="289"/>
      <c r="F607" s="290"/>
      <c r="I607" s="291"/>
    </row>
    <row r="608" spans="2:9" ht="15.75">
      <c r="B608" s="288"/>
      <c r="C608" s="289"/>
      <c r="F608" s="290"/>
      <c r="I608" s="291"/>
    </row>
    <row r="609" spans="2:9" ht="15.75">
      <c r="B609" s="288"/>
      <c r="C609" s="289"/>
      <c r="F609" s="290"/>
      <c r="I609" s="291"/>
    </row>
    <row r="610" spans="2:9" ht="15.75">
      <c r="B610" s="288"/>
      <c r="C610" s="289"/>
      <c r="F610" s="290"/>
      <c r="I610" s="291"/>
    </row>
    <row r="611" spans="2:9" ht="15.75">
      <c r="B611" s="288"/>
      <c r="C611" s="289"/>
      <c r="F611" s="290"/>
      <c r="I611" s="291"/>
    </row>
    <row r="612" spans="2:9" ht="15.75">
      <c r="B612" s="288"/>
      <c r="C612" s="289"/>
      <c r="F612" s="290"/>
      <c r="I612" s="291"/>
    </row>
    <row r="613" spans="2:9" ht="15.75">
      <c r="B613" s="288"/>
      <c r="C613" s="289"/>
      <c r="F613" s="290"/>
      <c r="I613" s="291"/>
    </row>
    <row r="614" spans="2:9" ht="15.75">
      <c r="B614" s="288"/>
      <c r="C614" s="289"/>
      <c r="F614" s="290"/>
      <c r="I614" s="291"/>
    </row>
    <row r="615" spans="2:9" ht="15.75">
      <c r="B615" s="288"/>
      <c r="C615" s="289"/>
      <c r="F615" s="290"/>
      <c r="I615" s="291"/>
    </row>
    <row r="616" spans="2:9" ht="15.75">
      <c r="B616" s="288"/>
      <c r="C616" s="289"/>
      <c r="F616" s="290"/>
      <c r="I616" s="291"/>
    </row>
    <row r="617" spans="2:9" ht="15.75">
      <c r="B617" s="288"/>
      <c r="C617" s="289"/>
      <c r="F617" s="290"/>
      <c r="I617" s="291"/>
    </row>
    <row r="618" spans="2:9" ht="15.75">
      <c r="B618" s="288"/>
      <c r="C618" s="289"/>
      <c r="F618" s="290"/>
      <c r="I618" s="291"/>
    </row>
    <row r="619" spans="2:9" ht="15.75">
      <c r="B619" s="288"/>
      <c r="C619" s="289"/>
      <c r="F619" s="290"/>
      <c r="I619" s="291"/>
    </row>
    <row r="620" spans="2:9" ht="15.75">
      <c r="B620" s="288"/>
      <c r="C620" s="289"/>
      <c r="F620" s="290"/>
      <c r="I620" s="291"/>
    </row>
    <row r="621" spans="2:9" ht="15.75">
      <c r="B621" s="288"/>
      <c r="C621" s="289"/>
      <c r="F621" s="290"/>
      <c r="I621" s="291"/>
    </row>
    <row r="622" spans="2:9" ht="15.75">
      <c r="B622" s="288"/>
      <c r="C622" s="289"/>
      <c r="F622" s="290"/>
      <c r="I622" s="291"/>
    </row>
    <row r="623" spans="2:9" ht="15.75">
      <c r="B623" s="288"/>
      <c r="C623" s="289"/>
      <c r="F623" s="290"/>
      <c r="I623" s="291"/>
    </row>
    <row r="624" spans="2:9" ht="15.75">
      <c r="B624" s="288"/>
      <c r="C624" s="289"/>
      <c r="F624" s="290"/>
      <c r="I624" s="291"/>
    </row>
    <row r="625" spans="2:9" ht="15.75">
      <c r="B625" s="288"/>
      <c r="C625" s="289"/>
      <c r="F625" s="290"/>
      <c r="I625" s="291"/>
    </row>
    <row r="626" spans="2:9" ht="15.75">
      <c r="B626" s="288"/>
      <c r="C626" s="289"/>
      <c r="F626" s="290"/>
      <c r="I626" s="291"/>
    </row>
    <row r="627" spans="2:9" ht="15.75">
      <c r="B627" s="288"/>
      <c r="C627" s="289"/>
      <c r="F627" s="290"/>
      <c r="I627" s="291"/>
    </row>
    <row r="628" spans="2:9" ht="15.75">
      <c r="B628" s="288"/>
      <c r="C628" s="289"/>
      <c r="F628" s="290"/>
      <c r="I628" s="291"/>
    </row>
    <row r="629" spans="2:9" ht="15.75">
      <c r="B629" s="288"/>
      <c r="C629" s="289"/>
      <c r="F629" s="290"/>
      <c r="I629" s="291"/>
    </row>
    <row r="630" spans="2:9" ht="15.75">
      <c r="B630" s="288"/>
      <c r="C630" s="289"/>
      <c r="F630" s="290"/>
      <c r="I630" s="291"/>
    </row>
    <row r="631" spans="2:9" ht="15.75">
      <c r="B631" s="288"/>
      <c r="C631" s="289"/>
      <c r="F631" s="290"/>
      <c r="I631" s="291"/>
    </row>
    <row r="632" spans="2:9" ht="15.75">
      <c r="B632" s="288"/>
      <c r="C632" s="289"/>
      <c r="F632" s="290"/>
      <c r="I632" s="291"/>
    </row>
    <row r="633" spans="2:9" ht="15.75">
      <c r="B633" s="288"/>
      <c r="C633" s="289"/>
      <c r="F633" s="290"/>
      <c r="I633" s="291"/>
    </row>
    <row r="634" spans="2:9" ht="15.75">
      <c r="B634" s="288"/>
      <c r="C634" s="289"/>
      <c r="F634" s="290"/>
      <c r="I634" s="291"/>
    </row>
    <row r="635" spans="2:9" ht="15.75">
      <c r="B635" s="288"/>
      <c r="C635" s="289"/>
      <c r="F635" s="290"/>
      <c r="I635" s="291"/>
    </row>
    <row r="636" spans="2:9" ht="15.75">
      <c r="B636" s="288"/>
      <c r="C636" s="289"/>
      <c r="F636" s="290"/>
      <c r="I636" s="291"/>
    </row>
    <row r="637" spans="2:9" ht="15.75">
      <c r="B637" s="288"/>
      <c r="C637" s="289"/>
      <c r="F637" s="290"/>
      <c r="I637" s="291"/>
    </row>
    <row r="638" spans="2:9" ht="15.75">
      <c r="B638" s="288"/>
      <c r="C638" s="289"/>
      <c r="F638" s="290"/>
      <c r="I638" s="291"/>
    </row>
    <row r="639" spans="2:9" ht="15.75">
      <c r="B639" s="288"/>
      <c r="C639" s="289"/>
      <c r="F639" s="290"/>
      <c r="I639" s="291"/>
    </row>
    <row r="640" spans="2:9" ht="15.75">
      <c r="B640" s="288"/>
      <c r="C640" s="289"/>
      <c r="F640" s="290"/>
      <c r="I640" s="291"/>
    </row>
    <row r="641" spans="2:9" ht="15.75">
      <c r="B641" s="288"/>
      <c r="C641" s="289"/>
      <c r="F641" s="290"/>
      <c r="I641" s="291"/>
    </row>
    <row r="642" spans="2:9" ht="15.75">
      <c r="B642" s="288"/>
      <c r="C642" s="289"/>
      <c r="F642" s="290"/>
      <c r="I642" s="291"/>
    </row>
    <row r="643" spans="2:9" ht="15.75">
      <c r="B643" s="288"/>
      <c r="C643" s="289"/>
      <c r="F643" s="290"/>
      <c r="I643" s="291"/>
    </row>
    <row r="644" spans="2:9" ht="15.75">
      <c r="B644" s="288"/>
      <c r="C644" s="289"/>
      <c r="F644" s="290"/>
      <c r="I644" s="291"/>
    </row>
    <row r="645" spans="2:9" ht="15.75">
      <c r="B645" s="288"/>
      <c r="C645" s="289"/>
      <c r="F645" s="290"/>
      <c r="I645" s="291"/>
    </row>
    <row r="646" spans="2:9" ht="15.75">
      <c r="B646" s="288"/>
      <c r="C646" s="289"/>
      <c r="F646" s="290"/>
      <c r="I646" s="291"/>
    </row>
    <row r="647" spans="2:9" ht="15.75">
      <c r="B647" s="288"/>
      <c r="C647" s="289"/>
      <c r="F647" s="290"/>
      <c r="I647" s="291"/>
    </row>
    <row r="648" spans="2:9" ht="15.75">
      <c r="B648" s="288"/>
      <c r="C648" s="289"/>
      <c r="F648" s="290"/>
      <c r="I648" s="291"/>
    </row>
    <row r="649" spans="2:9" ht="15.75">
      <c r="B649" s="288"/>
      <c r="C649" s="289"/>
      <c r="F649" s="290"/>
      <c r="I649" s="291"/>
    </row>
    <row r="650" spans="2:9" ht="15.75">
      <c r="B650" s="288"/>
      <c r="C650" s="289"/>
      <c r="F650" s="290"/>
      <c r="I650" s="291"/>
    </row>
    <row r="651" spans="2:9" ht="15.75">
      <c r="B651" s="288"/>
      <c r="C651" s="289"/>
      <c r="F651" s="290"/>
      <c r="I651" s="291"/>
    </row>
    <row r="652" spans="2:9" ht="15.75">
      <c r="B652" s="288"/>
      <c r="C652" s="289"/>
      <c r="F652" s="290"/>
      <c r="I652" s="291"/>
    </row>
    <row r="653" spans="2:9" ht="15.75">
      <c r="B653" s="288"/>
      <c r="C653" s="289"/>
      <c r="F653" s="290"/>
      <c r="I653" s="291"/>
    </row>
    <row r="654" spans="2:9" ht="15.75">
      <c r="B654" s="288"/>
      <c r="C654" s="289"/>
      <c r="F654" s="290"/>
      <c r="I654" s="291"/>
    </row>
    <row r="655" spans="2:9" ht="15.75">
      <c r="B655" s="288"/>
      <c r="C655" s="289"/>
      <c r="F655" s="290"/>
      <c r="I655" s="291"/>
    </row>
    <row r="656" spans="2:9" ht="15.75">
      <c r="B656" s="288"/>
      <c r="C656" s="289"/>
      <c r="F656" s="290"/>
      <c r="I656" s="291"/>
    </row>
    <row r="657" spans="2:9" ht="15.75">
      <c r="B657" s="288"/>
      <c r="C657" s="289"/>
      <c r="F657" s="290"/>
      <c r="I657" s="291"/>
    </row>
    <row r="658" spans="2:9" ht="15.75">
      <c r="B658" s="288"/>
      <c r="C658" s="289"/>
      <c r="F658" s="290"/>
      <c r="I658" s="291"/>
    </row>
    <row r="659" spans="2:9" ht="15.75">
      <c r="B659" s="288"/>
      <c r="C659" s="289"/>
      <c r="F659" s="290"/>
      <c r="I659" s="291"/>
    </row>
    <row r="660" spans="2:9" ht="15.75">
      <c r="B660" s="288"/>
      <c r="C660" s="289"/>
      <c r="F660" s="290"/>
      <c r="I660" s="291"/>
    </row>
    <row r="661" spans="2:9" ht="15.75">
      <c r="B661" s="288"/>
      <c r="C661" s="289"/>
      <c r="F661" s="290"/>
      <c r="I661" s="291"/>
    </row>
    <row r="662" spans="2:9" ht="15.75">
      <c r="B662" s="288"/>
      <c r="C662" s="289"/>
      <c r="F662" s="290"/>
      <c r="I662" s="291"/>
    </row>
    <row r="663" spans="2:9" ht="15.75">
      <c r="B663" s="288"/>
      <c r="C663" s="289"/>
      <c r="F663" s="290"/>
      <c r="I663" s="291"/>
    </row>
    <row r="664" spans="2:9" ht="15.75">
      <c r="B664" s="288"/>
      <c r="C664" s="289"/>
      <c r="F664" s="290"/>
      <c r="I664" s="291"/>
    </row>
    <row r="665" spans="2:9" ht="15.75">
      <c r="B665" s="288"/>
      <c r="C665" s="289"/>
      <c r="F665" s="290"/>
      <c r="I665" s="291"/>
    </row>
    <row r="666" spans="2:9" ht="15.75">
      <c r="B666" s="288"/>
      <c r="C666" s="289"/>
      <c r="F666" s="290"/>
      <c r="I666" s="291"/>
    </row>
    <row r="667" spans="2:9" ht="15.75">
      <c r="B667" s="288"/>
      <c r="C667" s="289"/>
      <c r="F667" s="290"/>
      <c r="I667" s="291"/>
    </row>
    <row r="668" spans="2:9" ht="15.75">
      <c r="B668" s="288"/>
      <c r="C668" s="289"/>
      <c r="F668" s="290"/>
      <c r="I668" s="291"/>
    </row>
    <row r="669" spans="2:9" ht="15.75">
      <c r="B669" s="288"/>
      <c r="C669" s="289"/>
      <c r="F669" s="290"/>
      <c r="I669" s="291"/>
    </row>
    <row r="670" spans="2:9" ht="15.75">
      <c r="B670" s="288"/>
      <c r="C670" s="289"/>
      <c r="F670" s="290"/>
      <c r="I670" s="291"/>
    </row>
    <row r="671" spans="2:9" ht="15.75">
      <c r="B671" s="288"/>
      <c r="C671" s="289"/>
      <c r="F671" s="290"/>
      <c r="I671" s="291"/>
    </row>
    <row r="672" spans="2:9" ht="15.75">
      <c r="B672" s="288"/>
      <c r="C672" s="289"/>
      <c r="F672" s="290"/>
      <c r="I672" s="291"/>
    </row>
    <row r="673" spans="2:9" ht="15.75">
      <c r="B673" s="288"/>
      <c r="C673" s="289"/>
      <c r="F673" s="290"/>
      <c r="I673" s="291"/>
    </row>
    <row r="674" spans="2:9" ht="15.75">
      <c r="B674" s="288"/>
      <c r="C674" s="289"/>
      <c r="F674" s="290"/>
      <c r="I674" s="291"/>
    </row>
    <row r="675" spans="2:9" ht="15.75">
      <c r="B675" s="288"/>
      <c r="C675" s="289"/>
      <c r="F675" s="290"/>
      <c r="I675" s="291"/>
    </row>
    <row r="676" spans="2:9" ht="15.75">
      <c r="B676" s="288"/>
      <c r="C676" s="289"/>
      <c r="F676" s="290"/>
      <c r="I676" s="291"/>
    </row>
    <row r="677" spans="2:9" ht="15.75">
      <c r="B677" s="288"/>
      <c r="C677" s="289"/>
      <c r="F677" s="290"/>
      <c r="I677" s="291"/>
    </row>
    <row r="678" spans="2:9" ht="15.75">
      <c r="B678" s="288"/>
      <c r="C678" s="289"/>
      <c r="F678" s="290"/>
      <c r="I678" s="291"/>
    </row>
    <row r="679" spans="2:9" ht="15.75">
      <c r="B679" s="288"/>
      <c r="C679" s="289"/>
      <c r="F679" s="290"/>
      <c r="I679" s="291"/>
    </row>
    <row r="680" spans="2:9" ht="15.75">
      <c r="B680" s="288"/>
      <c r="C680" s="289"/>
      <c r="F680" s="290"/>
      <c r="I680" s="291"/>
    </row>
    <row r="681" spans="2:9" ht="15.75">
      <c r="B681" s="288"/>
      <c r="C681" s="289"/>
      <c r="F681" s="290"/>
      <c r="I681" s="291"/>
    </row>
    <row r="682" spans="2:9" ht="15.75">
      <c r="B682" s="288"/>
      <c r="C682" s="289"/>
      <c r="F682" s="290"/>
      <c r="I682" s="291"/>
    </row>
    <row r="683" spans="2:9" ht="15.75">
      <c r="B683" s="288"/>
      <c r="C683" s="289"/>
      <c r="F683" s="290"/>
      <c r="I683" s="291"/>
    </row>
    <row r="684" spans="2:9" ht="15.75">
      <c r="B684" s="288"/>
      <c r="C684" s="289"/>
      <c r="F684" s="290"/>
      <c r="I684" s="291"/>
    </row>
    <row r="685" spans="2:9" ht="15.75">
      <c r="B685" s="288"/>
      <c r="C685" s="289"/>
      <c r="F685" s="290"/>
      <c r="I685" s="291"/>
    </row>
    <row r="686" spans="2:9" ht="15.75">
      <c r="B686" s="288"/>
      <c r="C686" s="289"/>
      <c r="F686" s="290"/>
      <c r="I686" s="291"/>
    </row>
    <row r="687" spans="2:9" ht="15.75">
      <c r="B687" s="288"/>
      <c r="C687" s="289"/>
      <c r="F687" s="290"/>
      <c r="I687" s="291"/>
    </row>
    <row r="688" spans="2:9" ht="15.75">
      <c r="B688" s="288"/>
      <c r="C688" s="289"/>
      <c r="F688" s="290"/>
      <c r="I688" s="291"/>
    </row>
    <row r="689" spans="2:9" ht="15.75">
      <c r="B689" s="288"/>
      <c r="C689" s="289"/>
      <c r="F689" s="290"/>
      <c r="I689" s="291"/>
    </row>
    <row r="690" spans="2:9" ht="15.75">
      <c r="B690" s="288"/>
      <c r="C690" s="289"/>
      <c r="F690" s="290"/>
      <c r="I690" s="291"/>
    </row>
    <row r="691" spans="2:9" ht="15.75">
      <c r="B691" s="288"/>
      <c r="C691" s="289"/>
      <c r="F691" s="290"/>
      <c r="I691" s="291"/>
    </row>
    <row r="692" spans="2:9" ht="15.75">
      <c r="B692" s="288"/>
      <c r="C692" s="289"/>
      <c r="F692" s="290"/>
      <c r="I692" s="291"/>
    </row>
    <row r="693" spans="2:9" ht="15.75">
      <c r="B693" s="288"/>
      <c r="C693" s="289"/>
      <c r="F693" s="290"/>
      <c r="I693" s="291"/>
    </row>
    <row r="694" spans="2:9" ht="15.75">
      <c r="B694" s="288"/>
      <c r="C694" s="289"/>
      <c r="F694" s="290"/>
      <c r="I694" s="291"/>
    </row>
    <row r="695" spans="2:9" ht="15.75">
      <c r="B695" s="288"/>
      <c r="C695" s="289"/>
      <c r="F695" s="290"/>
      <c r="I695" s="291"/>
    </row>
    <row r="696" spans="2:9" ht="15.75">
      <c r="B696" s="288"/>
      <c r="C696" s="289"/>
      <c r="F696" s="290"/>
      <c r="I696" s="291"/>
    </row>
    <row r="697" spans="2:9" ht="15.75">
      <c r="B697" s="288"/>
      <c r="C697" s="289"/>
      <c r="F697" s="290"/>
      <c r="I697" s="291"/>
    </row>
    <row r="698" spans="2:9" ht="15.75">
      <c r="B698" s="288"/>
      <c r="C698" s="289"/>
      <c r="F698" s="290"/>
      <c r="I698" s="291"/>
    </row>
    <row r="699" spans="2:9" ht="15.75">
      <c r="B699" s="288"/>
      <c r="C699" s="289"/>
      <c r="F699" s="290"/>
      <c r="I699" s="291"/>
    </row>
    <row r="700" spans="2:9" ht="15.75">
      <c r="B700" s="288"/>
      <c r="C700" s="289"/>
      <c r="F700" s="290"/>
      <c r="I700" s="291"/>
    </row>
    <row r="701" spans="2:9" ht="15.75">
      <c r="B701" s="288"/>
      <c r="C701" s="289"/>
      <c r="F701" s="290"/>
      <c r="I701" s="291"/>
    </row>
    <row r="702" spans="2:9" ht="15.75">
      <c r="B702" s="288"/>
      <c r="C702" s="289"/>
      <c r="F702" s="290"/>
      <c r="I702" s="291"/>
    </row>
    <row r="703" spans="2:9" ht="15.75">
      <c r="B703" s="288"/>
      <c r="C703" s="289"/>
      <c r="F703" s="290"/>
      <c r="I703" s="291"/>
    </row>
    <row r="704" spans="2:9" ht="15.75">
      <c r="B704" s="288"/>
      <c r="C704" s="289"/>
      <c r="F704" s="290"/>
      <c r="I704" s="291"/>
    </row>
    <row r="705" spans="2:9" ht="15.75">
      <c r="B705" s="288"/>
      <c r="C705" s="289"/>
      <c r="F705" s="290"/>
      <c r="I705" s="291"/>
    </row>
    <row r="706" spans="2:9" ht="15.75">
      <c r="B706" s="288"/>
      <c r="C706" s="289"/>
      <c r="F706" s="290"/>
      <c r="I706" s="291"/>
    </row>
    <row r="707" spans="2:9" ht="15.75">
      <c r="B707" s="288"/>
      <c r="C707" s="289"/>
      <c r="F707" s="290"/>
      <c r="I707" s="291"/>
    </row>
    <row r="708" spans="2:9" ht="15.75">
      <c r="B708" s="288"/>
      <c r="C708" s="289"/>
      <c r="F708" s="290"/>
      <c r="I708" s="291"/>
    </row>
    <row r="709" spans="2:9" ht="15.75">
      <c r="B709" s="288"/>
      <c r="C709" s="289"/>
      <c r="F709" s="290"/>
      <c r="I709" s="291"/>
    </row>
    <row r="710" spans="2:9" ht="15.75">
      <c r="B710" s="288"/>
      <c r="C710" s="289"/>
      <c r="F710" s="290"/>
      <c r="I710" s="291"/>
    </row>
    <row r="711" spans="2:9" ht="15.75">
      <c r="B711" s="288"/>
      <c r="C711" s="289"/>
      <c r="F711" s="290"/>
      <c r="I711" s="291"/>
    </row>
    <row r="712" spans="2:9" ht="15.75">
      <c r="B712" s="288"/>
      <c r="C712" s="289"/>
      <c r="F712" s="290"/>
      <c r="I712" s="291"/>
    </row>
    <row r="713" spans="2:9" ht="15.75">
      <c r="B713" s="288"/>
      <c r="C713" s="289"/>
      <c r="F713" s="290"/>
      <c r="I713" s="291"/>
    </row>
    <row r="714" spans="2:9" ht="15.75">
      <c r="B714" s="288"/>
      <c r="C714" s="289"/>
      <c r="F714" s="290"/>
      <c r="I714" s="291"/>
    </row>
    <row r="715" spans="2:9" ht="15.75">
      <c r="B715" s="288"/>
      <c r="C715" s="289"/>
      <c r="F715" s="290"/>
      <c r="I715" s="291"/>
    </row>
    <row r="716" spans="2:9" ht="15.75">
      <c r="B716" s="288"/>
      <c r="C716" s="289"/>
      <c r="F716" s="290"/>
      <c r="I716" s="291"/>
    </row>
    <row r="717" spans="2:9" ht="15.75">
      <c r="B717" s="288"/>
      <c r="C717" s="289"/>
      <c r="F717" s="290"/>
      <c r="I717" s="291"/>
    </row>
    <row r="718" spans="2:9" ht="15.75">
      <c r="B718" s="288"/>
      <c r="C718" s="289"/>
      <c r="F718" s="290"/>
      <c r="I718" s="291"/>
    </row>
    <row r="719" spans="2:9" ht="15.75">
      <c r="B719" s="288"/>
      <c r="C719" s="289"/>
      <c r="F719" s="290"/>
      <c r="I719" s="291"/>
    </row>
    <row r="720" spans="2:9" ht="15.75">
      <c r="B720" s="288"/>
      <c r="C720" s="289"/>
      <c r="F720" s="290"/>
      <c r="I720" s="291"/>
    </row>
    <row r="721" spans="2:9" ht="15.75">
      <c r="B721" s="288"/>
      <c r="C721" s="289"/>
      <c r="F721" s="290"/>
      <c r="I721" s="291"/>
    </row>
    <row r="722" spans="2:9" ht="15.75">
      <c r="B722" s="288"/>
      <c r="C722" s="289"/>
      <c r="F722" s="290"/>
      <c r="I722" s="291"/>
    </row>
    <row r="723" spans="2:9" ht="15.75">
      <c r="B723" s="288"/>
      <c r="C723" s="289"/>
      <c r="F723" s="290"/>
      <c r="I723" s="291"/>
    </row>
    <row r="724" spans="2:9" ht="15.75">
      <c r="B724" s="288"/>
      <c r="C724" s="289"/>
      <c r="F724" s="290"/>
      <c r="I724" s="291"/>
    </row>
    <row r="725" spans="2:9" ht="15.75">
      <c r="B725" s="288"/>
      <c r="C725" s="289"/>
      <c r="F725" s="290"/>
      <c r="I725" s="291"/>
    </row>
    <row r="726" spans="2:9" ht="15.75">
      <c r="B726" s="288"/>
      <c r="C726" s="289"/>
      <c r="F726" s="290"/>
      <c r="I726" s="291"/>
    </row>
    <row r="727" spans="2:9" ht="15.75">
      <c r="B727" s="288"/>
      <c r="C727" s="289"/>
      <c r="F727" s="290"/>
      <c r="I727" s="291"/>
    </row>
    <row r="728" spans="2:9" ht="15.75">
      <c r="B728" s="288"/>
      <c r="C728" s="289"/>
      <c r="F728" s="290"/>
      <c r="I728" s="291"/>
    </row>
    <row r="729" spans="2:9" ht="15.75">
      <c r="B729" s="288"/>
      <c r="C729" s="289"/>
      <c r="F729" s="290"/>
      <c r="I729" s="291"/>
    </row>
    <row r="730" spans="2:9" ht="15.75">
      <c r="B730" s="288"/>
      <c r="C730" s="289"/>
      <c r="F730" s="290"/>
      <c r="I730" s="291"/>
    </row>
    <row r="731" spans="2:9" ht="15.75">
      <c r="B731" s="288"/>
      <c r="C731" s="289"/>
      <c r="F731" s="290"/>
      <c r="I731" s="291"/>
    </row>
    <row r="732" spans="2:9" ht="15.75">
      <c r="B732" s="288"/>
      <c r="C732" s="289"/>
      <c r="F732" s="290"/>
      <c r="I732" s="291"/>
    </row>
    <row r="733" spans="2:9" ht="15.75">
      <c r="B733" s="288"/>
      <c r="C733" s="289"/>
      <c r="F733" s="290"/>
      <c r="I733" s="291"/>
    </row>
    <row r="734" spans="2:9" ht="15.75">
      <c r="B734" s="288"/>
      <c r="C734" s="289"/>
      <c r="F734" s="290"/>
      <c r="I734" s="291"/>
    </row>
    <row r="735" spans="2:9" ht="15.75">
      <c r="B735" s="288"/>
      <c r="C735" s="289"/>
      <c r="F735" s="290"/>
      <c r="I735" s="291"/>
    </row>
    <row r="736" spans="2:9" ht="15.75">
      <c r="B736" s="288"/>
      <c r="C736" s="289"/>
      <c r="F736" s="290"/>
      <c r="I736" s="291"/>
    </row>
    <row r="737" spans="2:9" ht="15.75">
      <c r="B737" s="288"/>
      <c r="C737" s="289"/>
      <c r="F737" s="290"/>
      <c r="I737" s="291"/>
    </row>
    <row r="738" spans="2:9" ht="15.75">
      <c r="B738" s="288"/>
      <c r="C738" s="289"/>
      <c r="F738" s="290"/>
      <c r="I738" s="291"/>
    </row>
    <row r="739" spans="2:9" ht="15.75">
      <c r="B739" s="288"/>
      <c r="C739" s="289"/>
      <c r="F739" s="290"/>
      <c r="I739" s="291"/>
    </row>
    <row r="740" spans="2:9" ht="15.75">
      <c r="B740" s="288"/>
      <c r="C740" s="289"/>
      <c r="F740" s="290"/>
      <c r="I740" s="291"/>
    </row>
    <row r="741" spans="2:9" ht="15.75">
      <c r="B741" s="288"/>
      <c r="C741" s="289"/>
      <c r="F741" s="290"/>
      <c r="I741" s="291"/>
    </row>
    <row r="742" spans="2:9" ht="15.75">
      <c r="B742" s="288"/>
      <c r="C742" s="289"/>
      <c r="F742" s="290"/>
      <c r="I742" s="291"/>
    </row>
    <row r="743" spans="2:9" ht="15.75">
      <c r="B743" s="288"/>
      <c r="C743" s="289"/>
      <c r="F743" s="290"/>
      <c r="I743" s="291"/>
    </row>
    <row r="744" spans="2:9" ht="15.75">
      <c r="B744" s="288"/>
      <c r="C744" s="289"/>
      <c r="F744" s="290"/>
      <c r="I744" s="291"/>
    </row>
    <row r="745" spans="2:9" ht="15.75">
      <c r="B745" s="288"/>
      <c r="C745" s="289"/>
      <c r="F745" s="290"/>
      <c r="I745" s="291"/>
    </row>
    <row r="746" spans="2:9" ht="15.75">
      <c r="B746" s="288"/>
      <c r="C746" s="289"/>
      <c r="F746" s="290"/>
      <c r="I746" s="291"/>
    </row>
    <row r="747" spans="2:9" ht="15.75">
      <c r="B747" s="288"/>
      <c r="C747" s="289"/>
      <c r="F747" s="290"/>
      <c r="I747" s="291"/>
    </row>
    <row r="748" spans="2:9" ht="15.75">
      <c r="B748" s="288"/>
      <c r="C748" s="289"/>
      <c r="F748" s="290"/>
      <c r="I748" s="291"/>
    </row>
    <row r="749" spans="2:9" ht="15.75">
      <c r="B749" s="288"/>
      <c r="C749" s="289"/>
      <c r="F749" s="290"/>
      <c r="I749" s="291"/>
    </row>
    <row r="750" spans="2:9" ht="15.75">
      <c r="B750" s="288"/>
      <c r="C750" s="289"/>
      <c r="F750" s="290"/>
      <c r="I750" s="291"/>
    </row>
    <row r="751" spans="2:9" ht="15.75">
      <c r="B751" s="288"/>
      <c r="C751" s="289"/>
      <c r="F751" s="290"/>
      <c r="I751" s="291"/>
    </row>
    <row r="752" spans="2:9" ht="15.75">
      <c r="B752" s="288"/>
      <c r="C752" s="289"/>
      <c r="F752" s="290"/>
      <c r="I752" s="291"/>
    </row>
    <row r="753" spans="2:9" ht="15.75">
      <c r="B753" s="288"/>
      <c r="C753" s="289"/>
      <c r="F753" s="290"/>
      <c r="I753" s="291"/>
    </row>
    <row r="754" spans="2:9" ht="15.75">
      <c r="B754" s="288"/>
      <c r="C754" s="289"/>
      <c r="F754" s="290"/>
      <c r="I754" s="291"/>
    </row>
    <row r="755" spans="2:9" ht="15.75">
      <c r="B755" s="288"/>
      <c r="C755" s="289"/>
      <c r="F755" s="290"/>
      <c r="I755" s="291"/>
    </row>
    <row r="756" spans="2:9" ht="15.75">
      <c r="B756" s="288"/>
      <c r="C756" s="289"/>
      <c r="F756" s="290"/>
      <c r="I756" s="291"/>
    </row>
    <row r="757" spans="2:9" ht="15.75">
      <c r="B757" s="288"/>
      <c r="C757" s="289"/>
      <c r="F757" s="290"/>
      <c r="I757" s="291"/>
    </row>
    <row r="758" spans="2:9" ht="15.75">
      <c r="B758" s="288"/>
      <c r="C758" s="289"/>
      <c r="F758" s="290"/>
      <c r="I758" s="291"/>
    </row>
    <row r="759" spans="2:9" ht="15.75">
      <c r="B759" s="288"/>
      <c r="C759" s="289"/>
      <c r="F759" s="290"/>
      <c r="I759" s="291"/>
    </row>
    <row r="760" spans="2:9" ht="15.75">
      <c r="B760" s="288"/>
      <c r="C760" s="289"/>
      <c r="F760" s="290"/>
      <c r="I760" s="291"/>
    </row>
    <row r="761" spans="2:9" ht="15.75">
      <c r="B761" s="288"/>
      <c r="C761" s="289"/>
      <c r="F761" s="290"/>
      <c r="I761" s="291"/>
    </row>
    <row r="762" spans="2:9" ht="15.75">
      <c r="B762" s="288"/>
      <c r="C762" s="289"/>
      <c r="F762" s="290"/>
      <c r="I762" s="291"/>
    </row>
    <row r="763" spans="2:9" ht="15.75">
      <c r="B763" s="288"/>
      <c r="C763" s="289"/>
      <c r="F763" s="290"/>
      <c r="I763" s="291"/>
    </row>
    <row r="764" spans="2:9" ht="15.75">
      <c r="B764" s="288"/>
      <c r="C764" s="289"/>
      <c r="F764" s="290"/>
      <c r="I764" s="291"/>
    </row>
    <row r="765" spans="2:9" ht="15.75">
      <c r="B765" s="288"/>
      <c r="C765" s="289"/>
      <c r="F765" s="290"/>
      <c r="I765" s="291"/>
    </row>
    <row r="766" spans="2:9" ht="15.75">
      <c r="B766" s="288"/>
      <c r="C766" s="289"/>
      <c r="F766" s="290"/>
      <c r="I766" s="291"/>
    </row>
    <row r="767" spans="2:9" ht="15.75">
      <c r="B767" s="288"/>
      <c r="C767" s="289"/>
      <c r="F767" s="290"/>
      <c r="I767" s="291"/>
    </row>
    <row r="768" spans="2:9" ht="15.75">
      <c r="B768" s="288"/>
      <c r="C768" s="289"/>
      <c r="F768" s="290"/>
      <c r="I768" s="291"/>
    </row>
    <row r="769" spans="2:9" ht="15.75">
      <c r="B769" s="288"/>
      <c r="C769" s="289"/>
      <c r="F769" s="290"/>
      <c r="I769" s="291"/>
    </row>
    <row r="770" spans="2:9" ht="15.75">
      <c r="B770" s="288"/>
      <c r="C770" s="289"/>
      <c r="F770" s="290"/>
      <c r="I770" s="291"/>
    </row>
    <row r="771" spans="2:9" ht="15.75">
      <c r="B771" s="288"/>
      <c r="C771" s="289"/>
      <c r="F771" s="290"/>
      <c r="I771" s="291"/>
    </row>
    <row r="772" spans="2:9" ht="15.75">
      <c r="B772" s="288"/>
      <c r="C772" s="289"/>
      <c r="F772" s="290"/>
      <c r="I772" s="291"/>
    </row>
    <row r="773" spans="2:9" ht="15.75">
      <c r="B773" s="288"/>
      <c r="C773" s="289"/>
      <c r="F773" s="290"/>
      <c r="I773" s="291"/>
    </row>
    <row r="774" spans="2:9" ht="15.75">
      <c r="B774" s="288"/>
      <c r="C774" s="289"/>
      <c r="F774" s="290"/>
      <c r="I774" s="291"/>
    </row>
    <row r="775" spans="2:9" ht="15.75">
      <c r="B775" s="288"/>
      <c r="C775" s="289"/>
      <c r="F775" s="290"/>
      <c r="I775" s="291"/>
    </row>
    <row r="776" spans="2:9" ht="15.75">
      <c r="B776" s="288"/>
      <c r="C776" s="289"/>
      <c r="F776" s="290"/>
      <c r="I776" s="291"/>
    </row>
    <row r="777" spans="2:9" ht="15.75">
      <c r="B777" s="288"/>
      <c r="C777" s="289"/>
      <c r="F777" s="290"/>
      <c r="I777" s="291"/>
    </row>
    <row r="778" spans="2:9" ht="15.75">
      <c r="B778" s="288"/>
      <c r="C778" s="289"/>
      <c r="F778" s="290"/>
      <c r="I778" s="291"/>
    </row>
    <row r="779" spans="2:9" ht="15.75">
      <c r="B779" s="288"/>
      <c r="C779" s="289"/>
      <c r="F779" s="290"/>
      <c r="I779" s="291"/>
    </row>
    <row r="780" spans="2:9" ht="15.75">
      <c r="B780" s="288"/>
      <c r="C780" s="289"/>
      <c r="F780" s="290"/>
      <c r="I780" s="291"/>
    </row>
    <row r="781" spans="2:9" ht="15.75">
      <c r="B781" s="288"/>
      <c r="C781" s="289"/>
      <c r="F781" s="290"/>
      <c r="I781" s="291"/>
    </row>
    <row r="782" spans="2:9" ht="15.75">
      <c r="B782" s="288"/>
      <c r="C782" s="289"/>
      <c r="F782" s="290"/>
      <c r="I782" s="291"/>
    </row>
    <row r="783" spans="2:9" ht="15.75">
      <c r="B783" s="288"/>
      <c r="C783" s="289"/>
      <c r="F783" s="290"/>
      <c r="I783" s="291"/>
    </row>
    <row r="784" spans="2:9" ht="15.75">
      <c r="B784" s="288"/>
      <c r="C784" s="289"/>
      <c r="F784" s="290"/>
      <c r="I784" s="291"/>
    </row>
    <row r="785" spans="2:9" ht="15.75">
      <c r="B785" s="288"/>
      <c r="C785" s="289"/>
      <c r="F785" s="290"/>
      <c r="I785" s="291"/>
    </row>
    <row r="786" spans="2:9" ht="15.75">
      <c r="B786" s="288"/>
      <c r="C786" s="289"/>
      <c r="F786" s="290"/>
      <c r="I786" s="291"/>
    </row>
    <row r="787" spans="2:9" ht="15.75">
      <c r="B787" s="288"/>
      <c r="C787" s="289"/>
      <c r="F787" s="290"/>
      <c r="I787" s="291"/>
    </row>
    <row r="788" spans="2:9" ht="15.75">
      <c r="B788" s="288"/>
      <c r="C788" s="289"/>
      <c r="F788" s="290"/>
      <c r="I788" s="291"/>
    </row>
    <row r="789" spans="2:9" ht="15.75">
      <c r="B789" s="288"/>
      <c r="C789" s="289"/>
      <c r="F789" s="290"/>
      <c r="I789" s="291"/>
    </row>
    <row r="790" spans="2:9" ht="15.75">
      <c r="B790" s="288"/>
      <c r="C790" s="289"/>
      <c r="F790" s="290"/>
      <c r="I790" s="291"/>
    </row>
    <row r="791" spans="2:9" ht="15.75">
      <c r="B791" s="288"/>
      <c r="C791" s="289"/>
      <c r="F791" s="290"/>
      <c r="I791" s="291"/>
    </row>
    <row r="792" spans="2:9" ht="15.75">
      <c r="B792" s="288"/>
      <c r="C792" s="289"/>
      <c r="F792" s="290"/>
      <c r="I792" s="291"/>
    </row>
    <row r="793" spans="2:9" ht="15.75">
      <c r="B793" s="288"/>
      <c r="C793" s="289"/>
      <c r="F793" s="290"/>
      <c r="I793" s="291"/>
    </row>
    <row r="794" spans="2:9" ht="15.75">
      <c r="B794" s="288"/>
      <c r="C794" s="289"/>
      <c r="F794" s="290"/>
      <c r="I794" s="291"/>
    </row>
    <row r="795" spans="2:9" ht="15.75">
      <c r="B795" s="288"/>
      <c r="C795" s="289"/>
      <c r="F795" s="290"/>
      <c r="I795" s="291"/>
    </row>
    <row r="796" spans="2:9" ht="15.75">
      <c r="B796" s="288"/>
      <c r="C796" s="289"/>
      <c r="F796" s="290"/>
      <c r="I796" s="291"/>
    </row>
    <row r="797" spans="2:9" ht="15.75">
      <c r="B797" s="288"/>
      <c r="C797" s="289"/>
      <c r="F797" s="290"/>
      <c r="I797" s="291"/>
    </row>
    <row r="798" spans="2:9" ht="15.75">
      <c r="B798" s="288"/>
      <c r="C798" s="289"/>
      <c r="F798" s="290"/>
      <c r="I798" s="291"/>
    </row>
    <row r="799" spans="2:9" ht="15.75">
      <c r="B799" s="288"/>
      <c r="C799" s="289"/>
      <c r="F799" s="290"/>
      <c r="I799" s="291"/>
    </row>
    <row r="800" spans="2:9" ht="15.75">
      <c r="B800" s="288"/>
      <c r="C800" s="289"/>
      <c r="F800" s="290"/>
      <c r="I800" s="291"/>
    </row>
    <row r="801" spans="2:9" ht="15.75">
      <c r="B801" s="288"/>
      <c r="C801" s="289"/>
      <c r="F801" s="290"/>
      <c r="I801" s="291"/>
    </row>
    <row r="802" spans="2:9" ht="15.75">
      <c r="B802" s="288"/>
      <c r="C802" s="289"/>
      <c r="F802" s="290"/>
      <c r="I802" s="291"/>
    </row>
    <row r="803" spans="2:9" ht="15.75">
      <c r="B803" s="288"/>
      <c r="C803" s="289"/>
      <c r="F803" s="290"/>
      <c r="I803" s="291"/>
    </row>
    <row r="804" spans="2:9" ht="15.75">
      <c r="B804" s="288"/>
      <c r="C804" s="289"/>
      <c r="F804" s="290"/>
      <c r="I804" s="291"/>
    </row>
    <row r="805" spans="2:9" ht="15.75">
      <c r="B805" s="288"/>
      <c r="C805" s="289"/>
      <c r="F805" s="290"/>
      <c r="I805" s="291"/>
    </row>
    <row r="806" spans="2:9" ht="15.75">
      <c r="B806" s="288"/>
      <c r="C806" s="289"/>
      <c r="F806" s="290"/>
      <c r="I806" s="291"/>
    </row>
    <row r="807" spans="2:9" ht="15.75">
      <c r="B807" s="288"/>
      <c r="C807" s="289"/>
      <c r="F807" s="290"/>
      <c r="I807" s="291"/>
    </row>
    <row r="808" spans="2:9" ht="15.75">
      <c r="B808" s="288"/>
      <c r="C808" s="289"/>
      <c r="F808" s="290"/>
      <c r="I808" s="291"/>
    </row>
    <row r="809" spans="2:9" ht="15.75">
      <c r="B809" s="288"/>
      <c r="C809" s="289"/>
      <c r="F809" s="290"/>
      <c r="I809" s="291"/>
    </row>
    <row r="810" spans="2:9" ht="15.75">
      <c r="B810" s="288"/>
      <c r="C810" s="289"/>
      <c r="F810" s="290"/>
      <c r="I810" s="291"/>
    </row>
    <row r="811" spans="2:9" ht="15.75">
      <c r="B811" s="288"/>
      <c r="C811" s="289"/>
      <c r="F811" s="290"/>
      <c r="I811" s="291"/>
    </row>
    <row r="812" spans="2:9" ht="15.75">
      <c r="B812" s="288"/>
      <c r="C812" s="289"/>
      <c r="F812" s="290"/>
      <c r="I812" s="291"/>
    </row>
    <row r="813" spans="2:9" ht="15.75">
      <c r="B813" s="288"/>
      <c r="C813" s="289"/>
      <c r="F813" s="290"/>
      <c r="I813" s="291"/>
    </row>
    <row r="814" spans="2:9" ht="15.75">
      <c r="B814" s="288"/>
      <c r="C814" s="289"/>
      <c r="F814" s="290"/>
      <c r="I814" s="291"/>
    </row>
    <row r="815" spans="2:9" ht="15.75">
      <c r="B815" s="288"/>
      <c r="C815" s="289"/>
      <c r="F815" s="290"/>
      <c r="I815" s="291"/>
    </row>
    <row r="816" spans="2:9" ht="15.75">
      <c r="B816" s="288"/>
      <c r="C816" s="289"/>
      <c r="F816" s="290"/>
      <c r="I816" s="291"/>
    </row>
    <row r="817" spans="2:9" ht="15.75">
      <c r="B817" s="288"/>
      <c r="C817" s="289"/>
      <c r="F817" s="290"/>
      <c r="I817" s="291"/>
    </row>
    <row r="818" spans="2:9" ht="15.75">
      <c r="B818" s="288"/>
      <c r="C818" s="289"/>
      <c r="F818" s="290"/>
      <c r="I818" s="291"/>
    </row>
    <row r="819" spans="2:9" ht="15.75">
      <c r="B819" s="288"/>
      <c r="C819" s="289"/>
      <c r="F819" s="290"/>
      <c r="I819" s="291"/>
    </row>
    <row r="820" spans="2:9" ht="15.75">
      <c r="B820" s="288"/>
      <c r="C820" s="289"/>
      <c r="F820" s="290"/>
      <c r="I820" s="291"/>
    </row>
    <row r="821" spans="2:9" ht="15.75">
      <c r="B821" s="288"/>
      <c r="C821" s="289"/>
      <c r="F821" s="290"/>
      <c r="I821" s="291"/>
    </row>
    <row r="822" spans="2:9" ht="15.75">
      <c r="B822" s="288"/>
      <c r="C822" s="289"/>
      <c r="F822" s="290"/>
      <c r="I822" s="291"/>
    </row>
    <row r="823" spans="2:9" ht="15.75">
      <c r="B823" s="288"/>
      <c r="C823" s="289"/>
      <c r="F823" s="290"/>
      <c r="I823" s="291"/>
    </row>
    <row r="824" spans="2:9" ht="15.75">
      <c r="B824" s="288"/>
      <c r="C824" s="289"/>
      <c r="F824" s="290"/>
      <c r="I824" s="291"/>
    </row>
    <row r="825" spans="2:9" ht="15.75">
      <c r="B825" s="288"/>
      <c r="C825" s="289"/>
      <c r="F825" s="290"/>
      <c r="I825" s="291"/>
    </row>
    <row r="826" spans="2:9" ht="15.75">
      <c r="B826" s="288"/>
      <c r="C826" s="289"/>
      <c r="F826" s="290"/>
      <c r="I826" s="291"/>
    </row>
    <row r="827" spans="2:9" ht="15.75">
      <c r="B827" s="288"/>
      <c r="C827" s="289"/>
      <c r="F827" s="290"/>
      <c r="I827" s="291"/>
    </row>
    <row r="828" spans="2:9" ht="15.75">
      <c r="B828" s="288"/>
      <c r="C828" s="289"/>
      <c r="F828" s="290"/>
      <c r="I828" s="291"/>
    </row>
    <row r="829" spans="2:9" ht="15.75">
      <c r="B829" s="288"/>
      <c r="C829" s="289"/>
      <c r="F829" s="290"/>
      <c r="I829" s="291"/>
    </row>
    <row r="830" spans="2:9" ht="15.75">
      <c r="B830" s="288"/>
      <c r="C830" s="289"/>
      <c r="F830" s="290"/>
      <c r="I830" s="291"/>
    </row>
    <row r="831" spans="2:9" ht="15.75">
      <c r="B831" s="288"/>
      <c r="C831" s="289"/>
      <c r="F831" s="290"/>
      <c r="I831" s="291"/>
    </row>
    <row r="832" spans="2:9" ht="15.75">
      <c r="B832" s="288"/>
      <c r="C832" s="289"/>
      <c r="F832" s="290"/>
      <c r="I832" s="291"/>
    </row>
    <row r="833" spans="2:9" ht="15.75">
      <c r="B833" s="288"/>
      <c r="C833" s="289"/>
      <c r="F833" s="290"/>
      <c r="I833" s="291"/>
    </row>
    <row r="834" spans="2:9" ht="15.75">
      <c r="B834" s="288"/>
      <c r="C834" s="289"/>
      <c r="F834" s="290"/>
      <c r="I834" s="291"/>
    </row>
    <row r="835" spans="2:9" ht="15.75">
      <c r="B835" s="288"/>
      <c r="C835" s="289"/>
      <c r="F835" s="290"/>
      <c r="I835" s="291"/>
    </row>
    <row r="836" spans="2:9" ht="15.75">
      <c r="B836" s="288"/>
      <c r="C836" s="289"/>
      <c r="F836" s="290"/>
      <c r="I836" s="291"/>
    </row>
    <row r="837" spans="2:9" ht="15.75">
      <c r="B837" s="288"/>
      <c r="C837" s="289"/>
      <c r="F837" s="290"/>
      <c r="I837" s="291"/>
    </row>
    <row r="838" spans="2:9" ht="15.75">
      <c r="B838" s="288"/>
      <c r="C838" s="289"/>
      <c r="F838" s="290"/>
      <c r="I838" s="291"/>
    </row>
    <row r="839" spans="2:9" ht="15.75">
      <c r="B839" s="288"/>
      <c r="C839" s="289"/>
      <c r="F839" s="290"/>
      <c r="I839" s="291"/>
    </row>
    <row r="840" spans="2:9" ht="15.75">
      <c r="B840" s="288"/>
      <c r="C840" s="289"/>
      <c r="F840" s="290"/>
      <c r="I840" s="291"/>
    </row>
    <row r="841" spans="2:9" ht="15.75">
      <c r="B841" s="288"/>
      <c r="C841" s="289"/>
      <c r="F841" s="290"/>
      <c r="I841" s="291"/>
    </row>
    <row r="842" spans="2:9" ht="15.75">
      <c r="B842" s="288"/>
      <c r="C842" s="289"/>
      <c r="F842" s="290"/>
      <c r="I842" s="291"/>
    </row>
    <row r="843" spans="2:9" ht="15.75">
      <c r="B843" s="288"/>
      <c r="C843" s="289"/>
      <c r="F843" s="290"/>
      <c r="I843" s="291"/>
    </row>
    <row r="844" spans="2:9" ht="15.75">
      <c r="B844" s="288"/>
      <c r="C844" s="289"/>
      <c r="F844" s="290"/>
      <c r="I844" s="291"/>
    </row>
    <row r="845" spans="2:9" ht="15.75">
      <c r="B845" s="288"/>
      <c r="C845" s="289"/>
      <c r="F845" s="290"/>
      <c r="I845" s="291"/>
    </row>
    <row r="846" spans="2:9" ht="15.75">
      <c r="B846" s="288"/>
      <c r="C846" s="289"/>
      <c r="F846" s="290"/>
      <c r="I846" s="291"/>
    </row>
    <row r="847" spans="2:9" ht="15.75">
      <c r="B847" s="288"/>
      <c r="C847" s="289"/>
      <c r="F847" s="290"/>
      <c r="I847" s="291"/>
    </row>
    <row r="848" spans="2:9" ht="15.75">
      <c r="B848" s="288"/>
      <c r="C848" s="289"/>
      <c r="F848" s="290"/>
      <c r="I848" s="291"/>
    </row>
    <row r="849" spans="2:9" ht="15.75">
      <c r="B849" s="288"/>
      <c r="C849" s="289"/>
      <c r="F849" s="290"/>
      <c r="I849" s="291"/>
    </row>
    <row r="850" spans="2:9" ht="15.75">
      <c r="B850" s="288"/>
      <c r="C850" s="289"/>
      <c r="F850" s="290"/>
      <c r="I850" s="291"/>
    </row>
    <row r="851" spans="2:9" ht="15.75">
      <c r="B851" s="288"/>
      <c r="C851" s="289"/>
      <c r="F851" s="290"/>
      <c r="I851" s="291"/>
    </row>
    <row r="852" spans="2:9" ht="15.75">
      <c r="B852" s="288"/>
      <c r="C852" s="289"/>
      <c r="F852" s="290"/>
      <c r="I852" s="291"/>
    </row>
    <row r="853" spans="2:9" ht="15.75">
      <c r="B853" s="288"/>
      <c r="C853" s="289"/>
      <c r="F853" s="290"/>
      <c r="I853" s="291"/>
    </row>
    <row r="854" spans="2:9" ht="15.75">
      <c r="B854" s="288"/>
      <c r="C854" s="289"/>
      <c r="F854" s="290"/>
      <c r="I854" s="291"/>
    </row>
    <row r="855" spans="2:9" ht="15.75">
      <c r="B855" s="288"/>
      <c r="C855" s="289"/>
      <c r="F855" s="290"/>
      <c r="I855" s="291"/>
    </row>
    <row r="856" spans="2:9" ht="15.75">
      <c r="B856" s="288"/>
      <c r="C856" s="289"/>
      <c r="F856" s="290"/>
      <c r="I856" s="291"/>
    </row>
    <row r="857" spans="2:9" ht="15.75">
      <c r="B857" s="288"/>
      <c r="C857" s="289"/>
      <c r="F857" s="290"/>
      <c r="I857" s="291"/>
    </row>
    <row r="858" spans="2:9" ht="15.75">
      <c r="B858" s="288"/>
      <c r="C858" s="289"/>
      <c r="F858" s="290"/>
      <c r="I858" s="291"/>
    </row>
    <row r="859" spans="2:9" ht="15.75">
      <c r="B859" s="288"/>
      <c r="C859" s="289"/>
      <c r="F859" s="290"/>
      <c r="I859" s="291"/>
    </row>
    <row r="860" spans="2:9" ht="15.75">
      <c r="B860" s="288"/>
      <c r="C860" s="289"/>
      <c r="F860" s="290"/>
      <c r="I860" s="291"/>
    </row>
    <row r="861" spans="2:9" ht="15.75">
      <c r="B861" s="288"/>
      <c r="C861" s="289"/>
      <c r="F861" s="290"/>
      <c r="I861" s="291"/>
    </row>
    <row r="862" spans="2:9" ht="15.75">
      <c r="B862" s="288"/>
      <c r="C862" s="289"/>
      <c r="F862" s="290"/>
      <c r="I862" s="291"/>
    </row>
    <row r="863" spans="2:9" ht="15.75">
      <c r="B863" s="288"/>
      <c r="C863" s="289"/>
      <c r="F863" s="290"/>
      <c r="I863" s="291"/>
    </row>
    <row r="864" spans="2:9" ht="15.75">
      <c r="B864" s="288"/>
      <c r="C864" s="289"/>
      <c r="F864" s="290"/>
      <c r="I864" s="291"/>
    </row>
    <row r="865" spans="2:9" ht="15.75">
      <c r="B865" s="288"/>
      <c r="C865" s="289"/>
      <c r="F865" s="290"/>
      <c r="I865" s="291"/>
    </row>
    <row r="866" spans="2:9" ht="15.75">
      <c r="B866" s="288"/>
      <c r="C866" s="289"/>
      <c r="F866" s="290"/>
      <c r="I866" s="291"/>
    </row>
    <row r="867" spans="2:9" ht="15.75">
      <c r="B867" s="288"/>
      <c r="C867" s="289"/>
      <c r="F867" s="290"/>
      <c r="I867" s="291"/>
    </row>
    <row r="868" spans="2:9" ht="15.75">
      <c r="B868" s="288"/>
      <c r="C868" s="289"/>
      <c r="F868" s="290"/>
      <c r="I868" s="291"/>
    </row>
    <row r="869" spans="2:9" ht="15.75">
      <c r="B869" s="288"/>
      <c r="C869" s="289"/>
      <c r="F869" s="290"/>
      <c r="I869" s="291"/>
    </row>
    <row r="870" spans="2:9" ht="15.75">
      <c r="B870" s="288"/>
      <c r="C870" s="289"/>
      <c r="F870" s="290"/>
      <c r="I870" s="291"/>
    </row>
    <row r="871" spans="2:9" ht="15.75">
      <c r="B871" s="288"/>
      <c r="C871" s="289"/>
      <c r="F871" s="290"/>
      <c r="I871" s="291"/>
    </row>
    <row r="872" spans="2:9" ht="15.75">
      <c r="B872" s="288"/>
      <c r="C872" s="289"/>
      <c r="F872" s="290"/>
      <c r="I872" s="291"/>
    </row>
    <row r="873" spans="2:9" ht="15.75">
      <c r="B873" s="288"/>
      <c r="C873" s="289"/>
      <c r="F873" s="290"/>
      <c r="I873" s="291"/>
    </row>
    <row r="874" spans="2:9" ht="15.75">
      <c r="B874" s="288"/>
      <c r="C874" s="289"/>
      <c r="F874" s="290"/>
      <c r="I874" s="291"/>
    </row>
    <row r="875" spans="2:9" ht="15.75">
      <c r="B875" s="288"/>
      <c r="C875" s="289"/>
      <c r="F875" s="290"/>
      <c r="I875" s="291"/>
    </row>
    <row r="876" spans="2:9" ht="15.75">
      <c r="B876" s="288"/>
      <c r="C876" s="289"/>
      <c r="F876" s="290"/>
      <c r="I876" s="291"/>
    </row>
    <row r="877" spans="2:9" ht="15.75">
      <c r="B877" s="288"/>
      <c r="C877" s="289"/>
      <c r="F877" s="290"/>
      <c r="I877" s="291"/>
    </row>
    <row r="878" spans="2:9" ht="15.75">
      <c r="B878" s="288"/>
      <c r="C878" s="289"/>
      <c r="F878" s="290"/>
      <c r="I878" s="291"/>
    </row>
    <row r="879" spans="2:9" ht="15.75">
      <c r="B879" s="288"/>
      <c r="C879" s="289"/>
      <c r="F879" s="290"/>
      <c r="I879" s="291"/>
    </row>
    <row r="880" spans="2:9" ht="15.75">
      <c r="B880" s="288"/>
      <c r="C880" s="289"/>
      <c r="F880" s="290"/>
      <c r="I880" s="291"/>
    </row>
    <row r="881" spans="2:9" ht="15.75">
      <c r="B881" s="288"/>
      <c r="C881" s="289"/>
      <c r="F881" s="290"/>
      <c r="I881" s="291"/>
    </row>
    <row r="882" spans="2:9" ht="15.75">
      <c r="B882" s="288"/>
      <c r="C882" s="289"/>
      <c r="F882" s="290"/>
      <c r="I882" s="291"/>
    </row>
    <row r="883" spans="2:9" ht="15.75">
      <c r="B883" s="288"/>
      <c r="C883" s="289"/>
      <c r="F883" s="290"/>
      <c r="I883" s="291"/>
    </row>
    <row r="884" spans="2:9" ht="15.75">
      <c r="B884" s="288"/>
      <c r="C884" s="289"/>
      <c r="F884" s="290"/>
      <c r="I884" s="291"/>
    </row>
    <row r="885" spans="2:9" ht="15.75">
      <c r="B885" s="288"/>
      <c r="C885" s="289"/>
      <c r="F885" s="290"/>
      <c r="I885" s="291"/>
    </row>
    <row r="886" spans="2:9" ht="15.75">
      <c r="B886" s="288"/>
      <c r="C886" s="289"/>
      <c r="F886" s="290"/>
      <c r="I886" s="291"/>
    </row>
    <row r="887" spans="2:9" ht="15.75">
      <c r="B887" s="288"/>
      <c r="C887" s="289"/>
      <c r="F887" s="290"/>
      <c r="I887" s="291"/>
    </row>
    <row r="888" spans="2:9" ht="15.75">
      <c r="B888" s="288"/>
      <c r="C888" s="289"/>
      <c r="F888" s="290"/>
      <c r="I888" s="291"/>
    </row>
    <row r="889" spans="2:9" ht="15.75">
      <c r="B889" s="288"/>
      <c r="C889" s="289"/>
      <c r="F889" s="290"/>
      <c r="I889" s="291"/>
    </row>
    <row r="890" spans="2:9" ht="15.75">
      <c r="B890" s="288"/>
      <c r="C890" s="289"/>
      <c r="F890" s="290"/>
      <c r="I890" s="291"/>
    </row>
    <row r="891" spans="2:9" ht="15.75">
      <c r="B891" s="288"/>
      <c r="C891" s="289"/>
      <c r="F891" s="290"/>
      <c r="I891" s="291"/>
    </row>
    <row r="892" spans="2:9" ht="15.75">
      <c r="B892" s="288"/>
      <c r="C892" s="289"/>
      <c r="F892" s="290"/>
      <c r="I892" s="291"/>
    </row>
    <row r="893" spans="2:9" ht="15.75">
      <c r="B893" s="288"/>
      <c r="C893" s="289"/>
      <c r="F893" s="290"/>
      <c r="I893" s="291"/>
    </row>
    <row r="894" spans="2:9" ht="15.75">
      <c r="B894" s="288"/>
      <c r="C894" s="289"/>
      <c r="F894" s="290"/>
      <c r="I894" s="291"/>
    </row>
    <row r="895" spans="2:9" ht="15.75">
      <c r="B895" s="288"/>
      <c r="C895" s="289"/>
      <c r="F895" s="290"/>
      <c r="I895" s="291"/>
    </row>
    <row r="896" spans="2:9" ht="15.75">
      <c r="B896" s="288"/>
      <c r="C896" s="289"/>
      <c r="F896" s="290"/>
      <c r="I896" s="291"/>
    </row>
    <row r="897" spans="2:9" ht="15.75">
      <c r="B897" s="288"/>
      <c r="C897" s="289"/>
      <c r="F897" s="290"/>
      <c r="I897" s="291"/>
    </row>
    <row r="898" spans="2:9" ht="15.75">
      <c r="B898" s="288"/>
      <c r="C898" s="289"/>
      <c r="F898" s="290"/>
      <c r="I898" s="291"/>
    </row>
    <row r="899" spans="2:9" ht="15.75">
      <c r="B899" s="288"/>
      <c r="C899" s="289"/>
      <c r="F899" s="290"/>
      <c r="I899" s="291"/>
    </row>
    <row r="900" spans="2:9" ht="15.75">
      <c r="B900" s="288"/>
      <c r="C900" s="289"/>
      <c r="F900" s="290"/>
      <c r="I900" s="291"/>
    </row>
    <row r="901" spans="2:9" ht="15.75">
      <c r="B901" s="288"/>
      <c r="C901" s="289"/>
      <c r="F901" s="290"/>
      <c r="I901" s="291"/>
    </row>
    <row r="902" spans="2:9" ht="15.75">
      <c r="B902" s="288"/>
      <c r="C902" s="289"/>
      <c r="F902" s="290"/>
      <c r="I902" s="291"/>
    </row>
    <row r="903" spans="2:9" ht="15.75">
      <c r="B903" s="288"/>
      <c r="C903" s="289"/>
      <c r="F903" s="290"/>
      <c r="I903" s="291"/>
    </row>
    <row r="904" spans="2:9" ht="15.75">
      <c r="B904" s="288"/>
      <c r="C904" s="289"/>
      <c r="F904" s="290"/>
      <c r="I904" s="291"/>
    </row>
    <row r="905" spans="2:9" ht="15.75">
      <c r="B905" s="288"/>
      <c r="C905" s="289"/>
      <c r="F905" s="290"/>
      <c r="I905" s="291"/>
    </row>
    <row r="906" spans="2:9" ht="15.75">
      <c r="B906" s="288"/>
      <c r="C906" s="289"/>
      <c r="F906" s="290"/>
      <c r="I906" s="291"/>
    </row>
    <row r="907" spans="2:9" ht="15.75">
      <c r="B907" s="288"/>
      <c r="C907" s="289"/>
      <c r="F907" s="290"/>
      <c r="I907" s="291"/>
    </row>
    <row r="908" spans="2:9" ht="15.75">
      <c r="B908" s="288"/>
      <c r="C908" s="289"/>
      <c r="F908" s="290"/>
      <c r="I908" s="291"/>
    </row>
    <row r="909" spans="2:9" ht="15.75">
      <c r="B909" s="288"/>
      <c r="C909" s="289"/>
      <c r="F909" s="290"/>
      <c r="I909" s="291"/>
    </row>
    <row r="910" spans="2:9" ht="15.75">
      <c r="B910" s="288"/>
      <c r="C910" s="289"/>
      <c r="F910" s="290"/>
      <c r="I910" s="291"/>
    </row>
    <row r="911" spans="2:9" ht="15.75">
      <c r="B911" s="288"/>
      <c r="C911" s="289"/>
      <c r="F911" s="290"/>
      <c r="I911" s="291"/>
    </row>
    <row r="912" spans="2:9" ht="15.75">
      <c r="B912" s="288"/>
      <c r="C912" s="289"/>
      <c r="F912" s="290"/>
      <c r="I912" s="291"/>
    </row>
    <row r="913" spans="2:9" ht="15.75">
      <c r="B913" s="288"/>
      <c r="C913" s="289"/>
      <c r="F913" s="290"/>
      <c r="I913" s="291"/>
    </row>
    <row r="914" spans="2:9" ht="15.75">
      <c r="B914" s="288"/>
      <c r="C914" s="289"/>
      <c r="F914" s="290"/>
      <c r="I914" s="291"/>
    </row>
    <row r="915" spans="2:9" ht="15.75">
      <c r="B915" s="288"/>
      <c r="C915" s="289"/>
      <c r="F915" s="290"/>
      <c r="I915" s="291"/>
    </row>
    <row r="916" spans="2:9" ht="15.75">
      <c r="B916" s="288"/>
      <c r="C916" s="289"/>
      <c r="F916" s="290"/>
      <c r="I916" s="291"/>
    </row>
    <row r="917" spans="2:9" ht="15.75">
      <c r="B917" s="288"/>
      <c r="C917" s="289"/>
      <c r="F917" s="290"/>
      <c r="I917" s="291"/>
    </row>
    <row r="918" spans="2:9" ht="15.75">
      <c r="B918" s="288"/>
      <c r="C918" s="289"/>
      <c r="F918" s="290"/>
      <c r="I918" s="291"/>
    </row>
    <row r="919" spans="2:9" ht="15.75">
      <c r="B919" s="288"/>
      <c r="C919" s="289"/>
      <c r="F919" s="290"/>
      <c r="I919" s="291"/>
    </row>
    <row r="920" spans="2:9" ht="15.75">
      <c r="B920" s="288"/>
      <c r="C920" s="289"/>
      <c r="F920" s="290"/>
      <c r="I920" s="291"/>
    </row>
    <row r="921" spans="2:9" ht="15.75">
      <c r="B921" s="288"/>
      <c r="C921" s="289"/>
      <c r="F921" s="290"/>
      <c r="I921" s="291"/>
    </row>
    <row r="922" spans="2:9" ht="15.75">
      <c r="B922" s="288"/>
      <c r="C922" s="289"/>
      <c r="F922" s="290"/>
      <c r="I922" s="291"/>
    </row>
    <row r="923" spans="2:9" ht="15.75">
      <c r="B923" s="288"/>
      <c r="C923" s="289"/>
      <c r="F923" s="290"/>
      <c r="I923" s="291"/>
    </row>
    <row r="924" spans="2:9" ht="15.75">
      <c r="B924" s="288"/>
      <c r="C924" s="289"/>
      <c r="F924" s="290"/>
      <c r="I924" s="291"/>
    </row>
    <row r="925" spans="2:9" ht="15.75">
      <c r="B925" s="288"/>
      <c r="C925" s="289"/>
      <c r="F925" s="290"/>
      <c r="I925" s="291"/>
    </row>
    <row r="926" spans="2:9" ht="15.75">
      <c r="B926" s="288"/>
      <c r="C926" s="289"/>
      <c r="F926" s="290"/>
      <c r="I926" s="291"/>
    </row>
    <row r="927" spans="2:9" ht="15.75">
      <c r="B927" s="288"/>
      <c r="C927" s="289"/>
      <c r="F927" s="290"/>
      <c r="I927" s="291"/>
    </row>
    <row r="928" spans="2:9" ht="15.75">
      <c r="B928" s="288"/>
      <c r="C928" s="289"/>
      <c r="F928" s="290"/>
      <c r="I928" s="291"/>
    </row>
    <row r="929" spans="2:9" ht="15.75">
      <c r="B929" s="288"/>
      <c r="C929" s="289"/>
      <c r="F929" s="290"/>
      <c r="I929" s="291"/>
    </row>
    <row r="930" spans="2:9" ht="15.75">
      <c r="B930" s="288"/>
      <c r="C930" s="289"/>
      <c r="F930" s="290"/>
      <c r="I930" s="291"/>
    </row>
    <row r="931" spans="2:9" ht="15.75">
      <c r="B931" s="288"/>
      <c r="C931" s="289"/>
      <c r="F931" s="290"/>
      <c r="I931" s="291"/>
    </row>
    <row r="932" spans="2:9" ht="15.75">
      <c r="B932" s="288"/>
      <c r="C932" s="289"/>
      <c r="F932" s="290"/>
      <c r="I932" s="291"/>
    </row>
    <row r="933" spans="2:9" ht="15.75">
      <c r="B933" s="288"/>
      <c r="C933" s="289"/>
      <c r="F933" s="290"/>
      <c r="I933" s="291"/>
    </row>
    <row r="934" spans="2:9" ht="15.75">
      <c r="B934" s="288"/>
      <c r="C934" s="289"/>
      <c r="F934" s="290"/>
      <c r="I934" s="291"/>
    </row>
    <row r="935" spans="2:9" ht="15.75">
      <c r="B935" s="288"/>
      <c r="C935" s="289"/>
      <c r="F935" s="290"/>
      <c r="I935" s="291"/>
    </row>
    <row r="936" spans="2:9" ht="15.75">
      <c r="B936" s="288"/>
      <c r="C936" s="289"/>
      <c r="F936" s="290"/>
      <c r="I936" s="291"/>
    </row>
    <row r="937" spans="2:9" ht="15.75">
      <c r="B937" s="288"/>
      <c r="C937" s="289"/>
      <c r="F937" s="290"/>
      <c r="I937" s="291"/>
    </row>
    <row r="938" spans="2:9" ht="15.75">
      <c r="B938" s="288"/>
      <c r="C938" s="289"/>
      <c r="F938" s="290"/>
      <c r="I938" s="291"/>
    </row>
    <row r="939" spans="2:9" ht="15.75">
      <c r="B939" s="288"/>
      <c r="C939" s="289"/>
      <c r="F939" s="290"/>
      <c r="I939" s="291"/>
    </row>
    <row r="940" spans="2:9" ht="15.75">
      <c r="B940" s="288"/>
      <c r="C940" s="289"/>
      <c r="F940" s="290"/>
      <c r="I940" s="291"/>
    </row>
    <row r="941" spans="2:9" ht="15.75">
      <c r="B941" s="288"/>
      <c r="C941" s="289"/>
      <c r="F941" s="290"/>
      <c r="I941" s="291"/>
    </row>
    <row r="942" spans="2:9" ht="15.75">
      <c r="B942" s="288"/>
      <c r="C942" s="289"/>
      <c r="F942" s="290"/>
      <c r="I942" s="291"/>
    </row>
    <row r="943" spans="2:9" ht="15.75">
      <c r="B943" s="288"/>
      <c r="C943" s="289"/>
      <c r="F943" s="290"/>
      <c r="I943" s="291"/>
    </row>
    <row r="944" spans="2:9" ht="15.75">
      <c r="B944" s="288"/>
      <c r="C944" s="289"/>
      <c r="F944" s="290"/>
      <c r="I944" s="291"/>
    </row>
    <row r="945" spans="2:9" ht="15.75">
      <c r="B945" s="288"/>
      <c r="C945" s="289"/>
      <c r="F945" s="290"/>
      <c r="I945" s="291"/>
    </row>
    <row r="946" spans="2:9" ht="15.75">
      <c r="B946" s="288"/>
      <c r="C946" s="289"/>
      <c r="F946" s="290"/>
      <c r="I946" s="291"/>
    </row>
    <row r="947" spans="2:9" ht="15.75">
      <c r="B947" s="288"/>
      <c r="C947" s="289"/>
      <c r="F947" s="290"/>
      <c r="I947" s="291"/>
    </row>
    <row r="948" spans="2:9" ht="15.75">
      <c r="B948" s="288"/>
      <c r="C948" s="289"/>
      <c r="F948" s="290"/>
      <c r="I948" s="291"/>
    </row>
    <row r="949" spans="2:9" ht="15.75">
      <c r="B949" s="288"/>
      <c r="C949" s="289"/>
      <c r="F949" s="290"/>
      <c r="I949" s="291"/>
    </row>
    <row r="950" spans="2:9" ht="15.75">
      <c r="B950" s="288"/>
      <c r="C950" s="289"/>
      <c r="F950" s="290"/>
      <c r="I950" s="291"/>
    </row>
    <row r="951" spans="2:9" ht="15.75">
      <c r="B951" s="288"/>
      <c r="C951" s="289"/>
      <c r="F951" s="290"/>
      <c r="I951" s="291"/>
    </row>
    <row r="952" spans="2:9" ht="15.75">
      <c r="B952" s="288"/>
      <c r="C952" s="289"/>
      <c r="F952" s="290"/>
      <c r="I952" s="291"/>
    </row>
    <row r="953" spans="2:9" ht="15.75">
      <c r="B953" s="288"/>
      <c r="C953" s="289"/>
      <c r="F953" s="290"/>
      <c r="I953" s="291"/>
    </row>
    <row r="954" spans="2:9" ht="15.75">
      <c r="B954" s="288"/>
      <c r="C954" s="289"/>
      <c r="F954" s="290"/>
      <c r="I954" s="291"/>
    </row>
    <row r="955" spans="2:9" ht="15.75">
      <c r="B955" s="288"/>
      <c r="C955" s="289"/>
      <c r="F955" s="290"/>
      <c r="I955" s="291"/>
    </row>
    <row r="956" spans="2:9" ht="15.75">
      <c r="B956" s="288"/>
      <c r="C956" s="289"/>
      <c r="F956" s="290"/>
      <c r="I956" s="291"/>
    </row>
    <row r="957" spans="2:9" ht="15.75">
      <c r="B957" s="288"/>
      <c r="C957" s="289"/>
      <c r="F957" s="290"/>
      <c r="I957" s="291"/>
    </row>
    <row r="958" spans="2:9" ht="15.75">
      <c r="B958" s="288"/>
      <c r="C958" s="289"/>
      <c r="F958" s="290"/>
      <c r="I958" s="291"/>
    </row>
    <row r="959" spans="2:9" ht="15.75">
      <c r="B959" s="288"/>
      <c r="C959" s="289"/>
      <c r="F959" s="290"/>
      <c r="I959" s="291"/>
    </row>
    <row r="960" spans="2:9" ht="15.75">
      <c r="B960" s="288"/>
      <c r="C960" s="289"/>
      <c r="F960" s="290"/>
      <c r="I960" s="291"/>
    </row>
    <row r="961" spans="2:9" ht="15.75">
      <c r="B961" s="288"/>
      <c r="C961" s="289"/>
      <c r="F961" s="290"/>
      <c r="I961" s="291"/>
    </row>
    <row r="962" spans="2:9" ht="15.75">
      <c r="B962" s="288"/>
      <c r="C962" s="289"/>
      <c r="F962" s="290"/>
      <c r="I962" s="291"/>
    </row>
    <row r="963" spans="2:9" ht="15.75">
      <c r="B963" s="288"/>
      <c r="C963" s="289"/>
      <c r="F963" s="290"/>
      <c r="I963" s="291"/>
    </row>
    <row r="964" spans="2:9" ht="15.75">
      <c r="B964" s="288"/>
      <c r="C964" s="289"/>
      <c r="F964" s="290"/>
      <c r="I964" s="291"/>
    </row>
    <row r="965" spans="2:9" ht="15.75">
      <c r="B965" s="288"/>
      <c r="C965" s="289"/>
      <c r="F965" s="290"/>
      <c r="I965" s="291"/>
    </row>
    <row r="966" spans="2:9" ht="15.75">
      <c r="B966" s="288"/>
      <c r="C966" s="289"/>
      <c r="F966" s="290"/>
      <c r="I966" s="291"/>
    </row>
    <row r="967" spans="2:9" ht="15.75">
      <c r="B967" s="288"/>
      <c r="C967" s="289"/>
      <c r="F967" s="290"/>
      <c r="I967" s="291"/>
    </row>
    <row r="968" spans="2:9" ht="15.75">
      <c r="B968" s="288"/>
      <c r="C968" s="289"/>
      <c r="F968" s="290"/>
      <c r="I968" s="291"/>
    </row>
    <row r="969" spans="2:9" ht="15.75">
      <c r="B969" s="288"/>
      <c r="C969" s="289"/>
      <c r="F969" s="290"/>
      <c r="I969" s="291"/>
    </row>
    <row r="970" spans="2:9" ht="15.75">
      <c r="B970" s="288"/>
      <c r="C970" s="289"/>
      <c r="F970" s="290"/>
      <c r="I970" s="291"/>
    </row>
    <row r="971" spans="2:9" ht="15.75">
      <c r="B971" s="288"/>
      <c r="C971" s="289"/>
      <c r="F971" s="290"/>
      <c r="I971" s="291"/>
    </row>
    <row r="972" spans="2:9" ht="15.75">
      <c r="B972" s="288"/>
      <c r="C972" s="289"/>
      <c r="F972" s="290"/>
      <c r="I972" s="291"/>
    </row>
    <row r="973" spans="2:9" ht="15.75">
      <c r="B973" s="288"/>
      <c r="C973" s="289"/>
      <c r="F973" s="290"/>
      <c r="I973" s="291"/>
    </row>
    <row r="974" spans="2:9" ht="15.75">
      <c r="B974" s="288"/>
      <c r="C974" s="289"/>
      <c r="F974" s="290"/>
      <c r="I974" s="291"/>
    </row>
    <row r="975" spans="2:9" ht="15.75">
      <c r="B975" s="288"/>
      <c r="C975" s="289"/>
      <c r="F975" s="290"/>
      <c r="I975" s="291"/>
    </row>
    <row r="976" spans="2:9" ht="15.75">
      <c r="B976" s="288"/>
      <c r="C976" s="289"/>
      <c r="F976" s="290"/>
      <c r="I976" s="291"/>
    </row>
    <row r="977" spans="2:9" ht="15.75">
      <c r="B977" s="288"/>
      <c r="C977" s="289"/>
      <c r="F977" s="290"/>
      <c r="I977" s="291"/>
    </row>
    <row r="978" spans="2:9" ht="15.75">
      <c r="B978" s="288"/>
      <c r="C978" s="289"/>
      <c r="F978" s="290"/>
      <c r="I978" s="291"/>
    </row>
    <row r="979" spans="2:9" ht="15.75">
      <c r="B979" s="288"/>
      <c r="C979" s="289"/>
      <c r="F979" s="290"/>
      <c r="I979" s="291"/>
    </row>
    <row r="980" spans="2:9" ht="15.75">
      <c r="B980" s="288"/>
      <c r="C980" s="289"/>
      <c r="F980" s="290"/>
      <c r="I980" s="291"/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690"/>
  <sheetViews>
    <sheetView tabSelected="1" workbookViewId="0">
      <selection activeCell="Q1" sqref="Q1"/>
    </sheetView>
  </sheetViews>
  <sheetFormatPr defaultColWidth="11.25" defaultRowHeight="15" customHeight="1"/>
  <cols>
    <col min="1" max="1" width="9.875" customWidth="1"/>
    <col min="2" max="2" width="9.25" customWidth="1"/>
    <col min="3" max="3" width="12.5" customWidth="1"/>
    <col min="4" max="4" width="6.625" customWidth="1"/>
    <col min="5" max="5" width="6.375" customWidth="1"/>
    <col min="6" max="6" width="12" customWidth="1"/>
    <col min="7" max="7" width="6.25" customWidth="1"/>
    <col min="8" max="8" width="9.125" customWidth="1"/>
    <col min="9" max="9" width="9.875" customWidth="1"/>
    <col min="10" max="10" width="9.75" customWidth="1"/>
    <col min="11" max="11" width="9.375" customWidth="1"/>
    <col min="12" max="12" width="8.875" customWidth="1"/>
    <col min="13" max="13" width="9.125" customWidth="1"/>
    <col min="14" max="14" width="9.5" customWidth="1"/>
    <col min="15" max="15" width="9" customWidth="1"/>
    <col min="16" max="16" width="7.125" customWidth="1"/>
    <col min="17" max="17" width="9.625" customWidth="1"/>
    <col min="18" max="23" width="6.75" customWidth="1"/>
    <col min="24" max="24" width="8.875" customWidth="1"/>
    <col min="25" max="26" width="9.5" customWidth="1"/>
    <col min="27" max="27" width="9.625" customWidth="1"/>
    <col min="28" max="28" width="9.125" customWidth="1"/>
    <col min="29" max="29" width="9" customWidth="1"/>
    <col min="30" max="30" width="9.5" customWidth="1"/>
    <col min="31" max="31" width="8.625" customWidth="1"/>
    <col min="32" max="32" width="58.5" customWidth="1"/>
    <col min="33" max="33" width="31.875" customWidth="1"/>
  </cols>
  <sheetData>
    <row r="1" spans="1:33" ht="51">
      <c r="A1" s="84" t="s">
        <v>0</v>
      </c>
      <c r="B1" s="292" t="s">
        <v>496</v>
      </c>
      <c r="C1" s="292" t="s">
        <v>497</v>
      </c>
      <c r="D1" s="292" t="s">
        <v>498</v>
      </c>
      <c r="E1" s="292" t="s">
        <v>499</v>
      </c>
      <c r="F1" s="292" t="s">
        <v>500</v>
      </c>
      <c r="G1" s="292" t="s">
        <v>501</v>
      </c>
      <c r="H1" s="292" t="s">
        <v>502</v>
      </c>
      <c r="I1" s="292" t="s">
        <v>503</v>
      </c>
      <c r="J1" s="292" t="s">
        <v>504</v>
      </c>
      <c r="K1" s="292" t="s">
        <v>505</v>
      </c>
      <c r="L1" s="292" t="s">
        <v>506</v>
      </c>
      <c r="M1" s="292" t="s">
        <v>507</v>
      </c>
      <c r="N1" s="292" t="s">
        <v>508</v>
      </c>
      <c r="O1" s="292" t="s">
        <v>509</v>
      </c>
      <c r="P1" s="293" t="s">
        <v>510</v>
      </c>
      <c r="Q1" s="293" t="s">
        <v>511</v>
      </c>
      <c r="R1" s="292" t="s">
        <v>512</v>
      </c>
      <c r="S1" s="292" t="s">
        <v>513</v>
      </c>
      <c r="T1" s="292" t="s">
        <v>514</v>
      </c>
      <c r="U1" s="292" t="s">
        <v>515</v>
      </c>
      <c r="V1" s="292" t="s">
        <v>516</v>
      </c>
      <c r="W1" s="292" t="s">
        <v>517</v>
      </c>
      <c r="X1" s="292" t="s">
        <v>518</v>
      </c>
      <c r="Y1" s="292" t="s">
        <v>519</v>
      </c>
      <c r="Z1" s="292" t="s">
        <v>520</v>
      </c>
      <c r="AA1" s="292" t="s">
        <v>521</v>
      </c>
      <c r="AB1" s="292" t="s">
        <v>522</v>
      </c>
      <c r="AC1" s="292" t="s">
        <v>523</v>
      </c>
      <c r="AD1" s="292" t="s">
        <v>524</v>
      </c>
      <c r="AE1" s="292" t="s">
        <v>525</v>
      </c>
      <c r="AF1" s="85"/>
      <c r="AG1" s="294"/>
    </row>
    <row r="2" spans="1:33" ht="15.75">
      <c r="A2" s="295" t="s">
        <v>526</v>
      </c>
      <c r="B2" s="296" t="s">
        <v>527</v>
      </c>
      <c r="C2" s="296" t="s">
        <v>528</v>
      </c>
      <c r="D2" s="296" t="s">
        <v>529</v>
      </c>
      <c r="E2" s="296">
        <v>1</v>
      </c>
      <c r="F2" s="297">
        <v>45407.395833333336</v>
      </c>
      <c r="G2" s="296">
        <v>1</v>
      </c>
      <c r="H2" s="296">
        <v>51.374099999999999</v>
      </c>
      <c r="I2" s="296">
        <v>14.9588</v>
      </c>
      <c r="J2" s="296">
        <v>-19.580625000000001</v>
      </c>
      <c r="K2" s="296">
        <v>-18.755687999999999</v>
      </c>
      <c r="L2" s="296">
        <v>849.98900000000003</v>
      </c>
      <c r="M2" s="296">
        <v>91.999886000000004</v>
      </c>
      <c r="N2" s="296">
        <v>11374.563330000001</v>
      </c>
      <c r="O2" s="296">
        <v>11374.563330000001</v>
      </c>
      <c r="P2" s="298">
        <v>1989.530626</v>
      </c>
      <c r="Q2" s="299">
        <f t="shared" ref="Q2:Q256" si="0">P2</f>
        <v>1989.530626</v>
      </c>
      <c r="R2" s="300" t="s">
        <v>230</v>
      </c>
      <c r="S2" s="300" t="s">
        <v>12</v>
      </c>
      <c r="T2" s="298" t="s">
        <v>530</v>
      </c>
      <c r="U2" s="298">
        <v>15</v>
      </c>
      <c r="V2" s="298">
        <v>5</v>
      </c>
      <c r="W2" s="296">
        <v>0.7</v>
      </c>
      <c r="X2" s="296">
        <v>0.7</v>
      </c>
      <c r="Y2" s="296">
        <v>0.7</v>
      </c>
      <c r="Z2" s="296">
        <v>1700</v>
      </c>
      <c r="AA2" s="296" t="s">
        <v>531</v>
      </c>
      <c r="AB2" s="296">
        <v>0.85</v>
      </c>
      <c r="AC2" s="296" t="s">
        <v>532</v>
      </c>
      <c r="AD2" s="296" t="s">
        <v>533</v>
      </c>
      <c r="AE2" s="296">
        <v>220</v>
      </c>
      <c r="AF2" s="134"/>
      <c r="AG2" s="301"/>
    </row>
    <row r="3" spans="1:33" ht="15.75">
      <c r="A3" s="302" t="s">
        <v>534</v>
      </c>
      <c r="B3" s="303" t="s">
        <v>527</v>
      </c>
      <c r="C3" s="303" t="s">
        <v>528</v>
      </c>
      <c r="D3" s="303" t="s">
        <v>529</v>
      </c>
      <c r="E3" s="303">
        <v>1</v>
      </c>
      <c r="F3" s="304">
        <v>45407.398611111108</v>
      </c>
      <c r="G3" s="303">
        <v>1</v>
      </c>
      <c r="H3" s="303">
        <v>51.3675</v>
      </c>
      <c r="I3" s="303">
        <v>15.343</v>
      </c>
      <c r="J3" s="303">
        <v>-19.984394000000002</v>
      </c>
      <c r="K3" s="303">
        <v>-19.155956</v>
      </c>
      <c r="L3" s="303">
        <v>850.78399999999999</v>
      </c>
      <c r="M3" s="303">
        <v>95.499351000000004</v>
      </c>
      <c r="N3" s="303">
        <v>11264.414199999999</v>
      </c>
      <c r="O3" s="303">
        <v>11264.414199999999</v>
      </c>
      <c r="P3" s="305">
        <v>1970.509892</v>
      </c>
      <c r="Q3" s="299">
        <f t="shared" si="0"/>
        <v>1970.509892</v>
      </c>
      <c r="R3" s="300" t="s">
        <v>230</v>
      </c>
      <c r="S3" s="300" t="s">
        <v>12</v>
      </c>
      <c r="T3" s="305" t="s">
        <v>530</v>
      </c>
      <c r="U3" s="305">
        <v>15</v>
      </c>
      <c r="V3" s="305">
        <v>5</v>
      </c>
      <c r="W3" s="303">
        <v>0.7</v>
      </c>
      <c r="X3" s="303">
        <v>0.7</v>
      </c>
      <c r="Y3" s="303">
        <v>0.7</v>
      </c>
      <c r="Z3" s="303">
        <v>1700</v>
      </c>
      <c r="AA3" s="303" t="s">
        <v>531</v>
      </c>
      <c r="AB3" s="303">
        <v>0.85</v>
      </c>
      <c r="AC3" s="303" t="s">
        <v>532</v>
      </c>
      <c r="AD3" s="303" t="s">
        <v>533</v>
      </c>
      <c r="AE3" s="303">
        <v>220</v>
      </c>
      <c r="AF3" s="134"/>
      <c r="AG3" s="301"/>
    </row>
    <row r="4" spans="1:33" ht="15.75">
      <c r="A4" s="302" t="s">
        <v>535</v>
      </c>
      <c r="B4" s="303" t="s">
        <v>527</v>
      </c>
      <c r="C4" s="303" t="s">
        <v>528</v>
      </c>
      <c r="D4" s="303" t="s">
        <v>529</v>
      </c>
      <c r="E4" s="303">
        <v>1</v>
      </c>
      <c r="F4" s="304">
        <v>45407.401388888888</v>
      </c>
      <c r="G4" s="303">
        <v>1</v>
      </c>
      <c r="H4" s="303">
        <v>51.374099999999999</v>
      </c>
      <c r="I4" s="303">
        <v>13.186299999999999</v>
      </c>
      <c r="J4" s="303">
        <v>-20.229606</v>
      </c>
      <c r="K4" s="303">
        <v>-19.382155999999998</v>
      </c>
      <c r="L4" s="303">
        <v>849.02499999999998</v>
      </c>
      <c r="M4" s="303">
        <v>86.500337999999999</v>
      </c>
      <c r="N4" s="303">
        <v>11284.65004</v>
      </c>
      <c r="O4" s="303">
        <v>11284.65004</v>
      </c>
      <c r="P4" s="305">
        <v>1974.00425</v>
      </c>
      <c r="Q4" s="299">
        <f t="shared" si="0"/>
        <v>1974.00425</v>
      </c>
      <c r="R4" s="300" t="s">
        <v>230</v>
      </c>
      <c r="S4" s="300" t="s">
        <v>12</v>
      </c>
      <c r="T4" s="305" t="s">
        <v>530</v>
      </c>
      <c r="U4" s="305">
        <v>15</v>
      </c>
      <c r="V4" s="305">
        <v>5</v>
      </c>
      <c r="W4" s="303">
        <v>0.7</v>
      </c>
      <c r="X4" s="303">
        <v>0.7</v>
      </c>
      <c r="Y4" s="303">
        <v>0.7</v>
      </c>
      <c r="Z4" s="303">
        <v>1700</v>
      </c>
      <c r="AA4" s="303" t="s">
        <v>531</v>
      </c>
      <c r="AB4" s="303">
        <v>0.85</v>
      </c>
      <c r="AC4" s="303" t="s">
        <v>532</v>
      </c>
      <c r="AD4" s="303" t="s">
        <v>533</v>
      </c>
      <c r="AE4" s="303">
        <v>220</v>
      </c>
      <c r="AF4" s="134"/>
      <c r="AG4" s="301"/>
    </row>
    <row r="5" spans="1:33" ht="15.75">
      <c r="A5" s="302" t="s">
        <v>536</v>
      </c>
      <c r="B5" s="303" t="s">
        <v>527</v>
      </c>
      <c r="C5" s="303" t="s">
        <v>528</v>
      </c>
      <c r="D5" s="303" t="s">
        <v>529</v>
      </c>
      <c r="E5" s="303">
        <v>1</v>
      </c>
      <c r="F5" s="304">
        <v>45407.404166666667</v>
      </c>
      <c r="G5" s="303">
        <v>1</v>
      </c>
      <c r="H5" s="303">
        <v>51.3675</v>
      </c>
      <c r="I5" s="303">
        <v>11.401199999999999</v>
      </c>
      <c r="J5" s="303">
        <v>-20.326975000000001</v>
      </c>
      <c r="K5" s="303">
        <v>-19.489087000000001</v>
      </c>
      <c r="L5" s="303">
        <v>836.14599999999996</v>
      </c>
      <c r="M5" s="303">
        <v>93.499796000000003</v>
      </c>
      <c r="N5" s="303">
        <v>11304.5208</v>
      </c>
      <c r="O5" s="303">
        <v>11304.5208</v>
      </c>
      <c r="P5" s="305">
        <v>1977.435565</v>
      </c>
      <c r="Q5" s="299">
        <f t="shared" si="0"/>
        <v>1977.435565</v>
      </c>
      <c r="R5" s="300" t="s">
        <v>230</v>
      </c>
      <c r="S5" s="300" t="s">
        <v>12</v>
      </c>
      <c r="T5" s="305" t="s">
        <v>530</v>
      </c>
      <c r="U5" s="305">
        <v>15</v>
      </c>
      <c r="V5" s="305">
        <v>5</v>
      </c>
      <c r="W5" s="303">
        <v>0.7</v>
      </c>
      <c r="X5" s="303">
        <v>0.7</v>
      </c>
      <c r="Y5" s="303">
        <v>0.7</v>
      </c>
      <c r="Z5" s="303">
        <v>1700</v>
      </c>
      <c r="AA5" s="303" t="s">
        <v>531</v>
      </c>
      <c r="AB5" s="303">
        <v>0.85</v>
      </c>
      <c r="AC5" s="303" t="s">
        <v>532</v>
      </c>
      <c r="AD5" s="303" t="s">
        <v>533</v>
      </c>
      <c r="AE5" s="303">
        <v>220</v>
      </c>
      <c r="AF5" s="134"/>
      <c r="AG5" s="301"/>
    </row>
    <row r="6" spans="1:33" ht="15.75">
      <c r="A6" s="302" t="s">
        <v>537</v>
      </c>
      <c r="B6" s="303" t="s">
        <v>527</v>
      </c>
      <c r="C6" s="303" t="s">
        <v>528</v>
      </c>
      <c r="D6" s="303" t="s">
        <v>529</v>
      </c>
      <c r="E6" s="303">
        <v>1</v>
      </c>
      <c r="F6" s="304">
        <v>45407.407638888886</v>
      </c>
      <c r="G6" s="303">
        <v>1</v>
      </c>
      <c r="H6" s="303">
        <v>51.370800000000003</v>
      </c>
      <c r="I6" s="303">
        <v>10.372400000000001</v>
      </c>
      <c r="J6" s="303">
        <v>-20.462419000000001</v>
      </c>
      <c r="K6" s="303">
        <v>-19.626619000000002</v>
      </c>
      <c r="L6" s="303">
        <v>854.94500000000005</v>
      </c>
      <c r="M6" s="303">
        <v>88.998351999999997</v>
      </c>
      <c r="N6" s="303">
        <v>11347.9249</v>
      </c>
      <c r="O6" s="303">
        <v>11347.9249</v>
      </c>
      <c r="P6" s="305">
        <v>1984.9306570000001</v>
      </c>
      <c r="Q6" s="299">
        <f t="shared" si="0"/>
        <v>1984.9306570000001</v>
      </c>
      <c r="R6" s="300" t="s">
        <v>230</v>
      </c>
      <c r="S6" s="300" t="s">
        <v>12</v>
      </c>
      <c r="T6" s="305" t="s">
        <v>530</v>
      </c>
      <c r="U6" s="305">
        <v>15</v>
      </c>
      <c r="V6" s="305">
        <v>5</v>
      </c>
      <c r="W6" s="303">
        <v>0.7</v>
      </c>
      <c r="X6" s="303">
        <v>0.7</v>
      </c>
      <c r="Y6" s="303">
        <v>0.7</v>
      </c>
      <c r="Z6" s="303">
        <v>1700</v>
      </c>
      <c r="AA6" s="303" t="s">
        <v>531</v>
      </c>
      <c r="AB6" s="303">
        <v>0.85</v>
      </c>
      <c r="AC6" s="303" t="s">
        <v>532</v>
      </c>
      <c r="AD6" s="303" t="s">
        <v>533</v>
      </c>
      <c r="AE6" s="303">
        <v>220</v>
      </c>
      <c r="AF6" s="134"/>
      <c r="AG6" s="301"/>
    </row>
    <row r="7" spans="1:33" ht="15.75">
      <c r="A7" s="302" t="s">
        <v>538</v>
      </c>
      <c r="B7" s="303" t="s">
        <v>527</v>
      </c>
      <c r="C7" s="303" t="s">
        <v>528</v>
      </c>
      <c r="D7" s="303" t="s">
        <v>529</v>
      </c>
      <c r="E7" s="303">
        <v>1</v>
      </c>
      <c r="F7" s="304">
        <v>45407.416666666664</v>
      </c>
      <c r="G7" s="303">
        <v>1</v>
      </c>
      <c r="H7" s="303">
        <v>51.370800000000003</v>
      </c>
      <c r="I7" s="303">
        <v>9.7299900000000008</v>
      </c>
      <c r="J7" s="303">
        <v>-20.472669</v>
      </c>
      <c r="K7" s="303">
        <v>-19.624480999999999</v>
      </c>
      <c r="L7" s="303">
        <v>858.22199999999998</v>
      </c>
      <c r="M7" s="303">
        <v>82.998891999999998</v>
      </c>
      <c r="N7" s="303">
        <v>11334.826359999999</v>
      </c>
      <c r="O7" s="303">
        <v>11334.826359999999</v>
      </c>
      <c r="P7" s="305">
        <v>1982.6687790000001</v>
      </c>
      <c r="Q7" s="299">
        <f t="shared" si="0"/>
        <v>1982.6687790000001</v>
      </c>
      <c r="R7" s="300" t="s">
        <v>230</v>
      </c>
      <c r="S7" s="300" t="s">
        <v>12</v>
      </c>
      <c r="T7" s="305" t="s">
        <v>530</v>
      </c>
      <c r="U7" s="305">
        <v>15</v>
      </c>
      <c r="V7" s="305">
        <v>5</v>
      </c>
      <c r="W7" s="303">
        <v>0.7</v>
      </c>
      <c r="X7" s="303">
        <v>0.7</v>
      </c>
      <c r="Y7" s="303">
        <v>0.7</v>
      </c>
      <c r="Z7" s="303">
        <v>1700</v>
      </c>
      <c r="AA7" s="303" t="s">
        <v>531</v>
      </c>
      <c r="AB7" s="303">
        <v>0.85</v>
      </c>
      <c r="AC7" s="303" t="s">
        <v>532</v>
      </c>
      <c r="AD7" s="303" t="s">
        <v>533</v>
      </c>
      <c r="AE7" s="303">
        <v>220</v>
      </c>
      <c r="AF7" s="134"/>
      <c r="AG7" s="301"/>
    </row>
    <row r="8" spans="1:33" ht="15.75">
      <c r="A8" s="302" t="s">
        <v>539</v>
      </c>
      <c r="B8" s="303" t="s">
        <v>527</v>
      </c>
      <c r="C8" s="303" t="s">
        <v>528</v>
      </c>
      <c r="D8" s="303" t="s">
        <v>529</v>
      </c>
      <c r="E8" s="303">
        <v>1</v>
      </c>
      <c r="F8" s="304">
        <v>45407.419444444444</v>
      </c>
      <c r="G8" s="303">
        <v>1</v>
      </c>
      <c r="H8" s="303">
        <v>51.370800000000003</v>
      </c>
      <c r="I8" s="303">
        <v>8.2828300000000006</v>
      </c>
      <c r="J8" s="303">
        <v>-20.643605999999998</v>
      </c>
      <c r="K8" s="303">
        <v>-19.80735</v>
      </c>
      <c r="L8" s="303">
        <v>862.14599999999996</v>
      </c>
      <c r="M8" s="303">
        <v>98.500854000000004</v>
      </c>
      <c r="N8" s="303">
        <v>11411.20693</v>
      </c>
      <c r="O8" s="303">
        <v>11411.20693</v>
      </c>
      <c r="P8" s="305">
        <v>1995.8583040000001</v>
      </c>
      <c r="Q8" s="299">
        <f t="shared" si="0"/>
        <v>1995.8583040000001</v>
      </c>
      <c r="R8" s="300" t="s">
        <v>230</v>
      </c>
      <c r="S8" s="300" t="s">
        <v>12</v>
      </c>
      <c r="T8" s="305" t="s">
        <v>530</v>
      </c>
      <c r="U8" s="305">
        <v>15</v>
      </c>
      <c r="V8" s="305">
        <v>5</v>
      </c>
      <c r="W8" s="303">
        <v>0.7</v>
      </c>
      <c r="X8" s="303">
        <v>0.7</v>
      </c>
      <c r="Y8" s="303">
        <v>0.7</v>
      </c>
      <c r="Z8" s="303">
        <v>1700</v>
      </c>
      <c r="AA8" s="303" t="s">
        <v>531</v>
      </c>
      <c r="AB8" s="303">
        <v>0.85</v>
      </c>
      <c r="AC8" s="303" t="s">
        <v>532</v>
      </c>
      <c r="AD8" s="303" t="s">
        <v>533</v>
      </c>
      <c r="AE8" s="303">
        <v>220</v>
      </c>
      <c r="AF8" s="134"/>
      <c r="AG8" s="301"/>
    </row>
    <row r="9" spans="1:33" ht="15.75">
      <c r="A9" s="302" t="s">
        <v>540</v>
      </c>
      <c r="B9" s="303" t="s">
        <v>527</v>
      </c>
      <c r="C9" s="303" t="s">
        <v>528</v>
      </c>
      <c r="D9" s="303" t="s">
        <v>529</v>
      </c>
      <c r="E9" s="303">
        <v>1</v>
      </c>
      <c r="F9" s="304">
        <v>45407.426388888889</v>
      </c>
      <c r="G9" s="303">
        <v>1</v>
      </c>
      <c r="H9" s="303">
        <v>51.370800000000003</v>
      </c>
      <c r="I9" s="303">
        <v>7.9595399999999996</v>
      </c>
      <c r="J9" s="303">
        <v>-20.605156000000001</v>
      </c>
      <c r="K9" s="303">
        <v>-19.779924999999999</v>
      </c>
      <c r="L9" s="303">
        <v>837.43100000000004</v>
      </c>
      <c r="M9" s="303">
        <v>91.999331999999995</v>
      </c>
      <c r="N9" s="303">
        <v>11390.763629999999</v>
      </c>
      <c r="O9" s="303">
        <v>11390.763629999999</v>
      </c>
      <c r="P9" s="305">
        <v>1992.328121</v>
      </c>
      <c r="Q9" s="299">
        <f t="shared" si="0"/>
        <v>1992.328121</v>
      </c>
      <c r="R9" s="300" t="s">
        <v>230</v>
      </c>
      <c r="S9" s="300" t="s">
        <v>12</v>
      </c>
      <c r="T9" s="305" t="s">
        <v>530</v>
      </c>
      <c r="U9" s="305">
        <v>15</v>
      </c>
      <c r="V9" s="305">
        <v>5</v>
      </c>
      <c r="W9" s="303">
        <v>0.7</v>
      </c>
      <c r="X9" s="303">
        <v>0.7</v>
      </c>
      <c r="Y9" s="303">
        <v>0.7</v>
      </c>
      <c r="Z9" s="303">
        <v>1700</v>
      </c>
      <c r="AA9" s="303" t="s">
        <v>531</v>
      </c>
      <c r="AB9" s="303">
        <v>0.85</v>
      </c>
      <c r="AC9" s="303" t="s">
        <v>532</v>
      </c>
      <c r="AD9" s="303" t="s">
        <v>533</v>
      </c>
      <c r="AE9" s="303">
        <v>220</v>
      </c>
      <c r="AF9" s="134"/>
      <c r="AG9" s="301"/>
    </row>
    <row r="10" spans="1:33" ht="15.75">
      <c r="A10" s="302" t="s">
        <v>541</v>
      </c>
      <c r="B10" s="303" t="s">
        <v>527</v>
      </c>
      <c r="C10" s="303" t="s">
        <v>528</v>
      </c>
      <c r="D10" s="303" t="s">
        <v>529</v>
      </c>
      <c r="E10" s="303">
        <v>1</v>
      </c>
      <c r="F10" s="304">
        <v>45407.429166666669</v>
      </c>
      <c r="G10" s="303">
        <v>1</v>
      </c>
      <c r="H10" s="303">
        <v>51.377400000000002</v>
      </c>
      <c r="I10" s="303">
        <v>7.4976000000000003</v>
      </c>
      <c r="J10" s="303">
        <v>-20.558361999999999</v>
      </c>
      <c r="K10" s="303">
        <v>-19.720880999999999</v>
      </c>
      <c r="L10" s="303">
        <v>857.91300000000001</v>
      </c>
      <c r="M10" s="303">
        <v>94.999656999999999</v>
      </c>
      <c r="N10" s="303">
        <v>11410.022290000001</v>
      </c>
      <c r="O10" s="303">
        <v>11410.022290000001</v>
      </c>
      <c r="P10" s="305">
        <v>1995.653738</v>
      </c>
      <c r="Q10" s="299">
        <f t="shared" si="0"/>
        <v>1995.653738</v>
      </c>
      <c r="R10" s="300" t="s">
        <v>230</v>
      </c>
      <c r="S10" s="300" t="s">
        <v>12</v>
      </c>
      <c r="T10" s="305" t="s">
        <v>530</v>
      </c>
      <c r="U10" s="305">
        <v>15</v>
      </c>
      <c r="V10" s="305">
        <v>5</v>
      </c>
      <c r="W10" s="303">
        <v>0.7</v>
      </c>
      <c r="X10" s="303">
        <v>0.7</v>
      </c>
      <c r="Y10" s="303">
        <v>0.7</v>
      </c>
      <c r="Z10" s="303">
        <v>1700</v>
      </c>
      <c r="AA10" s="303" t="s">
        <v>531</v>
      </c>
      <c r="AB10" s="303">
        <v>0.85</v>
      </c>
      <c r="AC10" s="303" t="s">
        <v>532</v>
      </c>
      <c r="AD10" s="303" t="s">
        <v>533</v>
      </c>
      <c r="AE10" s="303">
        <v>220</v>
      </c>
      <c r="AF10" s="134"/>
      <c r="AG10" s="301"/>
    </row>
    <row r="11" spans="1:33" ht="15.75">
      <c r="A11" s="302" t="s">
        <v>542</v>
      </c>
      <c r="B11" s="303" t="s">
        <v>543</v>
      </c>
      <c r="C11" s="303" t="s">
        <v>544</v>
      </c>
      <c r="D11" s="303" t="s">
        <v>529</v>
      </c>
      <c r="E11" s="303">
        <v>1.2</v>
      </c>
      <c r="F11" s="304">
        <v>45407.436111111114</v>
      </c>
      <c r="G11" s="303">
        <v>1</v>
      </c>
      <c r="H11" s="303">
        <v>51.370800000000003</v>
      </c>
      <c r="I11" s="303">
        <v>7.5757500000000002</v>
      </c>
      <c r="J11" s="303">
        <v>-20.582894</v>
      </c>
      <c r="K11" s="303">
        <v>-19.733981</v>
      </c>
      <c r="L11" s="303">
        <v>973.49900000000002</v>
      </c>
      <c r="M11" s="303">
        <v>90.999938</v>
      </c>
      <c r="N11" s="303">
        <v>14003.59837</v>
      </c>
      <c r="O11" s="303">
        <v>14100.052530000001</v>
      </c>
      <c r="P11" s="305">
        <v>2069.2874179999999</v>
      </c>
      <c r="Q11" s="299">
        <f t="shared" si="0"/>
        <v>2069.2874179999999</v>
      </c>
      <c r="R11" s="300" t="s">
        <v>230</v>
      </c>
      <c r="S11" s="300" t="s">
        <v>12</v>
      </c>
      <c r="T11" s="305" t="s">
        <v>545</v>
      </c>
      <c r="U11" s="305">
        <v>15</v>
      </c>
      <c r="V11" s="305">
        <v>5</v>
      </c>
      <c r="W11" s="303">
        <v>0.7</v>
      </c>
      <c r="X11" s="303">
        <v>0.7</v>
      </c>
      <c r="Y11" s="303">
        <v>0.7</v>
      </c>
      <c r="Z11" s="303">
        <v>1700</v>
      </c>
      <c r="AA11" s="303" t="s">
        <v>531</v>
      </c>
      <c r="AB11" s="303">
        <v>0.85</v>
      </c>
      <c r="AC11" s="303" t="s">
        <v>532</v>
      </c>
      <c r="AD11" s="303" t="s">
        <v>533</v>
      </c>
      <c r="AE11" s="303">
        <v>220</v>
      </c>
      <c r="AF11" s="134"/>
      <c r="AG11" s="301"/>
    </row>
    <row r="12" spans="1:33" ht="15.75">
      <c r="A12" s="302" t="s">
        <v>546</v>
      </c>
      <c r="B12" s="303" t="s">
        <v>543</v>
      </c>
      <c r="C12" s="303" t="s">
        <v>544</v>
      </c>
      <c r="D12" s="303" t="s">
        <v>529</v>
      </c>
      <c r="E12" s="303">
        <v>1.2</v>
      </c>
      <c r="F12" s="304">
        <v>45407.439583333333</v>
      </c>
      <c r="G12" s="303">
        <v>1</v>
      </c>
      <c r="H12" s="303">
        <v>51.374099999999999</v>
      </c>
      <c r="I12" s="303">
        <v>7.3399200000000002</v>
      </c>
      <c r="J12" s="303">
        <v>-20.672412999999999</v>
      </c>
      <c r="K12" s="303">
        <v>-19.827531</v>
      </c>
      <c r="L12" s="303">
        <v>951.18299999999999</v>
      </c>
      <c r="M12" s="303">
        <v>92.499885000000006</v>
      </c>
      <c r="N12" s="303">
        <v>14099.29084</v>
      </c>
      <c r="O12" s="303">
        <v>14100.052530000001</v>
      </c>
      <c r="P12" s="305">
        <v>2069.2874179999999</v>
      </c>
      <c r="Q12" s="299">
        <f t="shared" si="0"/>
        <v>2069.2874179999999</v>
      </c>
      <c r="R12" s="300" t="s">
        <v>230</v>
      </c>
      <c r="S12" s="300" t="s">
        <v>12</v>
      </c>
      <c r="T12" s="305" t="s">
        <v>530</v>
      </c>
      <c r="U12" s="305">
        <v>15</v>
      </c>
      <c r="V12" s="305">
        <v>5</v>
      </c>
      <c r="W12" s="303">
        <v>0.7</v>
      </c>
      <c r="X12" s="303">
        <v>0.7</v>
      </c>
      <c r="Y12" s="303">
        <v>0.7</v>
      </c>
      <c r="Z12" s="303">
        <v>1700</v>
      </c>
      <c r="AA12" s="303" t="s">
        <v>531</v>
      </c>
      <c r="AB12" s="303">
        <v>0.85</v>
      </c>
      <c r="AC12" s="303" t="s">
        <v>532</v>
      </c>
      <c r="AD12" s="303" t="s">
        <v>533</v>
      </c>
      <c r="AE12" s="303">
        <v>220</v>
      </c>
      <c r="AF12" s="134"/>
      <c r="AG12" s="301"/>
    </row>
    <row r="13" spans="1:33" ht="15.75">
      <c r="A13" s="302" t="s">
        <v>547</v>
      </c>
      <c r="B13" s="303" t="s">
        <v>543</v>
      </c>
      <c r="C13" s="303" t="s">
        <v>544</v>
      </c>
      <c r="D13" s="303" t="s">
        <v>529</v>
      </c>
      <c r="E13" s="303">
        <v>1.2</v>
      </c>
      <c r="F13" s="304">
        <v>45407.442361111112</v>
      </c>
      <c r="G13" s="303">
        <v>1</v>
      </c>
      <c r="H13" s="303">
        <v>51.377400000000002</v>
      </c>
      <c r="I13" s="303">
        <v>7.2849399999999997</v>
      </c>
      <c r="J13" s="303">
        <v>-20.598938</v>
      </c>
      <c r="K13" s="303">
        <v>-19.767887999999999</v>
      </c>
      <c r="L13" s="303">
        <v>957.29100000000005</v>
      </c>
      <c r="M13" s="303">
        <v>104.50011000000001</v>
      </c>
      <c r="N13" s="303">
        <v>14106.67684</v>
      </c>
      <c r="O13" s="303">
        <v>14100.052530000001</v>
      </c>
      <c r="P13" s="305">
        <v>2069.2874179999999</v>
      </c>
      <c r="Q13" s="299">
        <f t="shared" si="0"/>
        <v>2069.2874179999999</v>
      </c>
      <c r="R13" s="300" t="s">
        <v>230</v>
      </c>
      <c r="S13" s="300" t="s">
        <v>12</v>
      </c>
      <c r="T13" s="305" t="s">
        <v>530</v>
      </c>
      <c r="U13" s="305">
        <v>15</v>
      </c>
      <c r="V13" s="305">
        <v>5</v>
      </c>
      <c r="W13" s="303">
        <v>0.7</v>
      </c>
      <c r="X13" s="303">
        <v>0.7</v>
      </c>
      <c r="Y13" s="303">
        <v>0.7</v>
      </c>
      <c r="Z13" s="303">
        <v>1700</v>
      </c>
      <c r="AA13" s="303" t="s">
        <v>531</v>
      </c>
      <c r="AB13" s="303">
        <v>0.85</v>
      </c>
      <c r="AC13" s="303" t="s">
        <v>532</v>
      </c>
      <c r="AD13" s="303" t="s">
        <v>533</v>
      </c>
      <c r="AE13" s="303">
        <v>220</v>
      </c>
      <c r="AF13" s="134"/>
      <c r="AG13" s="301"/>
    </row>
    <row r="14" spans="1:33" ht="15.75">
      <c r="A14" s="302" t="s">
        <v>548</v>
      </c>
      <c r="B14" s="303" t="s">
        <v>543</v>
      </c>
      <c r="C14" s="303" t="s">
        <v>544</v>
      </c>
      <c r="D14" s="303" t="s">
        <v>529</v>
      </c>
      <c r="E14" s="303">
        <v>1.2</v>
      </c>
      <c r="F14" s="304">
        <v>45407.445833333331</v>
      </c>
      <c r="G14" s="303">
        <v>1</v>
      </c>
      <c r="H14" s="303">
        <v>51.374099999999999</v>
      </c>
      <c r="I14" s="303">
        <v>7.1108000000000002</v>
      </c>
      <c r="J14" s="303">
        <v>-20.612193999999999</v>
      </c>
      <c r="K14" s="303">
        <v>-19.775706</v>
      </c>
      <c r="L14" s="303">
        <v>958.81299999999999</v>
      </c>
      <c r="M14" s="303">
        <v>99.000722999999994</v>
      </c>
      <c r="N14" s="303">
        <v>14094.189920000001</v>
      </c>
      <c r="O14" s="303">
        <v>14100.052530000001</v>
      </c>
      <c r="P14" s="305">
        <v>2069.2874179999999</v>
      </c>
      <c r="Q14" s="299">
        <f t="shared" si="0"/>
        <v>2069.2874179999999</v>
      </c>
      <c r="R14" s="300" t="s">
        <v>230</v>
      </c>
      <c r="S14" s="300" t="s">
        <v>12</v>
      </c>
      <c r="T14" s="305" t="s">
        <v>530</v>
      </c>
      <c r="U14" s="305">
        <v>15</v>
      </c>
      <c r="V14" s="305">
        <v>5</v>
      </c>
      <c r="W14" s="303">
        <v>0.7</v>
      </c>
      <c r="X14" s="303">
        <v>0.7</v>
      </c>
      <c r="Y14" s="303">
        <v>0.7</v>
      </c>
      <c r="Z14" s="303">
        <v>1700</v>
      </c>
      <c r="AA14" s="303" t="s">
        <v>531</v>
      </c>
      <c r="AB14" s="303">
        <v>0.85</v>
      </c>
      <c r="AC14" s="303" t="s">
        <v>532</v>
      </c>
      <c r="AD14" s="303" t="s">
        <v>533</v>
      </c>
      <c r="AE14" s="303">
        <v>220</v>
      </c>
      <c r="AF14" s="134"/>
      <c r="AG14" s="301"/>
    </row>
    <row r="15" spans="1:33" ht="15.75">
      <c r="A15" s="302" t="s">
        <v>549</v>
      </c>
      <c r="B15" s="303" t="s">
        <v>550</v>
      </c>
      <c r="C15" s="303" t="s">
        <v>544</v>
      </c>
      <c r="D15" s="303" t="s">
        <v>529</v>
      </c>
      <c r="E15" s="303">
        <v>1.5</v>
      </c>
      <c r="F15" s="304">
        <v>45407.449305555558</v>
      </c>
      <c r="G15" s="303">
        <v>1</v>
      </c>
      <c r="H15" s="303">
        <v>51.374099999999999</v>
      </c>
      <c r="I15" s="303">
        <v>7.0926999999999998</v>
      </c>
      <c r="J15" s="303">
        <v>-20.650313000000001</v>
      </c>
      <c r="K15" s="303">
        <v>-19.822800000000001</v>
      </c>
      <c r="L15" s="303">
        <v>993.36300000000006</v>
      </c>
      <c r="M15" s="303">
        <v>114.50059</v>
      </c>
      <c r="N15" s="303">
        <v>17677.88336</v>
      </c>
      <c r="O15" s="303">
        <v>17673.240720000002</v>
      </c>
      <c r="P15" s="305">
        <v>2069.2874179999999</v>
      </c>
      <c r="Q15" s="299">
        <f t="shared" si="0"/>
        <v>2069.2874179999999</v>
      </c>
      <c r="R15" s="300" t="s">
        <v>230</v>
      </c>
      <c r="S15" s="300" t="s">
        <v>12</v>
      </c>
      <c r="T15" s="305" t="s">
        <v>530</v>
      </c>
      <c r="U15" s="305">
        <v>15</v>
      </c>
      <c r="V15" s="305">
        <v>5</v>
      </c>
      <c r="W15" s="303">
        <v>0.7</v>
      </c>
      <c r="X15" s="303">
        <v>0.7</v>
      </c>
      <c r="Y15" s="303">
        <v>0.7</v>
      </c>
      <c r="Z15" s="303">
        <v>1700</v>
      </c>
      <c r="AA15" s="303" t="s">
        <v>531</v>
      </c>
      <c r="AB15" s="303">
        <v>0.85</v>
      </c>
      <c r="AC15" s="303" t="s">
        <v>532</v>
      </c>
      <c r="AD15" s="303" t="s">
        <v>533</v>
      </c>
      <c r="AE15" s="303">
        <v>220</v>
      </c>
      <c r="AF15" s="134"/>
      <c r="AG15" s="301"/>
    </row>
    <row r="16" spans="1:33" ht="15.75">
      <c r="A16" s="302" t="s">
        <v>551</v>
      </c>
      <c r="B16" s="303" t="s">
        <v>550</v>
      </c>
      <c r="C16" s="303" t="s">
        <v>544</v>
      </c>
      <c r="D16" s="303" t="s">
        <v>529</v>
      </c>
      <c r="E16" s="303">
        <v>1.5</v>
      </c>
      <c r="F16" s="304">
        <v>45407.452777777777</v>
      </c>
      <c r="G16" s="303">
        <v>1</v>
      </c>
      <c r="H16" s="303">
        <v>51.370800000000003</v>
      </c>
      <c r="I16" s="303">
        <v>7.0580600000000002</v>
      </c>
      <c r="J16" s="303">
        <v>-20.623363000000001</v>
      </c>
      <c r="K16" s="303">
        <v>-19.778493999999998</v>
      </c>
      <c r="L16" s="303">
        <v>988.02300000000002</v>
      </c>
      <c r="M16" s="303">
        <v>112.49968200000001</v>
      </c>
      <c r="N16" s="303">
        <v>17687.15094</v>
      </c>
      <c r="O16" s="303">
        <v>17673.240720000002</v>
      </c>
      <c r="P16" s="305">
        <v>2069.2874179999999</v>
      </c>
      <c r="Q16" s="299">
        <f t="shared" si="0"/>
        <v>2069.2874179999999</v>
      </c>
      <c r="R16" s="300" t="s">
        <v>230</v>
      </c>
      <c r="S16" s="300" t="s">
        <v>12</v>
      </c>
      <c r="T16" s="305" t="s">
        <v>530</v>
      </c>
      <c r="U16" s="305">
        <v>15</v>
      </c>
      <c r="V16" s="305">
        <v>5</v>
      </c>
      <c r="W16" s="303">
        <v>0.7</v>
      </c>
      <c r="X16" s="303">
        <v>0.7</v>
      </c>
      <c r="Y16" s="303">
        <v>0.7</v>
      </c>
      <c r="Z16" s="303">
        <v>1700</v>
      </c>
      <c r="AA16" s="303" t="s">
        <v>531</v>
      </c>
      <c r="AB16" s="303">
        <v>0.85</v>
      </c>
      <c r="AC16" s="303" t="s">
        <v>532</v>
      </c>
      <c r="AD16" s="303" t="s">
        <v>533</v>
      </c>
      <c r="AE16" s="303">
        <v>220</v>
      </c>
      <c r="AF16" s="134"/>
      <c r="AG16" s="301"/>
    </row>
    <row r="17" spans="1:33" ht="15.75">
      <c r="A17" s="302" t="s">
        <v>552</v>
      </c>
      <c r="B17" s="303" t="s">
        <v>550</v>
      </c>
      <c r="C17" s="303" t="s">
        <v>544</v>
      </c>
      <c r="D17" s="303" t="s">
        <v>529</v>
      </c>
      <c r="E17" s="303">
        <v>1.5</v>
      </c>
      <c r="F17" s="304">
        <v>45407.456250000003</v>
      </c>
      <c r="G17" s="303">
        <v>1</v>
      </c>
      <c r="H17" s="303">
        <v>51.370800000000003</v>
      </c>
      <c r="I17" s="303">
        <v>7.0668300000000004</v>
      </c>
      <c r="J17" s="303">
        <v>-20.647500000000001</v>
      </c>
      <c r="K17" s="303">
        <v>-19.803311999999998</v>
      </c>
      <c r="L17" s="303">
        <v>991.73800000000006</v>
      </c>
      <c r="M17" s="303">
        <v>111.999996</v>
      </c>
      <c r="N17" s="303">
        <v>17654.687859999998</v>
      </c>
      <c r="O17" s="303">
        <v>17673.240720000002</v>
      </c>
      <c r="P17" s="305">
        <v>2069.2874179999999</v>
      </c>
      <c r="Q17" s="299">
        <f t="shared" si="0"/>
        <v>2069.2874179999999</v>
      </c>
      <c r="R17" s="300" t="s">
        <v>230</v>
      </c>
      <c r="S17" s="300" t="s">
        <v>12</v>
      </c>
      <c r="T17" s="305" t="s">
        <v>530</v>
      </c>
      <c r="U17" s="306">
        <v>15</v>
      </c>
      <c r="V17" s="305">
        <v>5</v>
      </c>
      <c r="W17" s="303">
        <v>0.7</v>
      </c>
      <c r="X17" s="303">
        <v>0.7</v>
      </c>
      <c r="Y17" s="303">
        <v>0.7</v>
      </c>
      <c r="Z17" s="303">
        <v>1700</v>
      </c>
      <c r="AA17" s="303" t="s">
        <v>531</v>
      </c>
      <c r="AB17" s="303">
        <v>0.85</v>
      </c>
      <c r="AC17" s="303" t="s">
        <v>532</v>
      </c>
      <c r="AD17" s="303" t="s">
        <v>533</v>
      </c>
      <c r="AE17" s="303">
        <v>220</v>
      </c>
      <c r="AF17" s="134"/>
      <c r="AG17" s="307"/>
    </row>
    <row r="18" spans="1:33" ht="15.75">
      <c r="A18" s="302" t="s">
        <v>553</v>
      </c>
      <c r="B18" s="303" t="s">
        <v>554</v>
      </c>
      <c r="C18" s="303" t="s">
        <v>544</v>
      </c>
      <c r="D18" s="303" t="s">
        <v>529</v>
      </c>
      <c r="E18" s="303">
        <v>1.8</v>
      </c>
      <c r="F18" s="304">
        <v>45407.459722222222</v>
      </c>
      <c r="G18" s="303">
        <v>1</v>
      </c>
      <c r="H18" s="303">
        <v>51.374099999999999</v>
      </c>
      <c r="I18" s="303">
        <v>7.0758700000000001</v>
      </c>
      <c r="J18" s="303">
        <v>-20.725325000000002</v>
      </c>
      <c r="K18" s="303">
        <v>-19.890599999999999</v>
      </c>
      <c r="L18" s="303">
        <v>1001.59</v>
      </c>
      <c r="M18" s="303">
        <v>118.999354</v>
      </c>
      <c r="N18" s="303">
        <v>21190.87586</v>
      </c>
      <c r="O18" s="303">
        <v>21204.935600000001</v>
      </c>
      <c r="P18" s="305">
        <v>2069.2874179999999</v>
      </c>
      <c r="Q18" s="299">
        <f t="shared" si="0"/>
        <v>2069.2874179999999</v>
      </c>
      <c r="R18" s="300" t="s">
        <v>230</v>
      </c>
      <c r="S18" s="300" t="s">
        <v>12</v>
      </c>
      <c r="T18" s="305" t="s">
        <v>530</v>
      </c>
      <c r="U18" s="306">
        <v>15</v>
      </c>
      <c r="V18" s="305">
        <v>5</v>
      </c>
      <c r="W18" s="303">
        <v>0.7</v>
      </c>
      <c r="X18" s="303">
        <v>0.7</v>
      </c>
      <c r="Y18" s="303">
        <v>0.7</v>
      </c>
      <c r="Z18" s="303">
        <v>1700</v>
      </c>
      <c r="AA18" s="303" t="s">
        <v>531</v>
      </c>
      <c r="AB18" s="303">
        <v>0.85</v>
      </c>
      <c r="AC18" s="303" t="s">
        <v>532</v>
      </c>
      <c r="AD18" s="303" t="s">
        <v>533</v>
      </c>
      <c r="AE18" s="303">
        <v>220</v>
      </c>
      <c r="AF18" s="134"/>
      <c r="AG18" s="307"/>
    </row>
    <row r="19" spans="1:33" ht="15.75">
      <c r="A19" s="302" t="s">
        <v>555</v>
      </c>
      <c r="B19" s="303" t="s">
        <v>554</v>
      </c>
      <c r="C19" s="303" t="s">
        <v>544</v>
      </c>
      <c r="D19" s="303" t="s">
        <v>529</v>
      </c>
      <c r="E19" s="303">
        <v>1.8</v>
      </c>
      <c r="F19" s="304">
        <v>45407.463194444441</v>
      </c>
      <c r="G19" s="303">
        <v>1</v>
      </c>
      <c r="H19" s="303">
        <v>51.374099999999999</v>
      </c>
      <c r="I19" s="303">
        <v>7.0407000000000002</v>
      </c>
      <c r="J19" s="303">
        <v>-20.728456000000001</v>
      </c>
      <c r="K19" s="303">
        <v>-19.881724999999999</v>
      </c>
      <c r="L19" s="303">
        <v>993.81</v>
      </c>
      <c r="M19" s="303">
        <v>138.99980500000001</v>
      </c>
      <c r="N19" s="303">
        <v>21203.19643</v>
      </c>
      <c r="O19" s="303">
        <v>21204.935600000001</v>
      </c>
      <c r="P19" s="305">
        <v>2069.2874179999999</v>
      </c>
      <c r="Q19" s="299">
        <f t="shared" si="0"/>
        <v>2069.2874179999999</v>
      </c>
      <c r="R19" s="300" t="s">
        <v>230</v>
      </c>
      <c r="S19" s="300" t="s">
        <v>12</v>
      </c>
      <c r="T19" s="305" t="s">
        <v>530</v>
      </c>
      <c r="U19" s="306">
        <v>15</v>
      </c>
      <c r="V19" s="305">
        <v>5</v>
      </c>
      <c r="W19" s="303">
        <v>0.7</v>
      </c>
      <c r="X19" s="303">
        <v>0.7</v>
      </c>
      <c r="Y19" s="303">
        <v>0.7</v>
      </c>
      <c r="Z19" s="303">
        <v>1700</v>
      </c>
      <c r="AA19" s="303" t="s">
        <v>531</v>
      </c>
      <c r="AB19" s="303">
        <v>0.85</v>
      </c>
      <c r="AC19" s="303" t="s">
        <v>532</v>
      </c>
      <c r="AD19" s="303" t="s">
        <v>533</v>
      </c>
      <c r="AE19" s="303">
        <v>220</v>
      </c>
      <c r="AF19" s="134"/>
      <c r="AG19" s="307"/>
    </row>
    <row r="20" spans="1:33" ht="15.75">
      <c r="A20" s="302" t="s">
        <v>556</v>
      </c>
      <c r="B20" s="303" t="s">
        <v>554</v>
      </c>
      <c r="C20" s="303" t="s">
        <v>544</v>
      </c>
      <c r="D20" s="303" t="s">
        <v>529</v>
      </c>
      <c r="E20" s="303">
        <v>1.8</v>
      </c>
      <c r="F20" s="304">
        <v>45407.467361111114</v>
      </c>
      <c r="G20" s="303">
        <v>1</v>
      </c>
      <c r="H20" s="303">
        <v>51.374099999999999</v>
      </c>
      <c r="I20" s="303">
        <v>6.9874200000000002</v>
      </c>
      <c r="J20" s="303">
        <v>-20.746200000000002</v>
      </c>
      <c r="K20" s="303">
        <v>-19.903518999999999</v>
      </c>
      <c r="L20" s="303">
        <v>992.09799999999996</v>
      </c>
      <c r="M20" s="303">
        <v>145.50035099999999</v>
      </c>
      <c r="N20" s="303">
        <v>21220.734509999998</v>
      </c>
      <c r="O20" s="303">
        <v>21204.935600000001</v>
      </c>
      <c r="P20" s="305">
        <v>2069.2874179999999</v>
      </c>
      <c r="Q20" s="299">
        <f t="shared" si="0"/>
        <v>2069.2874179999999</v>
      </c>
      <c r="R20" s="300" t="s">
        <v>230</v>
      </c>
      <c r="S20" s="300" t="s">
        <v>12</v>
      </c>
      <c r="T20" s="305" t="s">
        <v>530</v>
      </c>
      <c r="U20" s="306">
        <v>15</v>
      </c>
      <c r="V20" s="305">
        <v>5</v>
      </c>
      <c r="W20" s="303">
        <v>0.7</v>
      </c>
      <c r="X20" s="303">
        <v>0.7</v>
      </c>
      <c r="Y20" s="303">
        <v>0.7</v>
      </c>
      <c r="Z20" s="303">
        <v>1700</v>
      </c>
      <c r="AA20" s="303" t="s">
        <v>531</v>
      </c>
      <c r="AB20" s="303">
        <v>0.85</v>
      </c>
      <c r="AC20" s="303" t="s">
        <v>532</v>
      </c>
      <c r="AD20" s="303" t="s">
        <v>533</v>
      </c>
      <c r="AE20" s="303">
        <v>220</v>
      </c>
      <c r="AF20" s="134"/>
      <c r="AG20" s="307"/>
    </row>
    <row r="21" spans="1:33" ht="15.75">
      <c r="A21" s="308" t="s">
        <v>557</v>
      </c>
      <c r="B21" s="309">
        <v>2</v>
      </c>
      <c r="C21" s="309" t="s">
        <v>544</v>
      </c>
      <c r="D21" s="309" t="s">
        <v>529</v>
      </c>
      <c r="E21" s="309">
        <v>1.5</v>
      </c>
      <c r="F21" s="310">
        <v>45407.470833333333</v>
      </c>
      <c r="G21" s="309">
        <v>1</v>
      </c>
      <c r="H21" s="309">
        <v>51.374099999999999</v>
      </c>
      <c r="I21" s="309">
        <v>7.0111299999999996</v>
      </c>
      <c r="J21" s="309">
        <v>-20.696218999999999</v>
      </c>
      <c r="K21" s="309">
        <v>-19.856024999999999</v>
      </c>
      <c r="L21" s="309">
        <v>985.79700000000003</v>
      </c>
      <c r="M21" s="309">
        <v>117.000186</v>
      </c>
      <c r="N21" s="309">
        <v>17689.59979</v>
      </c>
      <c r="O21" s="309">
        <v>17687.660380000001</v>
      </c>
      <c r="P21" s="311">
        <v>2070.9771689999998</v>
      </c>
      <c r="Q21" s="299">
        <f t="shared" si="0"/>
        <v>2070.9771689999998</v>
      </c>
      <c r="R21" s="300" t="s">
        <v>230</v>
      </c>
      <c r="S21" s="300" t="s">
        <v>12</v>
      </c>
      <c r="T21" s="305" t="s">
        <v>530</v>
      </c>
      <c r="U21" s="306">
        <v>15</v>
      </c>
      <c r="V21" s="305">
        <v>5</v>
      </c>
      <c r="W21" s="303">
        <v>0.7</v>
      </c>
      <c r="X21" s="303">
        <v>0.7</v>
      </c>
      <c r="Y21" s="303">
        <v>0.7</v>
      </c>
      <c r="Z21" s="303">
        <v>1700</v>
      </c>
      <c r="AA21" s="303" t="s">
        <v>531</v>
      </c>
      <c r="AB21" s="303">
        <v>0.85</v>
      </c>
      <c r="AC21" s="303" t="s">
        <v>532</v>
      </c>
      <c r="AD21" s="303" t="s">
        <v>533</v>
      </c>
      <c r="AE21" s="303">
        <v>220</v>
      </c>
      <c r="AF21" s="134"/>
      <c r="AG21" s="301"/>
    </row>
    <row r="22" spans="1:33" ht="15.75">
      <c r="A22" s="308" t="s">
        <v>558</v>
      </c>
      <c r="B22" s="309">
        <v>2</v>
      </c>
      <c r="C22" s="309" t="s">
        <v>544</v>
      </c>
      <c r="D22" s="309" t="s">
        <v>529</v>
      </c>
      <c r="E22" s="309">
        <v>1.5</v>
      </c>
      <c r="F22" s="310">
        <v>45407.474305555559</v>
      </c>
      <c r="G22" s="309">
        <v>1</v>
      </c>
      <c r="H22" s="309">
        <v>51.380699999999997</v>
      </c>
      <c r="I22" s="309">
        <v>7.0021800000000001</v>
      </c>
      <c r="J22" s="309">
        <v>-20.568331000000001</v>
      </c>
      <c r="K22" s="309">
        <v>-19.739118999999999</v>
      </c>
      <c r="L22" s="309">
        <v>972.57799999999997</v>
      </c>
      <c r="M22" s="309">
        <v>127.500575</v>
      </c>
      <c r="N22" s="309">
        <v>17684.320489999998</v>
      </c>
      <c r="O22" s="309">
        <v>17687.660380000001</v>
      </c>
      <c r="P22" s="311">
        <v>2070.9771689999998</v>
      </c>
      <c r="Q22" s="299">
        <f t="shared" si="0"/>
        <v>2070.9771689999998</v>
      </c>
      <c r="R22" s="300" t="s">
        <v>230</v>
      </c>
      <c r="S22" s="300" t="s">
        <v>12</v>
      </c>
      <c r="T22" s="305" t="s">
        <v>530</v>
      </c>
      <c r="U22" s="306">
        <v>15</v>
      </c>
      <c r="V22" s="305">
        <v>5</v>
      </c>
      <c r="W22" s="303">
        <v>0.7</v>
      </c>
      <c r="X22" s="303">
        <v>0.7</v>
      </c>
      <c r="Y22" s="303">
        <v>0.7</v>
      </c>
      <c r="Z22" s="303">
        <v>1700</v>
      </c>
      <c r="AA22" s="303" t="s">
        <v>531</v>
      </c>
      <c r="AB22" s="303">
        <v>0.85</v>
      </c>
      <c r="AC22" s="303" t="s">
        <v>532</v>
      </c>
      <c r="AD22" s="303" t="s">
        <v>533</v>
      </c>
      <c r="AE22" s="303">
        <v>220</v>
      </c>
      <c r="AF22" s="134"/>
      <c r="AG22" s="301"/>
    </row>
    <row r="23" spans="1:33" ht="15.75">
      <c r="A23" s="308" t="s">
        <v>559</v>
      </c>
      <c r="B23" s="309">
        <v>2</v>
      </c>
      <c r="C23" s="309" t="s">
        <v>544</v>
      </c>
      <c r="D23" s="309" t="s">
        <v>529</v>
      </c>
      <c r="E23" s="309">
        <v>1.5</v>
      </c>
      <c r="F23" s="310">
        <v>45407.478472222225</v>
      </c>
      <c r="G23" s="309">
        <v>1</v>
      </c>
      <c r="H23" s="309">
        <v>51.374099999999999</v>
      </c>
      <c r="I23" s="309">
        <v>7.0523999999999996</v>
      </c>
      <c r="J23" s="309">
        <v>-20.772631000000001</v>
      </c>
      <c r="K23" s="309">
        <v>-19.928668999999999</v>
      </c>
      <c r="L23" s="309">
        <v>983.31399999999996</v>
      </c>
      <c r="M23" s="309">
        <v>135.50026099999999</v>
      </c>
      <c r="N23" s="309">
        <v>17689.060870000001</v>
      </c>
      <c r="O23" s="309">
        <v>17687.660380000001</v>
      </c>
      <c r="P23" s="311">
        <v>2070.9771689999998</v>
      </c>
      <c r="Q23" s="299">
        <f t="shared" si="0"/>
        <v>2070.9771689999998</v>
      </c>
      <c r="R23" s="300" t="s">
        <v>230</v>
      </c>
      <c r="S23" s="300" t="s">
        <v>12</v>
      </c>
      <c r="T23" s="305" t="s">
        <v>530</v>
      </c>
      <c r="U23" s="306">
        <v>15</v>
      </c>
      <c r="V23" s="305">
        <v>5</v>
      </c>
      <c r="W23" s="303">
        <v>0.7</v>
      </c>
      <c r="X23" s="303">
        <v>0.7</v>
      </c>
      <c r="Y23" s="303">
        <v>0.7</v>
      </c>
      <c r="Z23" s="303">
        <v>1700</v>
      </c>
      <c r="AA23" s="303" t="s">
        <v>531</v>
      </c>
      <c r="AB23" s="303">
        <v>0.85</v>
      </c>
      <c r="AC23" s="303" t="s">
        <v>532</v>
      </c>
      <c r="AD23" s="303" t="s">
        <v>533</v>
      </c>
      <c r="AE23" s="303">
        <v>220</v>
      </c>
      <c r="AF23" s="134"/>
      <c r="AG23" s="301"/>
    </row>
    <row r="24" spans="1:33" ht="15.75">
      <c r="A24" s="302" t="s">
        <v>560</v>
      </c>
      <c r="B24" s="303">
        <v>3</v>
      </c>
      <c r="C24" s="303">
        <v>40</v>
      </c>
      <c r="D24" s="303" t="s">
        <v>561</v>
      </c>
      <c r="E24" s="303">
        <v>1.5</v>
      </c>
      <c r="F24" s="304">
        <v>45407.482638888891</v>
      </c>
      <c r="G24" s="303">
        <v>1</v>
      </c>
      <c r="H24" s="303">
        <v>51.374099999999999</v>
      </c>
      <c r="I24" s="303">
        <v>7.0567299999999999</v>
      </c>
      <c r="J24" s="303">
        <v>-20.777930999999999</v>
      </c>
      <c r="K24" s="303">
        <v>-19.936793999999999</v>
      </c>
      <c r="L24" s="303">
        <v>989.37400000000002</v>
      </c>
      <c r="M24" s="303">
        <v>136.50178500000001</v>
      </c>
      <c r="N24" s="303">
        <v>17663.498240000001</v>
      </c>
      <c r="O24" s="303">
        <v>17667.459620000001</v>
      </c>
      <c r="P24" s="305">
        <v>2068.6178340000001</v>
      </c>
      <c r="Q24" s="299">
        <f t="shared" si="0"/>
        <v>2068.6178340000001</v>
      </c>
      <c r="R24" s="300" t="s">
        <v>230</v>
      </c>
      <c r="S24" s="300" t="s">
        <v>12</v>
      </c>
      <c r="T24" s="305" t="s">
        <v>530</v>
      </c>
      <c r="U24" s="306">
        <v>15</v>
      </c>
      <c r="V24" s="305">
        <v>5</v>
      </c>
      <c r="W24" s="303">
        <v>0.7</v>
      </c>
      <c r="X24" s="303">
        <v>0.7</v>
      </c>
      <c r="Y24" s="303">
        <v>0.7</v>
      </c>
      <c r="Z24" s="303">
        <v>1700</v>
      </c>
      <c r="AA24" s="303" t="s">
        <v>531</v>
      </c>
      <c r="AB24" s="303">
        <v>0.85</v>
      </c>
      <c r="AC24" s="303" t="s">
        <v>532</v>
      </c>
      <c r="AD24" s="303" t="s">
        <v>533</v>
      </c>
      <c r="AE24" s="303">
        <v>220</v>
      </c>
      <c r="AF24" s="134"/>
      <c r="AG24" s="301"/>
    </row>
    <row r="25" spans="1:33" ht="15.75">
      <c r="A25" s="302" t="s">
        <v>562</v>
      </c>
      <c r="B25" s="303">
        <v>3</v>
      </c>
      <c r="C25" s="303">
        <v>40</v>
      </c>
      <c r="D25" s="303" t="s">
        <v>561</v>
      </c>
      <c r="E25" s="303">
        <v>1.5</v>
      </c>
      <c r="F25" s="304">
        <v>45407.486111111109</v>
      </c>
      <c r="G25" s="303">
        <v>1</v>
      </c>
      <c r="H25" s="303">
        <v>51.374099999999999</v>
      </c>
      <c r="I25" s="303">
        <v>7.1467799999999997</v>
      </c>
      <c r="J25" s="303">
        <v>-20.798155999999999</v>
      </c>
      <c r="K25" s="303">
        <v>-19.958994000000001</v>
      </c>
      <c r="L25" s="303">
        <v>987.84400000000005</v>
      </c>
      <c r="M25" s="303">
        <v>122.998724</v>
      </c>
      <c r="N25" s="303">
        <v>17660.654139999999</v>
      </c>
      <c r="O25" s="303">
        <v>17667.459620000001</v>
      </c>
      <c r="P25" s="305">
        <v>2068.6178340000001</v>
      </c>
      <c r="Q25" s="299">
        <f t="shared" si="0"/>
        <v>2068.6178340000001</v>
      </c>
      <c r="R25" s="300" t="s">
        <v>230</v>
      </c>
      <c r="S25" s="300" t="s">
        <v>12</v>
      </c>
      <c r="T25" s="305" t="s">
        <v>530</v>
      </c>
      <c r="U25" s="306">
        <v>15</v>
      </c>
      <c r="V25" s="305">
        <v>5</v>
      </c>
      <c r="W25" s="303">
        <v>0.7</v>
      </c>
      <c r="X25" s="303">
        <v>0.7</v>
      </c>
      <c r="Y25" s="303">
        <v>0.7</v>
      </c>
      <c r="Z25" s="303">
        <v>1700</v>
      </c>
      <c r="AA25" s="303" t="s">
        <v>531</v>
      </c>
      <c r="AB25" s="303">
        <v>0.85</v>
      </c>
      <c r="AC25" s="303" t="s">
        <v>532</v>
      </c>
      <c r="AD25" s="303" t="s">
        <v>533</v>
      </c>
      <c r="AE25" s="303">
        <v>220</v>
      </c>
      <c r="AF25" s="134"/>
      <c r="AG25" s="301"/>
    </row>
    <row r="26" spans="1:33" ht="15.75">
      <c r="A26" s="302" t="s">
        <v>563</v>
      </c>
      <c r="B26" s="303">
        <v>3</v>
      </c>
      <c r="C26" s="303">
        <v>40</v>
      </c>
      <c r="D26" s="303" t="s">
        <v>561</v>
      </c>
      <c r="E26" s="303">
        <v>1.5</v>
      </c>
      <c r="F26" s="304">
        <v>45407.489583333336</v>
      </c>
      <c r="G26" s="303">
        <v>1</v>
      </c>
      <c r="H26" s="303">
        <v>51.374099999999999</v>
      </c>
      <c r="I26" s="303">
        <v>7.0834700000000002</v>
      </c>
      <c r="J26" s="303">
        <v>-20.745912000000001</v>
      </c>
      <c r="K26" s="303">
        <v>-19.907812</v>
      </c>
      <c r="L26" s="303">
        <v>989.23599999999999</v>
      </c>
      <c r="M26" s="303">
        <v>118.501389</v>
      </c>
      <c r="N26" s="303">
        <v>17678.226480000001</v>
      </c>
      <c r="O26" s="303">
        <v>17667.459620000001</v>
      </c>
      <c r="P26" s="305">
        <v>2068.6178340000001</v>
      </c>
      <c r="Q26" s="299">
        <f t="shared" si="0"/>
        <v>2068.6178340000001</v>
      </c>
      <c r="R26" s="300" t="s">
        <v>230</v>
      </c>
      <c r="S26" s="300" t="s">
        <v>12</v>
      </c>
      <c r="T26" s="305" t="s">
        <v>530</v>
      </c>
      <c r="U26" s="306">
        <v>15</v>
      </c>
      <c r="V26" s="305">
        <v>5</v>
      </c>
      <c r="W26" s="303">
        <v>0.7</v>
      </c>
      <c r="X26" s="303">
        <v>0.7</v>
      </c>
      <c r="Y26" s="303">
        <v>0.7</v>
      </c>
      <c r="Z26" s="303">
        <v>1700</v>
      </c>
      <c r="AA26" s="303" t="s">
        <v>531</v>
      </c>
      <c r="AB26" s="303">
        <v>0.85</v>
      </c>
      <c r="AC26" s="303" t="s">
        <v>532</v>
      </c>
      <c r="AD26" s="303" t="s">
        <v>533</v>
      </c>
      <c r="AE26" s="303">
        <v>220</v>
      </c>
      <c r="AF26" s="134"/>
      <c r="AG26" s="301"/>
    </row>
    <row r="27" spans="1:33" ht="15.75">
      <c r="A27" s="302" t="s">
        <v>564</v>
      </c>
      <c r="B27" s="303">
        <v>4</v>
      </c>
      <c r="C27" s="303">
        <v>41</v>
      </c>
      <c r="D27" s="303" t="s">
        <v>565</v>
      </c>
      <c r="E27" s="303">
        <v>1.5</v>
      </c>
      <c r="F27" s="304">
        <v>45407.493750000001</v>
      </c>
      <c r="G27" s="303">
        <v>1</v>
      </c>
      <c r="H27" s="303">
        <v>51.374099999999999</v>
      </c>
      <c r="I27" s="303">
        <v>7.0167999999999999</v>
      </c>
      <c r="J27" s="303">
        <v>-20.844211999999999</v>
      </c>
      <c r="K27" s="303">
        <v>-19.999281</v>
      </c>
      <c r="L27" s="303">
        <v>993.04300000000001</v>
      </c>
      <c r="M27" s="303">
        <v>131.50062299999999</v>
      </c>
      <c r="N27" s="303">
        <v>17753.36897</v>
      </c>
      <c r="O27" s="303">
        <v>17647.534919999998</v>
      </c>
      <c r="P27" s="305">
        <v>2066.3100939999999</v>
      </c>
      <c r="Q27" s="299">
        <f t="shared" si="0"/>
        <v>2066.3100939999999</v>
      </c>
      <c r="R27" s="300" t="s">
        <v>230</v>
      </c>
      <c r="S27" s="300" t="s">
        <v>12</v>
      </c>
      <c r="T27" s="305" t="s">
        <v>545</v>
      </c>
      <c r="U27" s="306">
        <v>15</v>
      </c>
      <c r="V27" s="305">
        <v>5</v>
      </c>
      <c r="W27" s="303">
        <v>0.7</v>
      </c>
      <c r="X27" s="303">
        <v>0.7</v>
      </c>
      <c r="Y27" s="303">
        <v>0.7</v>
      </c>
      <c r="Z27" s="303">
        <v>1700</v>
      </c>
      <c r="AA27" s="303" t="s">
        <v>531</v>
      </c>
      <c r="AB27" s="303">
        <v>0.85</v>
      </c>
      <c r="AC27" s="303" t="s">
        <v>532</v>
      </c>
      <c r="AD27" s="303" t="s">
        <v>533</v>
      </c>
      <c r="AE27" s="303">
        <v>220</v>
      </c>
      <c r="AF27" s="134"/>
      <c r="AG27" s="301"/>
    </row>
    <row r="28" spans="1:33" ht="15.75">
      <c r="A28" s="302" t="s">
        <v>566</v>
      </c>
      <c r="B28" s="303">
        <v>4</v>
      </c>
      <c r="C28" s="303">
        <v>41</v>
      </c>
      <c r="D28" s="303" t="s">
        <v>565</v>
      </c>
      <c r="E28" s="303">
        <v>1.5</v>
      </c>
      <c r="F28" s="304">
        <v>45407.49722222222</v>
      </c>
      <c r="G28" s="303">
        <v>1</v>
      </c>
      <c r="H28" s="303">
        <v>51.374099999999999</v>
      </c>
      <c r="I28" s="303">
        <v>7.0821399999999999</v>
      </c>
      <c r="J28" s="303">
        <v>-20.627431000000001</v>
      </c>
      <c r="K28" s="303">
        <v>-19.786669</v>
      </c>
      <c r="L28" s="303">
        <v>989.45799999999997</v>
      </c>
      <c r="M28" s="303">
        <v>121.500103</v>
      </c>
      <c r="N28" s="303">
        <v>17634.057339999999</v>
      </c>
      <c r="O28" s="303">
        <v>17647.534919999998</v>
      </c>
      <c r="P28" s="305">
        <v>2066.3100939999999</v>
      </c>
      <c r="Q28" s="299">
        <f t="shared" si="0"/>
        <v>2066.3100939999999</v>
      </c>
      <c r="R28" s="300" t="s">
        <v>230</v>
      </c>
      <c r="S28" s="300" t="s">
        <v>12</v>
      </c>
      <c r="T28" s="305" t="s">
        <v>530</v>
      </c>
      <c r="U28" s="306">
        <v>15</v>
      </c>
      <c r="V28" s="305">
        <v>5</v>
      </c>
      <c r="W28" s="303">
        <v>0.7</v>
      </c>
      <c r="X28" s="303">
        <v>0.7</v>
      </c>
      <c r="Y28" s="303">
        <v>0.7</v>
      </c>
      <c r="Z28" s="303">
        <v>1700</v>
      </c>
      <c r="AA28" s="303" t="s">
        <v>531</v>
      </c>
      <c r="AB28" s="303">
        <v>0.85</v>
      </c>
      <c r="AC28" s="303" t="s">
        <v>532</v>
      </c>
      <c r="AD28" s="303" t="s">
        <v>533</v>
      </c>
      <c r="AE28" s="303">
        <v>220</v>
      </c>
      <c r="AF28" s="134"/>
      <c r="AG28" s="301"/>
    </row>
    <row r="29" spans="1:33" ht="15.75">
      <c r="A29" s="302" t="s">
        <v>567</v>
      </c>
      <c r="B29" s="303">
        <v>4</v>
      </c>
      <c r="C29" s="303">
        <v>41</v>
      </c>
      <c r="D29" s="303" t="s">
        <v>565</v>
      </c>
      <c r="E29" s="303">
        <v>1.5</v>
      </c>
      <c r="F29" s="304">
        <v>45407.500694444447</v>
      </c>
      <c r="G29" s="303">
        <v>1</v>
      </c>
      <c r="H29" s="303">
        <v>51.370800000000003</v>
      </c>
      <c r="I29" s="303">
        <v>7.1469699999999996</v>
      </c>
      <c r="J29" s="303">
        <v>-20.729687999999999</v>
      </c>
      <c r="K29" s="303">
        <v>-19.880375000000001</v>
      </c>
      <c r="L29" s="303">
        <v>983.78599999999994</v>
      </c>
      <c r="M29" s="303">
        <v>117.500041</v>
      </c>
      <c r="N29" s="303">
        <v>17645.32156</v>
      </c>
      <c r="O29" s="303">
        <v>17647.534919999998</v>
      </c>
      <c r="P29" s="305">
        <v>2066.3100939999999</v>
      </c>
      <c r="Q29" s="299">
        <f t="shared" si="0"/>
        <v>2066.3100939999999</v>
      </c>
      <c r="R29" s="300" t="s">
        <v>230</v>
      </c>
      <c r="S29" s="300" t="s">
        <v>12</v>
      </c>
      <c r="T29" s="305" t="s">
        <v>530</v>
      </c>
      <c r="U29" s="306">
        <v>15</v>
      </c>
      <c r="V29" s="305">
        <v>5</v>
      </c>
      <c r="W29" s="303">
        <v>0.7</v>
      </c>
      <c r="X29" s="303">
        <v>0.7</v>
      </c>
      <c r="Y29" s="303">
        <v>0.7</v>
      </c>
      <c r="Z29" s="303">
        <v>1700</v>
      </c>
      <c r="AA29" s="303" t="s">
        <v>531</v>
      </c>
      <c r="AB29" s="303">
        <v>0.85</v>
      </c>
      <c r="AC29" s="303" t="s">
        <v>532</v>
      </c>
      <c r="AD29" s="303" t="s">
        <v>533</v>
      </c>
      <c r="AE29" s="303">
        <v>220</v>
      </c>
      <c r="AF29" s="134"/>
      <c r="AG29" s="301"/>
    </row>
    <row r="30" spans="1:33" ht="15.75">
      <c r="A30" s="302" t="s">
        <v>568</v>
      </c>
      <c r="B30" s="303">
        <v>4</v>
      </c>
      <c r="C30" s="303">
        <v>41</v>
      </c>
      <c r="D30" s="303" t="s">
        <v>565</v>
      </c>
      <c r="E30" s="303">
        <v>1.5</v>
      </c>
      <c r="F30" s="304">
        <v>45407.504861111112</v>
      </c>
      <c r="G30" s="303">
        <v>1</v>
      </c>
      <c r="H30" s="303">
        <v>51.3675</v>
      </c>
      <c r="I30" s="303">
        <v>7.0990200000000003</v>
      </c>
      <c r="J30" s="303">
        <v>-20.802219000000001</v>
      </c>
      <c r="K30" s="303">
        <v>-19.976831000000001</v>
      </c>
      <c r="L30" s="303">
        <v>983.66700000000003</v>
      </c>
      <c r="M30" s="303">
        <v>155.000417</v>
      </c>
      <c r="N30" s="303">
        <v>17663.225849999999</v>
      </c>
      <c r="O30" s="303">
        <v>17647.534919999998</v>
      </c>
      <c r="P30" s="305">
        <v>2066.3100939999999</v>
      </c>
      <c r="Q30" s="299">
        <f t="shared" si="0"/>
        <v>2066.3100939999999</v>
      </c>
      <c r="R30" s="300" t="s">
        <v>230</v>
      </c>
      <c r="S30" s="300" t="s">
        <v>12</v>
      </c>
      <c r="T30" s="305" t="s">
        <v>530</v>
      </c>
      <c r="U30" s="306">
        <v>15</v>
      </c>
      <c r="V30" s="305">
        <v>5</v>
      </c>
      <c r="W30" s="303">
        <v>0.7</v>
      </c>
      <c r="X30" s="303">
        <v>0.7</v>
      </c>
      <c r="Y30" s="303">
        <v>0.7</v>
      </c>
      <c r="Z30" s="303">
        <v>1700</v>
      </c>
      <c r="AA30" s="303" t="s">
        <v>531</v>
      </c>
      <c r="AB30" s="303">
        <v>0.85</v>
      </c>
      <c r="AC30" s="303" t="s">
        <v>532</v>
      </c>
      <c r="AD30" s="303" t="s">
        <v>533</v>
      </c>
      <c r="AE30" s="303">
        <v>220</v>
      </c>
      <c r="AF30" s="134"/>
      <c r="AG30" s="301"/>
    </row>
    <row r="31" spans="1:33" ht="15.75">
      <c r="A31" s="302" t="s">
        <v>569</v>
      </c>
      <c r="B31" s="303">
        <v>5</v>
      </c>
      <c r="C31" s="303">
        <v>1</v>
      </c>
      <c r="D31" s="303" t="s">
        <v>570</v>
      </c>
      <c r="E31" s="303">
        <v>1.5</v>
      </c>
      <c r="F31" s="304">
        <v>45407.509027777778</v>
      </c>
      <c r="G31" s="303">
        <v>1</v>
      </c>
      <c r="H31" s="303">
        <v>51.370800000000003</v>
      </c>
      <c r="I31" s="303">
        <v>7.1010400000000002</v>
      </c>
      <c r="J31" s="303">
        <v>-20.594000000000001</v>
      </c>
      <c r="K31" s="303">
        <v>-19.744062</v>
      </c>
      <c r="L31" s="303">
        <v>991.24199999999996</v>
      </c>
      <c r="M31" s="303">
        <v>110.000021</v>
      </c>
      <c r="N31" s="303">
        <v>17741.76166</v>
      </c>
      <c r="O31" s="303">
        <v>17832.151750000001</v>
      </c>
      <c r="P31" s="305">
        <v>2087.9092190000001</v>
      </c>
      <c r="Q31" s="299">
        <f t="shared" si="0"/>
        <v>2087.9092190000001</v>
      </c>
      <c r="R31" s="300" t="s">
        <v>230</v>
      </c>
      <c r="S31" s="300" t="s">
        <v>12</v>
      </c>
      <c r="T31" s="305" t="s">
        <v>545</v>
      </c>
      <c r="U31" s="306">
        <v>15</v>
      </c>
      <c r="V31" s="305">
        <v>5</v>
      </c>
      <c r="W31" s="303">
        <v>0.7</v>
      </c>
      <c r="X31" s="303">
        <v>0.7</v>
      </c>
      <c r="Y31" s="303">
        <v>0.7</v>
      </c>
      <c r="Z31" s="303">
        <v>1700</v>
      </c>
      <c r="AA31" s="303" t="s">
        <v>531</v>
      </c>
      <c r="AB31" s="303">
        <v>0.85</v>
      </c>
      <c r="AC31" s="303" t="s">
        <v>532</v>
      </c>
      <c r="AD31" s="303" t="s">
        <v>533</v>
      </c>
      <c r="AE31" s="303">
        <v>220</v>
      </c>
      <c r="AF31" s="134"/>
      <c r="AG31" s="301"/>
    </row>
    <row r="32" spans="1:33" ht="15.75">
      <c r="A32" s="302" t="s">
        <v>571</v>
      </c>
      <c r="B32" s="303">
        <v>5</v>
      </c>
      <c r="C32" s="303">
        <v>1</v>
      </c>
      <c r="D32" s="303" t="s">
        <v>570</v>
      </c>
      <c r="E32" s="303">
        <v>1.5</v>
      </c>
      <c r="F32" s="304">
        <v>45407.512499999997</v>
      </c>
      <c r="G32" s="303">
        <v>1</v>
      </c>
      <c r="H32" s="303">
        <v>51.364100000000001</v>
      </c>
      <c r="I32" s="303">
        <v>6.98034</v>
      </c>
      <c r="J32" s="303">
        <v>-20.875212000000001</v>
      </c>
      <c r="K32" s="303">
        <v>-20.031130999999998</v>
      </c>
      <c r="L32" s="303">
        <v>991.404</v>
      </c>
      <c r="M32" s="303">
        <v>129.50025299999999</v>
      </c>
      <c r="N32" s="303">
        <v>17837.629219999999</v>
      </c>
      <c r="O32" s="303">
        <v>17832.151750000001</v>
      </c>
      <c r="P32" s="305">
        <v>2087.9092190000001</v>
      </c>
      <c r="Q32" s="299">
        <f t="shared" si="0"/>
        <v>2087.9092190000001</v>
      </c>
      <c r="R32" s="300" t="s">
        <v>230</v>
      </c>
      <c r="S32" s="300" t="s">
        <v>12</v>
      </c>
      <c r="T32" s="305" t="s">
        <v>530</v>
      </c>
      <c r="U32" s="306">
        <v>15</v>
      </c>
      <c r="V32" s="305">
        <v>5</v>
      </c>
      <c r="W32" s="303">
        <v>0.7</v>
      </c>
      <c r="X32" s="303">
        <v>0.7</v>
      </c>
      <c r="Y32" s="303">
        <v>0.7</v>
      </c>
      <c r="Z32" s="303">
        <v>1700</v>
      </c>
      <c r="AA32" s="303" t="s">
        <v>531</v>
      </c>
      <c r="AB32" s="303">
        <v>0.85</v>
      </c>
      <c r="AC32" s="303" t="s">
        <v>532</v>
      </c>
      <c r="AD32" s="303" t="s">
        <v>533</v>
      </c>
      <c r="AE32" s="303">
        <v>220</v>
      </c>
      <c r="AF32" s="134"/>
      <c r="AG32" s="301"/>
    </row>
    <row r="33" spans="1:33" ht="15.75">
      <c r="A33" s="302" t="s">
        <v>572</v>
      </c>
      <c r="B33" s="303">
        <v>5</v>
      </c>
      <c r="C33" s="303">
        <v>1</v>
      </c>
      <c r="D33" s="303" t="s">
        <v>570</v>
      </c>
      <c r="E33" s="303">
        <v>1.5</v>
      </c>
      <c r="F33" s="304">
        <v>45407.515972222223</v>
      </c>
      <c r="G33" s="303">
        <v>1</v>
      </c>
      <c r="H33" s="303">
        <v>51.374099999999999</v>
      </c>
      <c r="I33" s="303">
        <v>6.9648599999999998</v>
      </c>
      <c r="J33" s="303">
        <v>-20.858381000000001</v>
      </c>
      <c r="K33" s="303">
        <v>-20.009450000000001</v>
      </c>
      <c r="L33" s="303">
        <v>997.77300000000002</v>
      </c>
      <c r="M33" s="303">
        <v>130.49774099999999</v>
      </c>
      <c r="N33" s="303">
        <v>17830.740280000002</v>
      </c>
      <c r="O33" s="303">
        <v>17832.151750000001</v>
      </c>
      <c r="P33" s="305">
        <v>2087.9092190000001</v>
      </c>
      <c r="Q33" s="299">
        <f t="shared" si="0"/>
        <v>2087.9092190000001</v>
      </c>
      <c r="R33" s="300" t="s">
        <v>230</v>
      </c>
      <c r="S33" s="300" t="s">
        <v>12</v>
      </c>
      <c r="T33" s="305" t="s">
        <v>530</v>
      </c>
      <c r="U33" s="306">
        <v>15</v>
      </c>
      <c r="V33" s="305">
        <v>5</v>
      </c>
      <c r="W33" s="303">
        <v>0.7</v>
      </c>
      <c r="X33" s="303">
        <v>0.7</v>
      </c>
      <c r="Y33" s="303">
        <v>0.7</v>
      </c>
      <c r="Z33" s="303">
        <v>1700</v>
      </c>
      <c r="AA33" s="303" t="s">
        <v>531</v>
      </c>
      <c r="AB33" s="303">
        <v>0.85</v>
      </c>
      <c r="AC33" s="303" t="s">
        <v>532</v>
      </c>
      <c r="AD33" s="303" t="s">
        <v>533</v>
      </c>
      <c r="AE33" s="303">
        <v>220</v>
      </c>
      <c r="AF33" s="134"/>
      <c r="AG33" s="301"/>
    </row>
    <row r="34" spans="1:33" ht="15.75">
      <c r="A34" s="302" t="s">
        <v>573</v>
      </c>
      <c r="B34" s="303">
        <v>5</v>
      </c>
      <c r="C34" s="303">
        <v>1</v>
      </c>
      <c r="D34" s="303" t="s">
        <v>570</v>
      </c>
      <c r="E34" s="303">
        <v>1.5</v>
      </c>
      <c r="F34" s="304">
        <v>45407.519444444442</v>
      </c>
      <c r="G34" s="303">
        <v>1</v>
      </c>
      <c r="H34" s="303">
        <v>51.370800000000003</v>
      </c>
      <c r="I34" s="303">
        <v>6.9649900000000002</v>
      </c>
      <c r="J34" s="303">
        <v>-20.663343999999999</v>
      </c>
      <c r="K34" s="303">
        <v>-19.823131</v>
      </c>
      <c r="L34" s="303">
        <v>980.53599999999994</v>
      </c>
      <c r="M34" s="303">
        <v>136.50096199999999</v>
      </c>
      <c r="N34" s="303">
        <v>17828.085749999998</v>
      </c>
      <c r="O34" s="303">
        <v>17832.151750000001</v>
      </c>
      <c r="P34" s="305">
        <v>2087.9092190000001</v>
      </c>
      <c r="Q34" s="299">
        <f t="shared" si="0"/>
        <v>2087.9092190000001</v>
      </c>
      <c r="R34" s="300" t="s">
        <v>230</v>
      </c>
      <c r="S34" s="300" t="s">
        <v>12</v>
      </c>
      <c r="T34" s="305" t="s">
        <v>530</v>
      </c>
      <c r="U34" s="306">
        <v>15</v>
      </c>
      <c r="V34" s="305">
        <v>5</v>
      </c>
      <c r="W34" s="303">
        <v>0.7</v>
      </c>
      <c r="X34" s="303">
        <v>0.7</v>
      </c>
      <c r="Y34" s="303">
        <v>0.7</v>
      </c>
      <c r="Z34" s="303">
        <v>1700</v>
      </c>
      <c r="AA34" s="303" t="s">
        <v>531</v>
      </c>
      <c r="AB34" s="303">
        <v>0.85</v>
      </c>
      <c r="AC34" s="303" t="s">
        <v>532</v>
      </c>
      <c r="AD34" s="303" t="s">
        <v>533</v>
      </c>
      <c r="AE34" s="303">
        <v>220</v>
      </c>
      <c r="AF34" s="134"/>
      <c r="AG34" s="301"/>
    </row>
    <row r="35" spans="1:33" ht="15.75">
      <c r="A35" s="302" t="s">
        <v>574</v>
      </c>
      <c r="B35" s="303">
        <v>6</v>
      </c>
      <c r="C35" s="303">
        <v>2</v>
      </c>
      <c r="D35" s="303" t="s">
        <v>575</v>
      </c>
      <c r="E35" s="303">
        <v>1.5</v>
      </c>
      <c r="F35" s="304">
        <v>45407.524305555555</v>
      </c>
      <c r="G35" s="303">
        <v>1</v>
      </c>
      <c r="H35" s="303">
        <v>51.374099999999999</v>
      </c>
      <c r="I35" s="303">
        <v>6.9584599999999996</v>
      </c>
      <c r="J35" s="303">
        <v>-20.697887999999999</v>
      </c>
      <c r="K35" s="303">
        <v>-19.907174999999999</v>
      </c>
      <c r="L35" s="303">
        <v>988.029</v>
      </c>
      <c r="M35" s="303">
        <v>125.498994</v>
      </c>
      <c r="N35" s="303">
        <v>17695.79999</v>
      </c>
      <c r="O35" s="303">
        <v>17703.82717</v>
      </c>
      <c r="P35" s="305">
        <v>2072.8716549999999</v>
      </c>
      <c r="Q35" s="299">
        <f t="shared" si="0"/>
        <v>2072.8716549999999</v>
      </c>
      <c r="R35" s="300" t="s">
        <v>230</v>
      </c>
      <c r="S35" s="300" t="s">
        <v>12</v>
      </c>
      <c r="T35" s="305" t="s">
        <v>530</v>
      </c>
      <c r="U35" s="306">
        <v>15</v>
      </c>
      <c r="V35" s="305">
        <v>5</v>
      </c>
      <c r="W35" s="303">
        <v>0.7</v>
      </c>
      <c r="X35" s="303">
        <v>0.7</v>
      </c>
      <c r="Y35" s="303">
        <v>0.7</v>
      </c>
      <c r="Z35" s="303">
        <v>1700</v>
      </c>
      <c r="AA35" s="303" t="s">
        <v>531</v>
      </c>
      <c r="AB35" s="303">
        <v>0.85</v>
      </c>
      <c r="AC35" s="303" t="s">
        <v>532</v>
      </c>
      <c r="AD35" s="303" t="s">
        <v>533</v>
      </c>
      <c r="AE35" s="303">
        <v>220</v>
      </c>
      <c r="AF35" s="134"/>
      <c r="AG35" s="301"/>
    </row>
    <row r="36" spans="1:33" ht="15.75">
      <c r="A36" s="302" t="s">
        <v>576</v>
      </c>
      <c r="B36" s="303">
        <v>6</v>
      </c>
      <c r="C36" s="303">
        <v>2</v>
      </c>
      <c r="D36" s="303" t="s">
        <v>575</v>
      </c>
      <c r="E36" s="303">
        <v>1.5</v>
      </c>
      <c r="F36" s="304">
        <v>45407.527777777781</v>
      </c>
      <c r="G36" s="303">
        <v>1</v>
      </c>
      <c r="H36" s="303">
        <v>51.370800000000003</v>
      </c>
      <c r="I36" s="303">
        <v>6.9609500000000004</v>
      </c>
      <c r="J36" s="303">
        <v>-20.736499999999999</v>
      </c>
      <c r="K36" s="303">
        <v>-19.890094000000001</v>
      </c>
      <c r="L36" s="303">
        <v>987.45500000000004</v>
      </c>
      <c r="M36" s="303">
        <v>129.999751</v>
      </c>
      <c r="N36" s="303">
        <v>17733.193299999999</v>
      </c>
      <c r="O36" s="303">
        <v>17703.82717</v>
      </c>
      <c r="P36" s="305">
        <v>2072.8716549999999</v>
      </c>
      <c r="Q36" s="299">
        <f t="shared" si="0"/>
        <v>2072.8716549999999</v>
      </c>
      <c r="R36" s="300" t="s">
        <v>230</v>
      </c>
      <c r="S36" s="300" t="s">
        <v>12</v>
      </c>
      <c r="T36" s="305" t="s">
        <v>545</v>
      </c>
      <c r="U36" s="306">
        <v>15</v>
      </c>
      <c r="V36" s="305">
        <v>5</v>
      </c>
      <c r="W36" s="303">
        <v>0.7</v>
      </c>
      <c r="X36" s="303">
        <v>0.7</v>
      </c>
      <c r="Y36" s="303">
        <v>0.7</v>
      </c>
      <c r="Z36" s="303">
        <v>1700</v>
      </c>
      <c r="AA36" s="303" t="s">
        <v>531</v>
      </c>
      <c r="AB36" s="303">
        <v>0.85</v>
      </c>
      <c r="AC36" s="303" t="s">
        <v>532</v>
      </c>
      <c r="AD36" s="303" t="s">
        <v>533</v>
      </c>
      <c r="AE36" s="303">
        <v>220</v>
      </c>
      <c r="AF36" s="134"/>
      <c r="AG36" s="301"/>
    </row>
    <row r="37" spans="1:33" ht="15.75">
      <c r="A37" s="302" t="s">
        <v>577</v>
      </c>
      <c r="B37" s="303">
        <v>6</v>
      </c>
      <c r="C37" s="303">
        <v>2</v>
      </c>
      <c r="D37" s="303" t="s">
        <v>575</v>
      </c>
      <c r="E37" s="303">
        <v>1.5</v>
      </c>
      <c r="F37" s="304">
        <v>45407.53125</v>
      </c>
      <c r="G37" s="303">
        <v>1</v>
      </c>
      <c r="H37" s="303">
        <v>51.370800000000003</v>
      </c>
      <c r="I37" s="303">
        <v>7.0167900000000003</v>
      </c>
      <c r="J37" s="303">
        <v>-20.704363000000001</v>
      </c>
      <c r="K37" s="303">
        <v>-19.867144</v>
      </c>
      <c r="L37" s="303">
        <v>992.79499999999996</v>
      </c>
      <c r="M37" s="303">
        <v>113.998964</v>
      </c>
      <c r="N37" s="303">
        <v>17717.17913</v>
      </c>
      <c r="O37" s="303">
        <v>17703.82717</v>
      </c>
      <c r="P37" s="305">
        <v>2072.8716549999999</v>
      </c>
      <c r="Q37" s="299">
        <f t="shared" si="0"/>
        <v>2072.8716549999999</v>
      </c>
      <c r="R37" s="300" t="s">
        <v>230</v>
      </c>
      <c r="S37" s="300" t="s">
        <v>12</v>
      </c>
      <c r="T37" s="305" t="s">
        <v>530</v>
      </c>
      <c r="U37" s="306">
        <v>15</v>
      </c>
      <c r="V37" s="305">
        <v>5</v>
      </c>
      <c r="W37" s="303">
        <v>0.7</v>
      </c>
      <c r="X37" s="303">
        <v>0.7</v>
      </c>
      <c r="Y37" s="303">
        <v>0.7</v>
      </c>
      <c r="Z37" s="303">
        <v>1700</v>
      </c>
      <c r="AA37" s="303" t="s">
        <v>531</v>
      </c>
      <c r="AB37" s="303">
        <v>0.85</v>
      </c>
      <c r="AC37" s="303" t="s">
        <v>532</v>
      </c>
      <c r="AD37" s="303" t="s">
        <v>533</v>
      </c>
      <c r="AE37" s="303">
        <v>220</v>
      </c>
      <c r="AF37" s="134"/>
      <c r="AG37" s="301"/>
    </row>
    <row r="38" spans="1:33" ht="15.75">
      <c r="A38" s="302" t="s">
        <v>578</v>
      </c>
      <c r="B38" s="303">
        <v>6</v>
      </c>
      <c r="C38" s="303">
        <v>2</v>
      </c>
      <c r="D38" s="303" t="s">
        <v>575</v>
      </c>
      <c r="E38" s="303">
        <v>1.5</v>
      </c>
      <c r="F38" s="304">
        <v>45407.534722222219</v>
      </c>
      <c r="G38" s="303">
        <v>1</v>
      </c>
      <c r="H38" s="303">
        <v>51.377400000000002</v>
      </c>
      <c r="I38" s="303">
        <v>6.98773</v>
      </c>
      <c r="J38" s="303">
        <v>-20.718105999999999</v>
      </c>
      <c r="K38" s="303">
        <v>-19.916138</v>
      </c>
      <c r="L38" s="303">
        <v>976.16499999999996</v>
      </c>
      <c r="M38" s="303">
        <v>164.00131300000001</v>
      </c>
      <c r="N38" s="303">
        <v>17670.141479999998</v>
      </c>
      <c r="O38" s="303">
        <v>17703.82717</v>
      </c>
      <c r="P38" s="305">
        <v>2072.8716549999999</v>
      </c>
      <c r="Q38" s="299">
        <f t="shared" si="0"/>
        <v>2072.8716549999999</v>
      </c>
      <c r="R38" s="300" t="s">
        <v>230</v>
      </c>
      <c r="S38" s="300" t="s">
        <v>12</v>
      </c>
      <c r="T38" s="305" t="s">
        <v>545</v>
      </c>
      <c r="U38" s="306">
        <v>15</v>
      </c>
      <c r="V38" s="305">
        <v>5</v>
      </c>
      <c r="W38" s="303">
        <v>0.7</v>
      </c>
      <c r="X38" s="303">
        <v>0.7</v>
      </c>
      <c r="Y38" s="303">
        <v>0.7</v>
      </c>
      <c r="Z38" s="303">
        <v>1700</v>
      </c>
      <c r="AA38" s="303" t="s">
        <v>531</v>
      </c>
      <c r="AB38" s="303">
        <v>0.85</v>
      </c>
      <c r="AC38" s="303" t="s">
        <v>532</v>
      </c>
      <c r="AD38" s="303" t="s">
        <v>533</v>
      </c>
      <c r="AE38" s="303">
        <v>220</v>
      </c>
      <c r="AF38" s="134"/>
      <c r="AG38" s="301"/>
    </row>
    <row r="39" spans="1:33" ht="15.75">
      <c r="A39" s="302" t="s">
        <v>579</v>
      </c>
      <c r="B39" s="303">
        <v>6</v>
      </c>
      <c r="C39" s="303">
        <v>2</v>
      </c>
      <c r="D39" s="303" t="s">
        <v>575</v>
      </c>
      <c r="E39" s="303">
        <v>1.5</v>
      </c>
      <c r="F39" s="304">
        <v>45407.538888888892</v>
      </c>
      <c r="G39" s="303">
        <v>1</v>
      </c>
      <c r="H39" s="303">
        <v>51.370800000000003</v>
      </c>
      <c r="I39" s="303">
        <v>7.0857400000000004</v>
      </c>
      <c r="J39" s="303">
        <v>-20.585750000000001</v>
      </c>
      <c r="K39" s="303">
        <v>-19.753512000000001</v>
      </c>
      <c r="L39" s="303">
        <v>985.65800000000002</v>
      </c>
      <c r="M39" s="303">
        <v>143.49960899999999</v>
      </c>
      <c r="N39" s="303">
        <v>17698.502380000002</v>
      </c>
      <c r="O39" s="303">
        <v>17703.82717</v>
      </c>
      <c r="P39" s="305">
        <v>2072.8716549999999</v>
      </c>
      <c r="Q39" s="299">
        <f t="shared" si="0"/>
        <v>2072.8716549999999</v>
      </c>
      <c r="R39" s="300" t="s">
        <v>230</v>
      </c>
      <c r="S39" s="300" t="s">
        <v>12</v>
      </c>
      <c r="T39" s="305" t="s">
        <v>530</v>
      </c>
      <c r="U39" s="306">
        <v>15</v>
      </c>
      <c r="V39" s="305">
        <v>5</v>
      </c>
      <c r="W39" s="303">
        <v>0.7</v>
      </c>
      <c r="X39" s="303">
        <v>0.7</v>
      </c>
      <c r="Y39" s="303">
        <v>0.7</v>
      </c>
      <c r="Z39" s="303">
        <v>1700</v>
      </c>
      <c r="AA39" s="303" t="s">
        <v>531</v>
      </c>
      <c r="AB39" s="303">
        <v>0.85</v>
      </c>
      <c r="AC39" s="303" t="s">
        <v>532</v>
      </c>
      <c r="AD39" s="303" t="s">
        <v>533</v>
      </c>
      <c r="AE39" s="303">
        <v>220</v>
      </c>
      <c r="AF39" s="134"/>
      <c r="AG39" s="301"/>
    </row>
    <row r="40" spans="1:33" ht="15.75">
      <c r="A40" s="302" t="s">
        <v>580</v>
      </c>
      <c r="B40" s="303">
        <v>7</v>
      </c>
      <c r="C40" s="303">
        <v>14</v>
      </c>
      <c r="D40" s="303" t="s">
        <v>581</v>
      </c>
      <c r="E40" s="303">
        <v>1.5</v>
      </c>
      <c r="F40" s="304">
        <v>45407.543055555558</v>
      </c>
      <c r="G40" s="303">
        <v>1</v>
      </c>
      <c r="H40" s="303">
        <v>51.370800000000003</v>
      </c>
      <c r="I40" s="303">
        <v>7.0733499999999996</v>
      </c>
      <c r="J40" s="303">
        <v>-20.696731</v>
      </c>
      <c r="K40" s="303">
        <v>-19.849250000000001</v>
      </c>
      <c r="L40" s="303">
        <v>975.37699999999995</v>
      </c>
      <c r="M40" s="303">
        <v>123.000722</v>
      </c>
      <c r="N40" s="303">
        <v>17692.550210000001</v>
      </c>
      <c r="O40" s="303">
        <v>0</v>
      </c>
      <c r="P40" s="305">
        <v>0</v>
      </c>
      <c r="Q40" s="299">
        <f t="shared" si="0"/>
        <v>0</v>
      </c>
      <c r="R40" s="300" t="s">
        <v>230</v>
      </c>
      <c r="S40" s="300" t="s">
        <v>582</v>
      </c>
      <c r="T40" s="305" t="s">
        <v>583</v>
      </c>
      <c r="U40" s="306">
        <v>15</v>
      </c>
      <c r="V40" s="305">
        <v>5</v>
      </c>
      <c r="W40" s="303">
        <v>0.7</v>
      </c>
      <c r="X40" s="303">
        <v>0.7</v>
      </c>
      <c r="Y40" s="303">
        <v>0.7</v>
      </c>
      <c r="Z40" s="303">
        <v>1700</v>
      </c>
      <c r="AA40" s="303" t="s">
        <v>531</v>
      </c>
      <c r="AB40" s="303">
        <v>0.85</v>
      </c>
      <c r="AC40" s="303" t="s">
        <v>532</v>
      </c>
      <c r="AD40" s="303" t="s">
        <v>533</v>
      </c>
      <c r="AE40" s="303">
        <v>220</v>
      </c>
      <c r="AF40" s="134"/>
      <c r="AG40" s="301"/>
    </row>
    <row r="41" spans="1:33" ht="15.75">
      <c r="A41" s="302" t="s">
        <v>584</v>
      </c>
      <c r="B41" s="303">
        <v>7</v>
      </c>
      <c r="C41" s="303">
        <v>14</v>
      </c>
      <c r="D41" s="303" t="s">
        <v>581</v>
      </c>
      <c r="E41" s="303">
        <v>1.5</v>
      </c>
      <c r="F41" s="304">
        <v>45407.546527777777</v>
      </c>
      <c r="G41" s="303">
        <v>1</v>
      </c>
      <c r="H41" s="303">
        <v>51.377400000000002</v>
      </c>
      <c r="I41" s="303">
        <v>7.0541700000000001</v>
      </c>
      <c r="J41" s="303">
        <v>-20.760400000000001</v>
      </c>
      <c r="K41" s="303">
        <v>-19.913568999999999</v>
      </c>
      <c r="L41" s="303">
        <v>991.08600000000001</v>
      </c>
      <c r="M41" s="303">
        <v>123.000288</v>
      </c>
      <c r="N41" s="303">
        <v>17743.496289999999</v>
      </c>
      <c r="O41" s="303">
        <v>0</v>
      </c>
      <c r="P41" s="305">
        <v>0</v>
      </c>
      <c r="Q41" s="299">
        <f t="shared" si="0"/>
        <v>0</v>
      </c>
      <c r="R41" s="300" t="s">
        <v>230</v>
      </c>
      <c r="S41" s="300" t="s">
        <v>582</v>
      </c>
      <c r="T41" s="305" t="s">
        <v>583</v>
      </c>
      <c r="U41" s="306">
        <v>15</v>
      </c>
      <c r="V41" s="305">
        <v>5</v>
      </c>
      <c r="W41" s="303">
        <v>0.7</v>
      </c>
      <c r="X41" s="303">
        <v>0.7</v>
      </c>
      <c r="Y41" s="303">
        <v>0.7</v>
      </c>
      <c r="Z41" s="303">
        <v>1700</v>
      </c>
      <c r="AA41" s="303" t="s">
        <v>531</v>
      </c>
      <c r="AB41" s="303">
        <v>0.85</v>
      </c>
      <c r="AC41" s="303" t="s">
        <v>532</v>
      </c>
      <c r="AD41" s="303" t="s">
        <v>533</v>
      </c>
      <c r="AE41" s="303">
        <v>220</v>
      </c>
      <c r="AF41" s="134"/>
      <c r="AG41" s="301"/>
    </row>
    <row r="42" spans="1:33" ht="15.75">
      <c r="A42" s="302" t="s">
        <v>585</v>
      </c>
      <c r="B42" s="303">
        <v>7</v>
      </c>
      <c r="C42" s="303">
        <v>14</v>
      </c>
      <c r="D42" s="303" t="s">
        <v>581</v>
      </c>
      <c r="E42" s="303">
        <v>1.5</v>
      </c>
      <c r="F42" s="304">
        <v>45407.550694444442</v>
      </c>
      <c r="G42" s="303">
        <v>1</v>
      </c>
      <c r="H42" s="303">
        <v>51.370800000000003</v>
      </c>
      <c r="I42" s="303">
        <v>7.0510400000000004</v>
      </c>
      <c r="J42" s="303">
        <v>-20.754494000000001</v>
      </c>
      <c r="K42" s="303">
        <v>-19.905631</v>
      </c>
      <c r="L42" s="303">
        <v>986.93</v>
      </c>
      <c r="M42" s="303">
        <v>119.49897</v>
      </c>
      <c r="N42" s="303">
        <v>17673.867770000001</v>
      </c>
      <c r="O42" s="303">
        <v>0</v>
      </c>
      <c r="P42" s="305">
        <v>0</v>
      </c>
      <c r="Q42" s="299">
        <f t="shared" si="0"/>
        <v>0</v>
      </c>
      <c r="R42" s="300" t="s">
        <v>230</v>
      </c>
      <c r="S42" s="300" t="s">
        <v>582</v>
      </c>
      <c r="T42" s="305" t="s">
        <v>583</v>
      </c>
      <c r="U42" s="306">
        <v>15</v>
      </c>
      <c r="V42" s="305">
        <v>5</v>
      </c>
      <c r="W42" s="303">
        <v>0.7</v>
      </c>
      <c r="X42" s="303">
        <v>0.7</v>
      </c>
      <c r="Y42" s="303">
        <v>0.7</v>
      </c>
      <c r="Z42" s="303">
        <v>1700</v>
      </c>
      <c r="AA42" s="303" t="s">
        <v>531</v>
      </c>
      <c r="AB42" s="303">
        <v>0.85</v>
      </c>
      <c r="AC42" s="303" t="s">
        <v>532</v>
      </c>
      <c r="AD42" s="303" t="s">
        <v>533</v>
      </c>
      <c r="AE42" s="303">
        <v>220</v>
      </c>
      <c r="AF42" s="134"/>
      <c r="AG42" s="301"/>
    </row>
    <row r="43" spans="1:33" ht="15.75">
      <c r="A43" s="302" t="s">
        <v>586</v>
      </c>
      <c r="B43" s="303">
        <v>7</v>
      </c>
      <c r="C43" s="303">
        <v>14</v>
      </c>
      <c r="D43" s="303" t="s">
        <v>581</v>
      </c>
      <c r="E43" s="303">
        <v>1.5</v>
      </c>
      <c r="F43" s="304">
        <v>45407.554166666669</v>
      </c>
      <c r="G43" s="303">
        <v>1</v>
      </c>
      <c r="H43" s="303">
        <v>51.374099999999999</v>
      </c>
      <c r="I43" s="303">
        <v>7.0798500000000004</v>
      </c>
      <c r="J43" s="303">
        <v>-20.689243999999999</v>
      </c>
      <c r="K43" s="303">
        <v>-19.865175000000001</v>
      </c>
      <c r="L43" s="303">
        <v>991.48699999999997</v>
      </c>
      <c r="M43" s="303">
        <v>168.00070199999999</v>
      </c>
      <c r="N43" s="303">
        <v>17735.439470000001</v>
      </c>
      <c r="O43" s="303">
        <v>0</v>
      </c>
      <c r="P43" s="305">
        <v>0</v>
      </c>
      <c r="Q43" s="299">
        <f t="shared" si="0"/>
        <v>0</v>
      </c>
      <c r="R43" s="300" t="s">
        <v>230</v>
      </c>
      <c r="S43" s="300" t="s">
        <v>582</v>
      </c>
      <c r="T43" s="305" t="s">
        <v>583</v>
      </c>
      <c r="U43" s="306">
        <v>15</v>
      </c>
      <c r="V43" s="305">
        <v>5</v>
      </c>
      <c r="W43" s="303">
        <v>0.7</v>
      </c>
      <c r="X43" s="303">
        <v>0.7</v>
      </c>
      <c r="Y43" s="303">
        <v>0.7</v>
      </c>
      <c r="Z43" s="303">
        <v>1700</v>
      </c>
      <c r="AA43" s="303" t="s">
        <v>531</v>
      </c>
      <c r="AB43" s="303">
        <v>0.85</v>
      </c>
      <c r="AC43" s="303" t="s">
        <v>532</v>
      </c>
      <c r="AD43" s="303" t="s">
        <v>533</v>
      </c>
      <c r="AE43" s="303">
        <v>220</v>
      </c>
      <c r="AF43" s="134"/>
      <c r="AG43" s="301"/>
    </row>
    <row r="44" spans="1:33" ht="15.75">
      <c r="A44" s="302" t="s">
        <v>587</v>
      </c>
      <c r="B44" s="303">
        <v>7</v>
      </c>
      <c r="C44" s="303">
        <v>14</v>
      </c>
      <c r="D44" s="303" t="s">
        <v>581</v>
      </c>
      <c r="E44" s="303">
        <v>1.5</v>
      </c>
      <c r="F44" s="304">
        <v>45407.558333333334</v>
      </c>
      <c r="G44" s="303">
        <v>1</v>
      </c>
      <c r="H44" s="303">
        <v>51.370800000000003</v>
      </c>
      <c r="I44" s="303">
        <v>7.1144600000000002</v>
      </c>
      <c r="J44" s="303">
        <v>-20.571531</v>
      </c>
      <c r="K44" s="303">
        <v>-19.729375000000001</v>
      </c>
      <c r="L44" s="303">
        <v>968.76199999999994</v>
      </c>
      <c r="M44" s="303">
        <v>115.999875</v>
      </c>
      <c r="N44" s="303">
        <v>17648.21861</v>
      </c>
      <c r="O44" s="303">
        <v>0</v>
      </c>
      <c r="P44" s="305">
        <v>0</v>
      </c>
      <c r="Q44" s="299">
        <f t="shared" si="0"/>
        <v>0</v>
      </c>
      <c r="R44" s="300" t="s">
        <v>230</v>
      </c>
      <c r="S44" s="300" t="s">
        <v>582</v>
      </c>
      <c r="T44" s="305" t="s">
        <v>583</v>
      </c>
      <c r="U44" s="306">
        <v>15</v>
      </c>
      <c r="V44" s="305">
        <v>5</v>
      </c>
      <c r="W44" s="303">
        <v>0.7</v>
      </c>
      <c r="X44" s="303">
        <v>0.7</v>
      </c>
      <c r="Y44" s="303">
        <v>0.7</v>
      </c>
      <c r="Z44" s="303">
        <v>1700</v>
      </c>
      <c r="AA44" s="303" t="s">
        <v>531</v>
      </c>
      <c r="AB44" s="303">
        <v>0.85</v>
      </c>
      <c r="AC44" s="303" t="s">
        <v>532</v>
      </c>
      <c r="AD44" s="303" t="s">
        <v>533</v>
      </c>
      <c r="AE44" s="303">
        <v>220</v>
      </c>
      <c r="AF44" s="134"/>
      <c r="AG44" s="301"/>
    </row>
    <row r="45" spans="1:33" ht="15.75">
      <c r="A45" s="302" t="s">
        <v>588</v>
      </c>
      <c r="B45" s="303">
        <v>7</v>
      </c>
      <c r="C45" s="303">
        <v>14</v>
      </c>
      <c r="D45" s="303" t="s">
        <v>581</v>
      </c>
      <c r="E45" s="303">
        <v>1.5</v>
      </c>
      <c r="F45" s="304">
        <v>45407.561805555553</v>
      </c>
      <c r="G45" s="303">
        <v>2</v>
      </c>
      <c r="H45" s="303">
        <v>51.370800000000003</v>
      </c>
      <c r="I45" s="303">
        <v>7.0986399999999996</v>
      </c>
      <c r="J45" s="303">
        <v>-20.620737999999999</v>
      </c>
      <c r="K45" s="303">
        <v>-19.786638</v>
      </c>
      <c r="L45" s="303">
        <v>984.298</v>
      </c>
      <c r="M45" s="303">
        <v>122.500721</v>
      </c>
      <c r="N45" s="303">
        <v>17696.686860000002</v>
      </c>
      <c r="O45" s="305">
        <v>17740.84492</v>
      </c>
      <c r="P45" s="305">
        <v>2077.2095359999998</v>
      </c>
      <c r="Q45" s="299">
        <f t="shared" si="0"/>
        <v>2077.2095359999998</v>
      </c>
      <c r="R45" s="300" t="s">
        <v>230</v>
      </c>
      <c r="S45" s="300" t="s">
        <v>12</v>
      </c>
      <c r="T45" s="305" t="s">
        <v>545</v>
      </c>
      <c r="U45" s="305">
        <v>15</v>
      </c>
      <c r="V45" s="305">
        <v>5</v>
      </c>
      <c r="W45" s="303">
        <v>0.7</v>
      </c>
      <c r="X45" s="303">
        <v>0.7</v>
      </c>
      <c r="Y45" s="303">
        <v>0.7</v>
      </c>
      <c r="Z45" s="303">
        <v>1700</v>
      </c>
      <c r="AA45" s="303" t="s">
        <v>531</v>
      </c>
      <c r="AB45" s="303">
        <v>0.85</v>
      </c>
      <c r="AC45" s="303" t="s">
        <v>532</v>
      </c>
      <c r="AD45" s="303" t="s">
        <v>533</v>
      </c>
      <c r="AE45" s="303">
        <v>220</v>
      </c>
      <c r="AF45" s="134"/>
      <c r="AG45" s="301"/>
    </row>
    <row r="46" spans="1:33" ht="15.75">
      <c r="A46" s="302" t="s">
        <v>589</v>
      </c>
      <c r="B46" s="303">
        <v>7</v>
      </c>
      <c r="C46" s="303">
        <v>14</v>
      </c>
      <c r="D46" s="303" t="s">
        <v>581</v>
      </c>
      <c r="E46" s="303">
        <v>1.5</v>
      </c>
      <c r="F46" s="304">
        <v>45407.56527777778</v>
      </c>
      <c r="G46" s="303">
        <v>2</v>
      </c>
      <c r="H46" s="303">
        <v>51.377400000000002</v>
      </c>
      <c r="I46" s="303">
        <v>7.1151099999999996</v>
      </c>
      <c r="J46" s="303">
        <v>-20.622513000000001</v>
      </c>
      <c r="K46" s="303">
        <v>-19.796569000000002</v>
      </c>
      <c r="L46" s="303">
        <v>989.92499999999995</v>
      </c>
      <c r="M46" s="303">
        <v>120.999661</v>
      </c>
      <c r="N46" s="303">
        <v>17699.089820000001</v>
      </c>
      <c r="O46" s="305">
        <v>17740.84492</v>
      </c>
      <c r="P46" s="305">
        <v>2077.2095359999998</v>
      </c>
      <c r="Q46" s="299">
        <f t="shared" si="0"/>
        <v>2077.2095359999998</v>
      </c>
      <c r="R46" s="300" t="s">
        <v>230</v>
      </c>
      <c r="S46" s="300" t="s">
        <v>12</v>
      </c>
      <c r="T46" s="305" t="s">
        <v>545</v>
      </c>
      <c r="U46" s="305">
        <v>15</v>
      </c>
      <c r="V46" s="305">
        <v>5</v>
      </c>
      <c r="W46" s="303">
        <v>0.7</v>
      </c>
      <c r="X46" s="303">
        <v>0.7</v>
      </c>
      <c r="Y46" s="303">
        <v>0.7</v>
      </c>
      <c r="Z46" s="303">
        <v>1700</v>
      </c>
      <c r="AA46" s="303" t="s">
        <v>531</v>
      </c>
      <c r="AB46" s="303">
        <v>0.85</v>
      </c>
      <c r="AC46" s="303" t="s">
        <v>532</v>
      </c>
      <c r="AD46" s="303" t="s">
        <v>533</v>
      </c>
      <c r="AE46" s="303">
        <v>220</v>
      </c>
      <c r="AF46" s="134"/>
      <c r="AG46" s="301"/>
    </row>
    <row r="47" spans="1:33" ht="15.75">
      <c r="A47" s="302" t="s">
        <v>590</v>
      </c>
      <c r="B47" s="303">
        <v>7</v>
      </c>
      <c r="C47" s="303">
        <v>14</v>
      </c>
      <c r="D47" s="303" t="s">
        <v>581</v>
      </c>
      <c r="E47" s="303">
        <v>1.5</v>
      </c>
      <c r="F47" s="304">
        <v>45407.568749999999</v>
      </c>
      <c r="G47" s="303">
        <v>2</v>
      </c>
      <c r="H47" s="303">
        <v>51.3675</v>
      </c>
      <c r="I47" s="303">
        <v>7.1493700000000002</v>
      </c>
      <c r="J47" s="303">
        <v>-20.616219000000001</v>
      </c>
      <c r="K47" s="303">
        <v>-19.776299999999999</v>
      </c>
      <c r="L47" s="303">
        <v>983.32100000000003</v>
      </c>
      <c r="M47" s="303">
        <v>185.499402</v>
      </c>
      <c r="N47" s="303">
        <v>17745.772379999999</v>
      </c>
      <c r="O47" s="305">
        <v>17740.84492</v>
      </c>
      <c r="P47" s="305">
        <v>2077.2095359999998</v>
      </c>
      <c r="Q47" s="299">
        <f t="shared" si="0"/>
        <v>2077.2095359999998</v>
      </c>
      <c r="R47" s="300" t="s">
        <v>230</v>
      </c>
      <c r="S47" s="300" t="s">
        <v>12</v>
      </c>
      <c r="T47" s="305" t="s">
        <v>530</v>
      </c>
      <c r="U47" s="305">
        <v>15</v>
      </c>
      <c r="V47" s="305">
        <v>5</v>
      </c>
      <c r="W47" s="303">
        <v>0.7</v>
      </c>
      <c r="X47" s="303">
        <v>0.7</v>
      </c>
      <c r="Y47" s="303">
        <v>0.7</v>
      </c>
      <c r="Z47" s="303">
        <v>1700</v>
      </c>
      <c r="AA47" s="303" t="s">
        <v>531</v>
      </c>
      <c r="AB47" s="303">
        <v>0.85</v>
      </c>
      <c r="AC47" s="303" t="s">
        <v>532</v>
      </c>
      <c r="AD47" s="303" t="s">
        <v>533</v>
      </c>
      <c r="AE47" s="303">
        <v>220</v>
      </c>
      <c r="AF47" s="134"/>
      <c r="AG47" s="301"/>
    </row>
    <row r="48" spans="1:33" ht="15.75">
      <c r="A48" s="302" t="s">
        <v>591</v>
      </c>
      <c r="B48" s="303">
        <v>7</v>
      </c>
      <c r="C48" s="303">
        <v>14</v>
      </c>
      <c r="D48" s="303" t="s">
        <v>581</v>
      </c>
      <c r="E48" s="303">
        <v>1.5</v>
      </c>
      <c r="F48" s="304">
        <v>45407.572916666664</v>
      </c>
      <c r="G48" s="303">
        <v>2</v>
      </c>
      <c r="H48" s="303">
        <v>51.374099999999999</v>
      </c>
      <c r="I48" s="303">
        <v>7.09016</v>
      </c>
      <c r="J48" s="303">
        <v>-20.559768999999999</v>
      </c>
      <c r="K48" s="303">
        <v>-19.717124999999999</v>
      </c>
      <c r="L48" s="303">
        <v>987.16300000000001</v>
      </c>
      <c r="M48" s="303">
        <v>123.499745</v>
      </c>
      <c r="N48" s="303">
        <v>17733.82692</v>
      </c>
      <c r="O48" s="305">
        <v>17740.84492</v>
      </c>
      <c r="P48" s="305">
        <v>2077.2095359999998</v>
      </c>
      <c r="Q48" s="299">
        <f t="shared" si="0"/>
        <v>2077.2095359999998</v>
      </c>
      <c r="R48" s="300" t="s">
        <v>230</v>
      </c>
      <c r="S48" s="300" t="s">
        <v>12</v>
      </c>
      <c r="T48" s="305" t="s">
        <v>530</v>
      </c>
      <c r="U48" s="305">
        <v>15</v>
      </c>
      <c r="V48" s="305">
        <v>5</v>
      </c>
      <c r="W48" s="303">
        <v>0.7</v>
      </c>
      <c r="X48" s="303">
        <v>0.7</v>
      </c>
      <c r="Y48" s="303">
        <v>0.7</v>
      </c>
      <c r="Z48" s="303">
        <v>1700</v>
      </c>
      <c r="AA48" s="303" t="s">
        <v>531</v>
      </c>
      <c r="AB48" s="303">
        <v>0.85</v>
      </c>
      <c r="AC48" s="303" t="s">
        <v>532</v>
      </c>
      <c r="AD48" s="303" t="s">
        <v>533</v>
      </c>
      <c r="AE48" s="303">
        <v>220</v>
      </c>
      <c r="AF48" s="134"/>
      <c r="AG48" s="301"/>
    </row>
    <row r="49" spans="1:33" ht="15.75">
      <c r="A49" s="302" t="s">
        <v>592</v>
      </c>
      <c r="B49" s="303">
        <v>7</v>
      </c>
      <c r="C49" s="303">
        <v>14</v>
      </c>
      <c r="D49" s="303" t="s">
        <v>581</v>
      </c>
      <c r="E49" s="303">
        <v>1.5</v>
      </c>
      <c r="F49" s="304">
        <v>45407.576388888891</v>
      </c>
      <c r="G49" s="303">
        <v>2</v>
      </c>
      <c r="H49" s="303">
        <v>51.370800000000003</v>
      </c>
      <c r="I49" s="303">
        <v>7.0400700000000001</v>
      </c>
      <c r="J49" s="303">
        <v>-20.417856</v>
      </c>
      <c r="K49" s="303">
        <v>-19.571238000000001</v>
      </c>
      <c r="L49" s="303">
        <v>990.06200000000001</v>
      </c>
      <c r="M49" s="303">
        <v>178.50005300000001</v>
      </c>
      <c r="N49" s="303">
        <v>17742.935460000001</v>
      </c>
      <c r="O49" s="305">
        <v>17740.84492</v>
      </c>
      <c r="P49" s="305">
        <v>2077.2095359999998</v>
      </c>
      <c r="Q49" s="299">
        <f t="shared" si="0"/>
        <v>2077.2095359999998</v>
      </c>
      <c r="R49" s="300" t="s">
        <v>230</v>
      </c>
      <c r="S49" s="300" t="s">
        <v>12</v>
      </c>
      <c r="T49" s="305" t="s">
        <v>530</v>
      </c>
      <c r="U49" s="305">
        <v>15</v>
      </c>
      <c r="V49" s="305">
        <v>5</v>
      </c>
      <c r="W49" s="303">
        <v>0.7</v>
      </c>
      <c r="X49" s="303">
        <v>0.7</v>
      </c>
      <c r="Y49" s="303">
        <v>0.7</v>
      </c>
      <c r="Z49" s="303">
        <v>1700</v>
      </c>
      <c r="AA49" s="303" t="s">
        <v>531</v>
      </c>
      <c r="AB49" s="303">
        <v>0.85</v>
      </c>
      <c r="AC49" s="303" t="s">
        <v>532</v>
      </c>
      <c r="AD49" s="303" t="s">
        <v>533</v>
      </c>
      <c r="AE49" s="303">
        <v>220</v>
      </c>
      <c r="AF49" s="134"/>
      <c r="AG49" s="301"/>
    </row>
    <row r="50" spans="1:33" ht="15.75">
      <c r="A50" s="302" t="s">
        <v>593</v>
      </c>
      <c r="B50" s="303">
        <v>8</v>
      </c>
      <c r="C50" s="303">
        <v>15</v>
      </c>
      <c r="D50" s="303" t="s">
        <v>594</v>
      </c>
      <c r="E50" s="303">
        <v>1.5</v>
      </c>
      <c r="F50" s="304">
        <v>45407.581250000003</v>
      </c>
      <c r="G50" s="303">
        <v>1</v>
      </c>
      <c r="H50" s="303">
        <v>51.370800000000003</v>
      </c>
      <c r="I50" s="303">
        <v>7.0443899999999999</v>
      </c>
      <c r="J50" s="303">
        <v>-20.339200000000002</v>
      </c>
      <c r="K50" s="303">
        <v>-19.512550000000001</v>
      </c>
      <c r="L50" s="303">
        <v>991</v>
      </c>
      <c r="M50" s="303">
        <v>176.49847800000001</v>
      </c>
      <c r="N50" s="303">
        <v>17842.918290000001</v>
      </c>
      <c r="O50" s="303">
        <v>17834.372060000002</v>
      </c>
      <c r="P50" s="305">
        <v>2088.1694040000002</v>
      </c>
      <c r="Q50" s="299">
        <f t="shared" si="0"/>
        <v>2088.1694040000002</v>
      </c>
      <c r="R50" s="300" t="s">
        <v>230</v>
      </c>
      <c r="S50" s="300" t="s">
        <v>12</v>
      </c>
      <c r="T50" s="305" t="s">
        <v>530</v>
      </c>
      <c r="U50" s="306">
        <v>15</v>
      </c>
      <c r="V50" s="305">
        <v>5</v>
      </c>
      <c r="W50" s="303">
        <v>0.7</v>
      </c>
      <c r="X50" s="303">
        <v>0.7</v>
      </c>
      <c r="Y50" s="303">
        <v>0.7</v>
      </c>
      <c r="Z50" s="303">
        <v>1700</v>
      </c>
      <c r="AA50" s="303" t="s">
        <v>531</v>
      </c>
      <c r="AB50" s="303">
        <v>0.85</v>
      </c>
      <c r="AC50" s="303" t="s">
        <v>532</v>
      </c>
      <c r="AD50" s="303" t="s">
        <v>533</v>
      </c>
      <c r="AE50" s="303">
        <v>220</v>
      </c>
      <c r="AF50" s="134"/>
      <c r="AG50" s="301"/>
    </row>
    <row r="51" spans="1:33" ht="15.75">
      <c r="A51" s="302" t="s">
        <v>595</v>
      </c>
      <c r="B51" s="303">
        <v>8</v>
      </c>
      <c r="C51" s="303">
        <v>15</v>
      </c>
      <c r="D51" s="303" t="s">
        <v>594</v>
      </c>
      <c r="E51" s="303">
        <v>1.5</v>
      </c>
      <c r="F51" s="304">
        <v>45407.585416666669</v>
      </c>
      <c r="G51" s="303">
        <v>1</v>
      </c>
      <c r="H51" s="303">
        <v>51.374099999999999</v>
      </c>
      <c r="I51" s="303">
        <v>7.1337900000000003</v>
      </c>
      <c r="J51" s="303">
        <v>-20.419750000000001</v>
      </c>
      <c r="K51" s="303">
        <v>-19.575780999999999</v>
      </c>
      <c r="L51" s="303">
        <v>996.40200000000004</v>
      </c>
      <c r="M51" s="303">
        <v>124.999139</v>
      </c>
      <c r="N51" s="303">
        <v>17843.04837</v>
      </c>
      <c r="O51" s="303">
        <v>17834.372060000002</v>
      </c>
      <c r="P51" s="305">
        <v>2088.1694040000002</v>
      </c>
      <c r="Q51" s="299">
        <f t="shared" si="0"/>
        <v>2088.1694040000002</v>
      </c>
      <c r="R51" s="300" t="s">
        <v>230</v>
      </c>
      <c r="S51" s="300" t="s">
        <v>12</v>
      </c>
      <c r="T51" s="305" t="s">
        <v>530</v>
      </c>
      <c r="U51" s="306">
        <v>15</v>
      </c>
      <c r="V51" s="305">
        <v>5</v>
      </c>
      <c r="W51" s="303">
        <v>0.7</v>
      </c>
      <c r="X51" s="303">
        <v>0.7</v>
      </c>
      <c r="Y51" s="303">
        <v>0.7</v>
      </c>
      <c r="Z51" s="303">
        <v>1700</v>
      </c>
      <c r="AA51" s="303" t="s">
        <v>531</v>
      </c>
      <c r="AB51" s="303">
        <v>0.85</v>
      </c>
      <c r="AC51" s="303" t="s">
        <v>532</v>
      </c>
      <c r="AD51" s="303" t="s">
        <v>533</v>
      </c>
      <c r="AE51" s="303">
        <v>220</v>
      </c>
      <c r="AF51" s="134"/>
      <c r="AG51" s="301"/>
    </row>
    <row r="52" spans="1:33" ht="15.75">
      <c r="A52" s="302" t="s">
        <v>596</v>
      </c>
      <c r="B52" s="303">
        <v>8</v>
      </c>
      <c r="C52" s="303">
        <v>15</v>
      </c>
      <c r="D52" s="303" t="s">
        <v>594</v>
      </c>
      <c r="E52" s="303">
        <v>1.5</v>
      </c>
      <c r="F52" s="304">
        <v>45407.588888888888</v>
      </c>
      <c r="G52" s="303">
        <v>1</v>
      </c>
      <c r="H52" s="303">
        <v>51.374099999999999</v>
      </c>
      <c r="I52" s="303">
        <v>7.1542500000000002</v>
      </c>
      <c r="J52" s="303">
        <v>-20.452055999999999</v>
      </c>
      <c r="K52" s="303">
        <v>-19.602112000000002</v>
      </c>
      <c r="L52" s="303">
        <v>1001.09</v>
      </c>
      <c r="M52" s="303">
        <v>111.49898899999999</v>
      </c>
      <c r="N52" s="303">
        <v>17817.149529999999</v>
      </c>
      <c r="O52" s="303">
        <v>17834.372060000002</v>
      </c>
      <c r="P52" s="305">
        <v>2088.1694040000002</v>
      </c>
      <c r="Q52" s="299">
        <f t="shared" si="0"/>
        <v>2088.1694040000002</v>
      </c>
      <c r="R52" s="300" t="s">
        <v>230</v>
      </c>
      <c r="S52" s="300" t="s">
        <v>12</v>
      </c>
      <c r="T52" s="305" t="s">
        <v>530</v>
      </c>
      <c r="U52" s="306">
        <v>15</v>
      </c>
      <c r="V52" s="305">
        <v>5</v>
      </c>
      <c r="W52" s="303">
        <v>0.7</v>
      </c>
      <c r="X52" s="303">
        <v>0.7</v>
      </c>
      <c r="Y52" s="303">
        <v>0.7</v>
      </c>
      <c r="Z52" s="303">
        <v>1700</v>
      </c>
      <c r="AA52" s="303" t="s">
        <v>531</v>
      </c>
      <c r="AB52" s="303">
        <v>0.85</v>
      </c>
      <c r="AC52" s="303" t="s">
        <v>532</v>
      </c>
      <c r="AD52" s="303" t="s">
        <v>533</v>
      </c>
      <c r="AE52" s="303">
        <v>220</v>
      </c>
      <c r="AF52" s="134"/>
      <c r="AG52" s="301"/>
    </row>
    <row r="53" spans="1:33" ht="15.75">
      <c r="A53" s="302" t="s">
        <v>597</v>
      </c>
      <c r="B53" s="303">
        <v>9</v>
      </c>
      <c r="C53" s="303">
        <v>66</v>
      </c>
      <c r="D53" s="303" t="s">
        <v>598</v>
      </c>
      <c r="E53" s="303">
        <v>1.5</v>
      </c>
      <c r="F53" s="304">
        <v>45407.593055555553</v>
      </c>
      <c r="G53" s="303">
        <v>1</v>
      </c>
      <c r="H53" s="303">
        <v>51.370800000000003</v>
      </c>
      <c r="I53" s="303">
        <v>7.1866300000000001</v>
      </c>
      <c r="J53" s="303">
        <v>-20.341725</v>
      </c>
      <c r="K53" s="303">
        <v>-19.514506000000001</v>
      </c>
      <c r="L53" s="303">
        <v>997.99300000000005</v>
      </c>
      <c r="M53" s="303">
        <v>128.49994100000001</v>
      </c>
      <c r="N53" s="303">
        <v>17850.992859999998</v>
      </c>
      <c r="O53" s="303">
        <v>17940.420269999999</v>
      </c>
      <c r="P53" s="305">
        <v>2100.5965369999999</v>
      </c>
      <c r="Q53" s="299">
        <f t="shared" si="0"/>
        <v>2100.5965369999999</v>
      </c>
      <c r="R53" s="300" t="s">
        <v>230</v>
      </c>
      <c r="S53" s="300" t="s">
        <v>12</v>
      </c>
      <c r="T53" s="305" t="s">
        <v>545</v>
      </c>
      <c r="U53" s="306">
        <v>15</v>
      </c>
      <c r="V53" s="305">
        <v>5</v>
      </c>
      <c r="W53" s="303">
        <v>0.7</v>
      </c>
      <c r="X53" s="303">
        <v>0.7</v>
      </c>
      <c r="Y53" s="303">
        <v>0.7</v>
      </c>
      <c r="Z53" s="303">
        <v>1700</v>
      </c>
      <c r="AA53" s="303" t="s">
        <v>531</v>
      </c>
      <c r="AB53" s="303">
        <v>0.85</v>
      </c>
      <c r="AC53" s="303" t="s">
        <v>532</v>
      </c>
      <c r="AD53" s="303" t="s">
        <v>533</v>
      </c>
      <c r="AE53" s="303">
        <v>220</v>
      </c>
      <c r="AF53" s="134"/>
      <c r="AG53" s="301"/>
    </row>
    <row r="54" spans="1:33" ht="15.75">
      <c r="A54" s="302" t="s">
        <v>599</v>
      </c>
      <c r="B54" s="303">
        <v>9</v>
      </c>
      <c r="C54" s="303">
        <v>66</v>
      </c>
      <c r="D54" s="303" t="s">
        <v>598</v>
      </c>
      <c r="E54" s="303">
        <v>1.5</v>
      </c>
      <c r="F54" s="304">
        <v>45407.59652777778</v>
      </c>
      <c r="G54" s="303">
        <v>1</v>
      </c>
      <c r="H54" s="303">
        <v>51.377400000000002</v>
      </c>
      <c r="I54" s="303">
        <v>7.05633</v>
      </c>
      <c r="J54" s="303">
        <v>-20.341125000000002</v>
      </c>
      <c r="K54" s="303">
        <v>-19.493706</v>
      </c>
      <c r="L54" s="303">
        <v>1003.32</v>
      </c>
      <c r="M54" s="303">
        <v>204.001463</v>
      </c>
      <c r="N54" s="303">
        <v>17947.094779999999</v>
      </c>
      <c r="O54" s="303">
        <v>17940.420269999999</v>
      </c>
      <c r="P54" s="305">
        <v>2100.5965369999999</v>
      </c>
      <c r="Q54" s="299">
        <f t="shared" si="0"/>
        <v>2100.5965369999999</v>
      </c>
      <c r="R54" s="300" t="s">
        <v>230</v>
      </c>
      <c r="S54" s="300" t="s">
        <v>12</v>
      </c>
      <c r="T54" s="305" t="s">
        <v>530</v>
      </c>
      <c r="U54" s="306">
        <v>15</v>
      </c>
      <c r="V54" s="305">
        <v>5</v>
      </c>
      <c r="W54" s="303">
        <v>0.7</v>
      </c>
      <c r="X54" s="303">
        <v>0.7</v>
      </c>
      <c r="Y54" s="303">
        <v>0.7</v>
      </c>
      <c r="Z54" s="303">
        <v>1700</v>
      </c>
      <c r="AA54" s="303" t="s">
        <v>531</v>
      </c>
      <c r="AB54" s="303">
        <v>0.85</v>
      </c>
      <c r="AC54" s="303" t="s">
        <v>532</v>
      </c>
      <c r="AD54" s="303" t="s">
        <v>533</v>
      </c>
      <c r="AE54" s="303">
        <v>220</v>
      </c>
      <c r="AF54" s="134"/>
      <c r="AG54" s="301"/>
    </row>
    <row r="55" spans="1:33" ht="15.75">
      <c r="A55" s="302" t="s">
        <v>600</v>
      </c>
      <c r="B55" s="303">
        <v>9</v>
      </c>
      <c r="C55" s="303">
        <v>66</v>
      </c>
      <c r="D55" s="303" t="s">
        <v>598</v>
      </c>
      <c r="E55" s="303">
        <v>1.5</v>
      </c>
      <c r="F55" s="304">
        <v>45407.601388888892</v>
      </c>
      <c r="G55" s="303">
        <v>1</v>
      </c>
      <c r="H55" s="303">
        <v>51.370800000000003</v>
      </c>
      <c r="I55" s="303">
        <v>6.9975699999999996</v>
      </c>
      <c r="J55" s="303">
        <v>-20.429974999999999</v>
      </c>
      <c r="K55" s="303">
        <v>-19.590337999999999</v>
      </c>
      <c r="L55" s="303">
        <v>992.50599999999997</v>
      </c>
      <c r="M55" s="303">
        <v>124.49973900000001</v>
      </c>
      <c r="N55" s="303">
        <v>17939.454750000001</v>
      </c>
      <c r="O55" s="303">
        <v>17940.420269999999</v>
      </c>
      <c r="P55" s="305">
        <v>2100.5965369999999</v>
      </c>
      <c r="Q55" s="299">
        <f t="shared" si="0"/>
        <v>2100.5965369999999</v>
      </c>
      <c r="R55" s="300" t="s">
        <v>230</v>
      </c>
      <c r="S55" s="300" t="s">
        <v>12</v>
      </c>
      <c r="T55" s="305" t="s">
        <v>530</v>
      </c>
      <c r="U55" s="306">
        <v>15</v>
      </c>
      <c r="V55" s="305">
        <v>5</v>
      </c>
      <c r="W55" s="303">
        <v>0.7</v>
      </c>
      <c r="X55" s="303">
        <v>0.7</v>
      </c>
      <c r="Y55" s="303">
        <v>0.7</v>
      </c>
      <c r="Z55" s="303">
        <v>1700</v>
      </c>
      <c r="AA55" s="303" t="s">
        <v>531</v>
      </c>
      <c r="AB55" s="303">
        <v>0.85</v>
      </c>
      <c r="AC55" s="303" t="s">
        <v>532</v>
      </c>
      <c r="AD55" s="303" t="s">
        <v>533</v>
      </c>
      <c r="AE55" s="303">
        <v>220</v>
      </c>
      <c r="AF55" s="134"/>
      <c r="AG55" s="301"/>
    </row>
    <row r="56" spans="1:33" ht="15.75">
      <c r="A56" s="302" t="s">
        <v>601</v>
      </c>
      <c r="B56" s="303">
        <v>9</v>
      </c>
      <c r="C56" s="303">
        <v>66</v>
      </c>
      <c r="D56" s="303" t="s">
        <v>598</v>
      </c>
      <c r="E56" s="303">
        <v>1.5</v>
      </c>
      <c r="F56" s="304">
        <v>45407.604861111111</v>
      </c>
      <c r="G56" s="303">
        <v>1</v>
      </c>
      <c r="H56" s="303">
        <v>51.370800000000003</v>
      </c>
      <c r="I56" s="303">
        <v>6.9857399999999998</v>
      </c>
      <c r="J56" s="303">
        <v>-20.271968999999999</v>
      </c>
      <c r="K56" s="303">
        <v>-19.439163000000001</v>
      </c>
      <c r="L56" s="303">
        <v>1006.49</v>
      </c>
      <c r="M56" s="303">
        <v>186.49984799999999</v>
      </c>
      <c r="N56" s="303">
        <v>17934.71128</v>
      </c>
      <c r="O56" s="303">
        <v>17940.420269999999</v>
      </c>
      <c r="P56" s="305">
        <v>2100.5965369999999</v>
      </c>
      <c r="Q56" s="299">
        <f t="shared" si="0"/>
        <v>2100.5965369999999</v>
      </c>
      <c r="R56" s="300" t="s">
        <v>230</v>
      </c>
      <c r="S56" s="300" t="s">
        <v>12</v>
      </c>
      <c r="T56" s="305" t="s">
        <v>530</v>
      </c>
      <c r="U56" s="306">
        <v>15</v>
      </c>
      <c r="V56" s="305">
        <v>5</v>
      </c>
      <c r="W56" s="303">
        <v>0.7</v>
      </c>
      <c r="X56" s="303">
        <v>0.7</v>
      </c>
      <c r="Y56" s="303">
        <v>0.7</v>
      </c>
      <c r="Z56" s="303">
        <v>1700</v>
      </c>
      <c r="AA56" s="303" t="s">
        <v>531</v>
      </c>
      <c r="AB56" s="303">
        <v>0.85</v>
      </c>
      <c r="AC56" s="303" t="s">
        <v>532</v>
      </c>
      <c r="AD56" s="303" t="s">
        <v>533</v>
      </c>
      <c r="AE56" s="303">
        <v>220</v>
      </c>
      <c r="AF56" s="134"/>
      <c r="AG56" s="301"/>
    </row>
    <row r="57" spans="1:33" ht="15.75">
      <c r="A57" s="302" t="s">
        <v>602</v>
      </c>
      <c r="B57" s="303">
        <v>10</v>
      </c>
      <c r="C57" s="303">
        <v>67</v>
      </c>
      <c r="D57" s="303" t="s">
        <v>603</v>
      </c>
      <c r="E57" s="303">
        <v>1.5</v>
      </c>
      <c r="F57" s="304">
        <v>45407.609722222223</v>
      </c>
      <c r="G57" s="303">
        <v>1</v>
      </c>
      <c r="H57" s="303">
        <v>51.377400000000002</v>
      </c>
      <c r="I57" s="303">
        <v>7.0720499999999999</v>
      </c>
      <c r="J57" s="303">
        <v>-20.41075</v>
      </c>
      <c r="K57" s="303">
        <v>-19.583006000000001</v>
      </c>
      <c r="L57" s="303">
        <v>995.75</v>
      </c>
      <c r="M57" s="303">
        <v>136.99928499999999</v>
      </c>
      <c r="N57" s="303">
        <v>17873.040830000002</v>
      </c>
      <c r="O57" s="303">
        <v>17884.072700000001</v>
      </c>
      <c r="P57" s="305">
        <v>2093.9935139999998</v>
      </c>
      <c r="Q57" s="299">
        <f t="shared" si="0"/>
        <v>2093.9935139999998</v>
      </c>
      <c r="R57" s="300" t="s">
        <v>230</v>
      </c>
      <c r="S57" s="300" t="s">
        <v>12</v>
      </c>
      <c r="T57" s="305" t="s">
        <v>530</v>
      </c>
      <c r="U57" s="306">
        <v>15</v>
      </c>
      <c r="V57" s="305">
        <v>5</v>
      </c>
      <c r="W57" s="303">
        <v>0.7</v>
      </c>
      <c r="X57" s="303">
        <v>0.7</v>
      </c>
      <c r="Y57" s="303">
        <v>0.7</v>
      </c>
      <c r="Z57" s="303">
        <v>1700</v>
      </c>
      <c r="AA57" s="303" t="s">
        <v>531</v>
      </c>
      <c r="AB57" s="303">
        <v>0.85</v>
      </c>
      <c r="AC57" s="303" t="s">
        <v>532</v>
      </c>
      <c r="AD57" s="303" t="s">
        <v>533</v>
      </c>
      <c r="AE57" s="303">
        <v>220</v>
      </c>
      <c r="AF57" s="134"/>
      <c r="AG57" s="307"/>
    </row>
    <row r="58" spans="1:33" ht="15.75">
      <c r="A58" s="302" t="s">
        <v>604</v>
      </c>
      <c r="B58" s="303">
        <v>10</v>
      </c>
      <c r="C58" s="303">
        <v>67</v>
      </c>
      <c r="D58" s="303" t="s">
        <v>603</v>
      </c>
      <c r="E58" s="303">
        <v>1.5</v>
      </c>
      <c r="F58" s="304">
        <v>45407.613194444442</v>
      </c>
      <c r="G58" s="303">
        <v>1</v>
      </c>
      <c r="H58" s="303">
        <v>51.370800000000003</v>
      </c>
      <c r="I58" s="303">
        <v>7.0788200000000003</v>
      </c>
      <c r="J58" s="303">
        <v>-20.486274999999999</v>
      </c>
      <c r="K58" s="303">
        <v>-19.638275</v>
      </c>
      <c r="L58" s="303">
        <v>990.05899999999997</v>
      </c>
      <c r="M58" s="303">
        <v>157.99830399999999</v>
      </c>
      <c r="N58" s="303">
        <v>17897.051070000001</v>
      </c>
      <c r="O58" s="303">
        <v>17884.072700000001</v>
      </c>
      <c r="P58" s="305">
        <v>2093.9935139999998</v>
      </c>
      <c r="Q58" s="299">
        <f t="shared" si="0"/>
        <v>2093.9935139999998</v>
      </c>
      <c r="R58" s="300" t="s">
        <v>230</v>
      </c>
      <c r="S58" s="300" t="s">
        <v>12</v>
      </c>
      <c r="T58" s="305" t="s">
        <v>530</v>
      </c>
      <c r="U58" s="306">
        <v>15</v>
      </c>
      <c r="V58" s="305">
        <v>5</v>
      </c>
      <c r="W58" s="303">
        <v>0.7</v>
      </c>
      <c r="X58" s="303">
        <v>0.7</v>
      </c>
      <c r="Y58" s="303">
        <v>0.7</v>
      </c>
      <c r="Z58" s="303">
        <v>1700</v>
      </c>
      <c r="AA58" s="303" t="s">
        <v>531</v>
      </c>
      <c r="AB58" s="303">
        <v>0.85</v>
      </c>
      <c r="AC58" s="303" t="s">
        <v>532</v>
      </c>
      <c r="AD58" s="303" t="s">
        <v>533</v>
      </c>
      <c r="AE58" s="303">
        <v>220</v>
      </c>
      <c r="AF58" s="134"/>
      <c r="AG58" s="307"/>
    </row>
    <row r="59" spans="1:33" ht="15.75">
      <c r="A59" s="302" t="s">
        <v>605</v>
      </c>
      <c r="B59" s="303">
        <v>10</v>
      </c>
      <c r="C59" s="303">
        <v>67</v>
      </c>
      <c r="D59" s="303" t="s">
        <v>603</v>
      </c>
      <c r="E59" s="303">
        <v>1.5</v>
      </c>
      <c r="F59" s="304">
        <v>45407.617361111108</v>
      </c>
      <c r="G59" s="303">
        <v>1</v>
      </c>
      <c r="H59" s="303">
        <v>51.374099999999999</v>
      </c>
      <c r="I59" s="303">
        <v>7.1058700000000004</v>
      </c>
      <c r="J59" s="303">
        <v>-20.408200000000001</v>
      </c>
      <c r="K59" s="303">
        <v>-19.570256000000001</v>
      </c>
      <c r="L59" s="303">
        <v>1005.46</v>
      </c>
      <c r="M59" s="303">
        <v>131.001115</v>
      </c>
      <c r="N59" s="303">
        <v>17882.126199999999</v>
      </c>
      <c r="O59" s="303">
        <v>17884.072700000001</v>
      </c>
      <c r="P59" s="305">
        <v>2093.9935139999998</v>
      </c>
      <c r="Q59" s="299">
        <f t="shared" si="0"/>
        <v>2093.9935139999998</v>
      </c>
      <c r="R59" s="300" t="s">
        <v>230</v>
      </c>
      <c r="S59" s="300" t="s">
        <v>12</v>
      </c>
      <c r="T59" s="305" t="s">
        <v>530</v>
      </c>
      <c r="U59" s="306">
        <v>15</v>
      </c>
      <c r="V59" s="305">
        <v>5</v>
      </c>
      <c r="W59" s="303">
        <v>0.7</v>
      </c>
      <c r="X59" s="303">
        <v>0.7</v>
      </c>
      <c r="Y59" s="303">
        <v>0.7</v>
      </c>
      <c r="Z59" s="303">
        <v>1700</v>
      </c>
      <c r="AA59" s="303" t="s">
        <v>531</v>
      </c>
      <c r="AB59" s="303">
        <v>0.85</v>
      </c>
      <c r="AC59" s="303" t="s">
        <v>532</v>
      </c>
      <c r="AD59" s="303" t="s">
        <v>533</v>
      </c>
      <c r="AE59" s="303">
        <v>220</v>
      </c>
      <c r="AF59" s="134"/>
      <c r="AG59" s="307"/>
    </row>
    <row r="60" spans="1:33" ht="15.75">
      <c r="A60" s="308" t="s">
        <v>606</v>
      </c>
      <c r="B60" s="309">
        <v>11</v>
      </c>
      <c r="C60" s="309" t="s">
        <v>544</v>
      </c>
      <c r="D60" s="309" t="s">
        <v>529</v>
      </c>
      <c r="E60" s="309">
        <v>1.5</v>
      </c>
      <c r="F60" s="310">
        <v>45407.621527777781</v>
      </c>
      <c r="G60" s="309">
        <v>1</v>
      </c>
      <c r="H60" s="309">
        <v>51.377400000000002</v>
      </c>
      <c r="I60" s="309">
        <v>6.9933500000000004</v>
      </c>
      <c r="J60" s="309">
        <v>-20.394950000000001</v>
      </c>
      <c r="K60" s="309">
        <v>-19.558325</v>
      </c>
      <c r="L60" s="309">
        <v>986.649</v>
      </c>
      <c r="M60" s="309">
        <v>158.499461</v>
      </c>
      <c r="N60" s="309">
        <v>17691.384610000001</v>
      </c>
      <c r="O60" s="309">
        <v>17693.286199999999</v>
      </c>
      <c r="P60" s="311">
        <v>2071.6364239999998</v>
      </c>
      <c r="Q60" s="299">
        <f t="shared" si="0"/>
        <v>2071.6364239999998</v>
      </c>
      <c r="R60" s="300" t="s">
        <v>230</v>
      </c>
      <c r="S60" s="300" t="s">
        <v>12</v>
      </c>
      <c r="T60" s="305" t="s">
        <v>530</v>
      </c>
      <c r="U60" s="306">
        <v>15</v>
      </c>
      <c r="V60" s="305">
        <v>5</v>
      </c>
      <c r="W60" s="303">
        <v>0.7</v>
      </c>
      <c r="X60" s="303">
        <v>0.7</v>
      </c>
      <c r="Y60" s="303">
        <v>0.7</v>
      </c>
      <c r="Z60" s="303">
        <v>1700</v>
      </c>
      <c r="AA60" s="303" t="s">
        <v>531</v>
      </c>
      <c r="AB60" s="303">
        <v>0.85</v>
      </c>
      <c r="AC60" s="303" t="s">
        <v>532</v>
      </c>
      <c r="AD60" s="303" t="s">
        <v>533</v>
      </c>
      <c r="AE60" s="303">
        <v>220</v>
      </c>
      <c r="AF60" s="134"/>
      <c r="AG60" s="307"/>
    </row>
    <row r="61" spans="1:33" ht="15.75">
      <c r="A61" s="308" t="s">
        <v>607</v>
      </c>
      <c r="B61" s="309">
        <v>11</v>
      </c>
      <c r="C61" s="309" t="s">
        <v>544</v>
      </c>
      <c r="D61" s="309" t="s">
        <v>529</v>
      </c>
      <c r="E61" s="309">
        <v>1.5</v>
      </c>
      <c r="F61" s="310">
        <v>45407.625694444447</v>
      </c>
      <c r="G61" s="309">
        <v>1</v>
      </c>
      <c r="H61" s="309">
        <v>51.374099999999999</v>
      </c>
      <c r="I61" s="309">
        <v>6.9881099999999998</v>
      </c>
      <c r="J61" s="309">
        <v>-20.4635</v>
      </c>
      <c r="K61" s="309">
        <v>-19.620269</v>
      </c>
      <c r="L61" s="309">
        <v>976.87099999999998</v>
      </c>
      <c r="M61" s="309">
        <v>122.99952</v>
      </c>
      <c r="N61" s="309">
        <v>17650.995190000001</v>
      </c>
      <c r="O61" s="309">
        <v>17693.286199999999</v>
      </c>
      <c r="P61" s="311">
        <v>2071.6364239999998</v>
      </c>
      <c r="Q61" s="299">
        <f t="shared" si="0"/>
        <v>2071.6364239999998</v>
      </c>
      <c r="R61" s="300" t="s">
        <v>230</v>
      </c>
      <c r="S61" s="300" t="s">
        <v>12</v>
      </c>
      <c r="T61" s="305" t="s">
        <v>545</v>
      </c>
      <c r="U61" s="306">
        <v>15</v>
      </c>
      <c r="V61" s="305">
        <v>5</v>
      </c>
      <c r="W61" s="303">
        <v>0.7</v>
      </c>
      <c r="X61" s="303">
        <v>0.7</v>
      </c>
      <c r="Y61" s="303">
        <v>0.7</v>
      </c>
      <c r="Z61" s="303">
        <v>1700</v>
      </c>
      <c r="AA61" s="303" t="s">
        <v>531</v>
      </c>
      <c r="AB61" s="303">
        <v>0.85</v>
      </c>
      <c r="AC61" s="303" t="s">
        <v>532</v>
      </c>
      <c r="AD61" s="303" t="s">
        <v>533</v>
      </c>
      <c r="AE61" s="303">
        <v>220</v>
      </c>
      <c r="AF61" s="134"/>
      <c r="AG61" s="301"/>
    </row>
    <row r="62" spans="1:33" ht="15.75">
      <c r="A62" s="308" t="s">
        <v>608</v>
      </c>
      <c r="B62" s="309">
        <v>11</v>
      </c>
      <c r="C62" s="309" t="s">
        <v>544</v>
      </c>
      <c r="D62" s="309" t="s">
        <v>529</v>
      </c>
      <c r="E62" s="309">
        <v>1.5</v>
      </c>
      <c r="F62" s="310">
        <v>45407.629166666666</v>
      </c>
      <c r="G62" s="309">
        <v>1</v>
      </c>
      <c r="H62" s="309">
        <v>51.377400000000002</v>
      </c>
      <c r="I62" s="309">
        <v>7.0056099999999999</v>
      </c>
      <c r="J62" s="309">
        <v>-20.526325</v>
      </c>
      <c r="K62" s="309">
        <v>-19.738900000000001</v>
      </c>
      <c r="L62" s="309">
        <v>985.31700000000001</v>
      </c>
      <c r="M62" s="309">
        <v>147.50075699999999</v>
      </c>
      <c r="N62" s="309">
        <v>17681.659489999998</v>
      </c>
      <c r="O62" s="309">
        <v>17693.286199999999</v>
      </c>
      <c r="P62" s="311">
        <v>2071.6364239999998</v>
      </c>
      <c r="Q62" s="299">
        <f t="shared" si="0"/>
        <v>2071.6364239999998</v>
      </c>
      <c r="R62" s="300" t="s">
        <v>230</v>
      </c>
      <c r="S62" s="300" t="s">
        <v>12</v>
      </c>
      <c r="T62" s="305" t="s">
        <v>530</v>
      </c>
      <c r="U62" s="306">
        <v>15</v>
      </c>
      <c r="V62" s="305">
        <v>5</v>
      </c>
      <c r="W62" s="303">
        <v>0.7</v>
      </c>
      <c r="X62" s="303">
        <v>0.7</v>
      </c>
      <c r="Y62" s="303">
        <v>0.7</v>
      </c>
      <c r="Z62" s="303">
        <v>1700</v>
      </c>
      <c r="AA62" s="303" t="s">
        <v>531</v>
      </c>
      <c r="AB62" s="303">
        <v>0.85</v>
      </c>
      <c r="AC62" s="303" t="s">
        <v>532</v>
      </c>
      <c r="AD62" s="303" t="s">
        <v>533</v>
      </c>
      <c r="AE62" s="303">
        <v>220</v>
      </c>
      <c r="AF62" s="134"/>
      <c r="AG62" s="301"/>
    </row>
    <row r="63" spans="1:33" ht="15.75">
      <c r="A63" s="308" t="s">
        <v>609</v>
      </c>
      <c r="B63" s="309">
        <v>11</v>
      </c>
      <c r="C63" s="309" t="s">
        <v>544</v>
      </c>
      <c r="D63" s="309" t="s">
        <v>529</v>
      </c>
      <c r="E63" s="309">
        <v>1.5</v>
      </c>
      <c r="F63" s="310">
        <v>45407.633333333331</v>
      </c>
      <c r="G63" s="309">
        <v>1</v>
      </c>
      <c r="H63" s="309">
        <v>51.370800000000003</v>
      </c>
      <c r="I63" s="309">
        <v>6.9903500000000003</v>
      </c>
      <c r="J63" s="309">
        <v>-20.600856</v>
      </c>
      <c r="K63" s="309">
        <v>-19.758994000000001</v>
      </c>
      <c r="L63" s="309">
        <v>983.72199999999998</v>
      </c>
      <c r="M63" s="309">
        <v>175.99847500000001</v>
      </c>
      <c r="N63" s="309">
        <v>17706.81451</v>
      </c>
      <c r="O63" s="309">
        <v>17693.286199999999</v>
      </c>
      <c r="P63" s="311">
        <v>2071.6364239999998</v>
      </c>
      <c r="Q63" s="299">
        <f t="shared" si="0"/>
        <v>2071.6364239999998</v>
      </c>
      <c r="R63" s="300" t="s">
        <v>230</v>
      </c>
      <c r="S63" s="300" t="s">
        <v>12</v>
      </c>
      <c r="T63" s="305" t="s">
        <v>530</v>
      </c>
      <c r="U63" s="306">
        <v>15</v>
      </c>
      <c r="V63" s="305">
        <v>5</v>
      </c>
      <c r="W63" s="303">
        <v>0.7</v>
      </c>
      <c r="X63" s="303">
        <v>0.7</v>
      </c>
      <c r="Y63" s="303">
        <v>0.7</v>
      </c>
      <c r="Z63" s="303">
        <v>1700</v>
      </c>
      <c r="AA63" s="303" t="s">
        <v>531</v>
      </c>
      <c r="AB63" s="303">
        <v>0.85</v>
      </c>
      <c r="AC63" s="303" t="s">
        <v>532</v>
      </c>
      <c r="AD63" s="303" t="s">
        <v>533</v>
      </c>
      <c r="AE63" s="303">
        <v>220</v>
      </c>
      <c r="AF63" s="134"/>
      <c r="AG63" s="301"/>
    </row>
    <row r="64" spans="1:33" ht="15.75">
      <c r="A64" s="302" t="s">
        <v>610</v>
      </c>
      <c r="B64" s="303">
        <v>12</v>
      </c>
      <c r="C64" s="303">
        <v>92</v>
      </c>
      <c r="D64" s="303" t="s">
        <v>561</v>
      </c>
      <c r="E64" s="303">
        <v>1.5</v>
      </c>
      <c r="F64" s="304">
        <v>45407.638194444444</v>
      </c>
      <c r="G64" s="303">
        <v>1</v>
      </c>
      <c r="H64" s="303">
        <v>51.374099999999999</v>
      </c>
      <c r="I64" s="303">
        <v>7.0671999999999997</v>
      </c>
      <c r="J64" s="303">
        <v>-20.535394</v>
      </c>
      <c r="K64" s="303">
        <v>-19.756425</v>
      </c>
      <c r="L64" s="303">
        <v>985.23099999999999</v>
      </c>
      <c r="M64" s="303">
        <v>147.50034500000001</v>
      </c>
      <c r="N64" s="303">
        <v>17868.246080000001</v>
      </c>
      <c r="O64" s="303">
        <v>17931.02691</v>
      </c>
      <c r="P64" s="305">
        <v>2099.4957880000002</v>
      </c>
      <c r="Q64" s="299">
        <f t="shared" si="0"/>
        <v>2099.4957880000002</v>
      </c>
      <c r="R64" s="300" t="s">
        <v>230</v>
      </c>
      <c r="S64" s="300" t="s">
        <v>12</v>
      </c>
      <c r="T64" s="305" t="s">
        <v>545</v>
      </c>
      <c r="U64" s="306">
        <v>15</v>
      </c>
      <c r="V64" s="305">
        <v>5</v>
      </c>
      <c r="W64" s="303">
        <v>0.7</v>
      </c>
      <c r="X64" s="303">
        <v>0.7</v>
      </c>
      <c r="Y64" s="303">
        <v>0.7</v>
      </c>
      <c r="Z64" s="303">
        <v>1700</v>
      </c>
      <c r="AA64" s="303" t="s">
        <v>531</v>
      </c>
      <c r="AB64" s="303">
        <v>0.85</v>
      </c>
      <c r="AC64" s="303" t="s">
        <v>532</v>
      </c>
      <c r="AD64" s="303" t="s">
        <v>533</v>
      </c>
      <c r="AE64" s="303">
        <v>220</v>
      </c>
      <c r="AF64" s="134"/>
      <c r="AG64" s="301"/>
    </row>
    <row r="65" spans="1:33" ht="15.75">
      <c r="A65" s="302" t="s">
        <v>611</v>
      </c>
      <c r="B65" s="303">
        <v>12</v>
      </c>
      <c r="C65" s="303">
        <v>92</v>
      </c>
      <c r="D65" s="303" t="s">
        <v>561</v>
      </c>
      <c r="E65" s="303">
        <v>1.5</v>
      </c>
      <c r="F65" s="304">
        <v>45407.64166666667</v>
      </c>
      <c r="G65" s="303">
        <v>1</v>
      </c>
      <c r="H65" s="303">
        <v>51.377400000000002</v>
      </c>
      <c r="I65" s="303">
        <v>7.1078299999999999</v>
      </c>
      <c r="J65" s="303">
        <v>-20.531844</v>
      </c>
      <c r="K65" s="303">
        <v>-19.683530999999999</v>
      </c>
      <c r="L65" s="303">
        <v>997.68600000000004</v>
      </c>
      <c r="M65" s="303">
        <v>144.50001800000001</v>
      </c>
      <c r="N65" s="303">
        <v>17917.073690000001</v>
      </c>
      <c r="O65" s="303">
        <v>17931.02691</v>
      </c>
      <c r="P65" s="305">
        <v>2099.4957880000002</v>
      </c>
      <c r="Q65" s="299">
        <f t="shared" si="0"/>
        <v>2099.4957880000002</v>
      </c>
      <c r="R65" s="300" t="s">
        <v>230</v>
      </c>
      <c r="S65" s="300" t="s">
        <v>12</v>
      </c>
      <c r="T65" s="305" t="s">
        <v>530</v>
      </c>
      <c r="U65" s="306">
        <v>15</v>
      </c>
      <c r="V65" s="305">
        <v>5</v>
      </c>
      <c r="W65" s="303">
        <v>0.7</v>
      </c>
      <c r="X65" s="303">
        <v>0.7</v>
      </c>
      <c r="Y65" s="303">
        <v>0.7</v>
      </c>
      <c r="Z65" s="303">
        <v>1700</v>
      </c>
      <c r="AA65" s="303" t="s">
        <v>531</v>
      </c>
      <c r="AB65" s="303">
        <v>0.85</v>
      </c>
      <c r="AC65" s="303" t="s">
        <v>532</v>
      </c>
      <c r="AD65" s="303" t="s">
        <v>533</v>
      </c>
      <c r="AE65" s="303">
        <v>220</v>
      </c>
      <c r="AF65" s="134"/>
      <c r="AG65" s="301"/>
    </row>
    <row r="66" spans="1:33" ht="15.75">
      <c r="A66" s="302" t="s">
        <v>612</v>
      </c>
      <c r="B66" s="303">
        <v>12</v>
      </c>
      <c r="C66" s="303">
        <v>92</v>
      </c>
      <c r="D66" s="303" t="s">
        <v>561</v>
      </c>
      <c r="E66" s="303">
        <v>1.5</v>
      </c>
      <c r="F66" s="304">
        <v>45407.645833333336</v>
      </c>
      <c r="G66" s="303">
        <v>1</v>
      </c>
      <c r="H66" s="303">
        <v>51.3675</v>
      </c>
      <c r="I66" s="303">
        <v>7.0652299999999997</v>
      </c>
      <c r="J66" s="303">
        <v>-20.487387999999999</v>
      </c>
      <c r="K66" s="303">
        <v>-19.658643999999999</v>
      </c>
      <c r="L66" s="303">
        <v>1003.16</v>
      </c>
      <c r="M66" s="303">
        <v>139.00231600000001</v>
      </c>
      <c r="N66" s="303">
        <v>17941.409599999999</v>
      </c>
      <c r="O66" s="303">
        <v>17931.02691</v>
      </c>
      <c r="P66" s="305">
        <v>2099.4957880000002</v>
      </c>
      <c r="Q66" s="299">
        <f t="shared" si="0"/>
        <v>2099.4957880000002</v>
      </c>
      <c r="R66" s="300" t="s">
        <v>230</v>
      </c>
      <c r="S66" s="300" t="s">
        <v>12</v>
      </c>
      <c r="T66" s="305" t="s">
        <v>530</v>
      </c>
      <c r="U66" s="306">
        <v>15</v>
      </c>
      <c r="V66" s="305">
        <v>5</v>
      </c>
      <c r="W66" s="303">
        <v>0.7</v>
      </c>
      <c r="X66" s="303">
        <v>0.7</v>
      </c>
      <c r="Y66" s="303">
        <v>0.7</v>
      </c>
      <c r="Z66" s="303">
        <v>1700</v>
      </c>
      <c r="AA66" s="303" t="s">
        <v>531</v>
      </c>
      <c r="AB66" s="303">
        <v>0.85</v>
      </c>
      <c r="AC66" s="303" t="s">
        <v>532</v>
      </c>
      <c r="AD66" s="303" t="s">
        <v>533</v>
      </c>
      <c r="AE66" s="303">
        <v>220</v>
      </c>
      <c r="AF66" s="134"/>
      <c r="AG66" s="301"/>
    </row>
    <row r="67" spans="1:33" ht="15.75">
      <c r="A67" s="302" t="s">
        <v>613</v>
      </c>
      <c r="B67" s="303">
        <v>12</v>
      </c>
      <c r="C67" s="303">
        <v>92</v>
      </c>
      <c r="D67" s="303" t="s">
        <v>561</v>
      </c>
      <c r="E67" s="303">
        <v>1.5</v>
      </c>
      <c r="F67" s="304">
        <v>45407.649305555555</v>
      </c>
      <c r="G67" s="303">
        <v>1</v>
      </c>
      <c r="H67" s="303">
        <v>51.364100000000001</v>
      </c>
      <c r="I67" s="303">
        <v>7.0245800000000003</v>
      </c>
      <c r="J67" s="303">
        <v>-20.573225000000001</v>
      </c>
      <c r="K67" s="303">
        <v>-19.734881000000001</v>
      </c>
      <c r="L67" s="303">
        <v>1005.25</v>
      </c>
      <c r="M67" s="303">
        <v>121.49973199999999</v>
      </c>
      <c r="N67" s="303">
        <v>17934.597450000001</v>
      </c>
      <c r="O67" s="303">
        <v>17931.02691</v>
      </c>
      <c r="P67" s="305">
        <v>2099.4957880000002</v>
      </c>
      <c r="Q67" s="299">
        <f t="shared" si="0"/>
        <v>2099.4957880000002</v>
      </c>
      <c r="R67" s="300" t="s">
        <v>230</v>
      </c>
      <c r="S67" s="300" t="s">
        <v>12</v>
      </c>
      <c r="T67" s="305" t="s">
        <v>530</v>
      </c>
      <c r="U67" s="306">
        <v>15</v>
      </c>
      <c r="V67" s="305">
        <v>5</v>
      </c>
      <c r="W67" s="303">
        <v>0.7</v>
      </c>
      <c r="X67" s="303">
        <v>0.7</v>
      </c>
      <c r="Y67" s="303">
        <v>0.7</v>
      </c>
      <c r="Z67" s="303">
        <v>1700</v>
      </c>
      <c r="AA67" s="303" t="s">
        <v>531</v>
      </c>
      <c r="AB67" s="303">
        <v>0.85</v>
      </c>
      <c r="AC67" s="303" t="s">
        <v>532</v>
      </c>
      <c r="AD67" s="303" t="s">
        <v>533</v>
      </c>
      <c r="AE67" s="303">
        <v>220</v>
      </c>
      <c r="AF67" s="134"/>
      <c r="AG67" s="301"/>
    </row>
    <row r="68" spans="1:33" ht="15.75">
      <c r="A68" s="302" t="s">
        <v>614</v>
      </c>
      <c r="B68" s="303">
        <v>13</v>
      </c>
      <c r="C68" s="303">
        <v>93</v>
      </c>
      <c r="D68" s="303" t="s">
        <v>565</v>
      </c>
      <c r="E68" s="303">
        <v>1.5</v>
      </c>
      <c r="F68" s="304">
        <v>45407.65347222222</v>
      </c>
      <c r="G68" s="303">
        <v>1</v>
      </c>
      <c r="H68" s="303">
        <v>51.374099999999999</v>
      </c>
      <c r="I68" s="303">
        <v>7.0561199999999999</v>
      </c>
      <c r="J68" s="303">
        <v>-20.548300000000001</v>
      </c>
      <c r="K68" s="303">
        <v>-19.713118999999999</v>
      </c>
      <c r="L68" s="303">
        <v>1011.32</v>
      </c>
      <c r="M68" s="303">
        <v>120.50007600000001</v>
      </c>
      <c r="N68" s="303">
        <v>17896.822919999999</v>
      </c>
      <c r="O68" s="303">
        <v>17910.502189999999</v>
      </c>
      <c r="P68" s="305">
        <v>2097.0906230000001</v>
      </c>
      <c r="Q68" s="299">
        <f t="shared" si="0"/>
        <v>2097.0906230000001</v>
      </c>
      <c r="R68" s="300" t="s">
        <v>230</v>
      </c>
      <c r="S68" s="300" t="s">
        <v>12</v>
      </c>
      <c r="T68" s="305" t="s">
        <v>530</v>
      </c>
      <c r="U68" s="306">
        <v>15</v>
      </c>
      <c r="V68" s="305">
        <v>5</v>
      </c>
      <c r="W68" s="303">
        <v>0.7</v>
      </c>
      <c r="X68" s="303">
        <v>0.7</v>
      </c>
      <c r="Y68" s="303">
        <v>0.7</v>
      </c>
      <c r="Z68" s="303">
        <v>1700</v>
      </c>
      <c r="AA68" s="303" t="s">
        <v>531</v>
      </c>
      <c r="AB68" s="303">
        <v>0.85</v>
      </c>
      <c r="AC68" s="303" t="s">
        <v>532</v>
      </c>
      <c r="AD68" s="303" t="s">
        <v>533</v>
      </c>
      <c r="AE68" s="303">
        <v>220</v>
      </c>
      <c r="AF68" s="134"/>
      <c r="AG68" s="301"/>
    </row>
    <row r="69" spans="1:33" ht="15.75">
      <c r="A69" s="302" t="s">
        <v>615</v>
      </c>
      <c r="B69" s="303">
        <v>13</v>
      </c>
      <c r="C69" s="303">
        <v>93</v>
      </c>
      <c r="D69" s="303" t="s">
        <v>565</v>
      </c>
      <c r="E69" s="303">
        <v>1.5</v>
      </c>
      <c r="F69" s="304">
        <v>45407.656944444447</v>
      </c>
      <c r="G69" s="303">
        <v>1</v>
      </c>
      <c r="H69" s="303">
        <v>51.377400000000002</v>
      </c>
      <c r="I69" s="303">
        <v>7.0062199999999999</v>
      </c>
      <c r="J69" s="303">
        <v>-20.498169000000001</v>
      </c>
      <c r="K69" s="303">
        <v>-19.677619</v>
      </c>
      <c r="L69" s="303">
        <v>1000.7</v>
      </c>
      <c r="M69" s="303">
        <v>119.999886</v>
      </c>
      <c r="N69" s="303">
        <v>17923.457890000001</v>
      </c>
      <c r="O69" s="303">
        <v>17910.502189999999</v>
      </c>
      <c r="P69" s="305">
        <v>2097.0906230000001</v>
      </c>
      <c r="Q69" s="299">
        <f t="shared" si="0"/>
        <v>2097.0906230000001</v>
      </c>
      <c r="R69" s="300" t="s">
        <v>230</v>
      </c>
      <c r="S69" s="300" t="s">
        <v>12</v>
      </c>
      <c r="T69" s="305" t="s">
        <v>530</v>
      </c>
      <c r="U69" s="306">
        <v>15</v>
      </c>
      <c r="V69" s="305">
        <v>5</v>
      </c>
      <c r="W69" s="303">
        <v>0.7</v>
      </c>
      <c r="X69" s="303">
        <v>0.7</v>
      </c>
      <c r="Y69" s="303">
        <v>0.7</v>
      </c>
      <c r="Z69" s="303">
        <v>1700</v>
      </c>
      <c r="AA69" s="303" t="s">
        <v>531</v>
      </c>
      <c r="AB69" s="303">
        <v>0.85</v>
      </c>
      <c r="AC69" s="303" t="s">
        <v>532</v>
      </c>
      <c r="AD69" s="303" t="s">
        <v>533</v>
      </c>
      <c r="AE69" s="303">
        <v>220</v>
      </c>
      <c r="AF69" s="134"/>
      <c r="AG69" s="301"/>
    </row>
    <row r="70" spans="1:33" ht="15.75">
      <c r="A70" s="302" t="s">
        <v>616</v>
      </c>
      <c r="B70" s="303">
        <v>13</v>
      </c>
      <c r="C70" s="303">
        <v>93</v>
      </c>
      <c r="D70" s="303" t="s">
        <v>565</v>
      </c>
      <c r="E70" s="303">
        <v>1.5</v>
      </c>
      <c r="F70" s="304">
        <v>45407.660416666666</v>
      </c>
      <c r="G70" s="303">
        <v>1</v>
      </c>
      <c r="H70" s="303">
        <v>51.370800000000003</v>
      </c>
      <c r="I70" s="303">
        <v>6.9722099999999996</v>
      </c>
      <c r="J70" s="303">
        <v>-20.469963</v>
      </c>
      <c r="K70" s="303">
        <v>-19.623987</v>
      </c>
      <c r="L70" s="303">
        <v>991.49599999999998</v>
      </c>
      <c r="M70" s="303">
        <v>136.50058300000001</v>
      </c>
      <c r="N70" s="303">
        <v>17911.225760000001</v>
      </c>
      <c r="O70" s="303">
        <v>17910.502189999999</v>
      </c>
      <c r="P70" s="305">
        <v>2097.0906230000001</v>
      </c>
      <c r="Q70" s="299">
        <f t="shared" si="0"/>
        <v>2097.0906230000001</v>
      </c>
      <c r="R70" s="300" t="s">
        <v>230</v>
      </c>
      <c r="S70" s="300" t="s">
        <v>12</v>
      </c>
      <c r="T70" s="305" t="s">
        <v>530</v>
      </c>
      <c r="U70" s="306">
        <v>15</v>
      </c>
      <c r="V70" s="305">
        <v>5</v>
      </c>
      <c r="W70" s="303">
        <v>0.7</v>
      </c>
      <c r="X70" s="303">
        <v>0.7</v>
      </c>
      <c r="Y70" s="303">
        <v>0.7</v>
      </c>
      <c r="Z70" s="303">
        <v>1700</v>
      </c>
      <c r="AA70" s="303" t="s">
        <v>531</v>
      </c>
      <c r="AB70" s="303">
        <v>0.85</v>
      </c>
      <c r="AC70" s="303" t="s">
        <v>532</v>
      </c>
      <c r="AD70" s="303" t="s">
        <v>533</v>
      </c>
      <c r="AE70" s="303">
        <v>220</v>
      </c>
      <c r="AF70" s="134"/>
      <c r="AG70" s="301"/>
    </row>
    <row r="71" spans="1:33" ht="15.75">
      <c r="A71" s="302" t="s">
        <v>617</v>
      </c>
      <c r="B71" s="303">
        <v>14</v>
      </c>
      <c r="C71" s="303">
        <v>27</v>
      </c>
      <c r="D71" s="303" t="s">
        <v>570</v>
      </c>
      <c r="E71" s="303">
        <v>1.5</v>
      </c>
      <c r="F71" s="304">
        <v>45407.664583333331</v>
      </c>
      <c r="G71" s="303">
        <v>1</v>
      </c>
      <c r="H71" s="303">
        <v>51.374099999999999</v>
      </c>
      <c r="I71" s="303">
        <v>6.9652000000000003</v>
      </c>
      <c r="J71" s="303">
        <v>-20.506194000000001</v>
      </c>
      <c r="K71" s="303">
        <v>-19.684594000000001</v>
      </c>
      <c r="L71" s="303">
        <v>966.08900000000006</v>
      </c>
      <c r="M71" s="303">
        <v>123.500056</v>
      </c>
      <c r="N71" s="303">
        <v>17697.196899999999</v>
      </c>
      <c r="O71" s="303">
        <v>0</v>
      </c>
      <c r="P71" s="305">
        <v>0</v>
      </c>
      <c r="Q71" s="299">
        <f t="shared" si="0"/>
        <v>0</v>
      </c>
      <c r="R71" s="300" t="s">
        <v>230</v>
      </c>
      <c r="S71" s="300" t="s">
        <v>582</v>
      </c>
      <c r="T71" s="305" t="s">
        <v>583</v>
      </c>
      <c r="U71" s="306">
        <v>15</v>
      </c>
      <c r="V71" s="305">
        <v>5</v>
      </c>
      <c r="W71" s="303">
        <v>0.7</v>
      </c>
      <c r="X71" s="303">
        <v>0.7</v>
      </c>
      <c r="Y71" s="303">
        <v>0.7</v>
      </c>
      <c r="Z71" s="303">
        <v>1700</v>
      </c>
      <c r="AA71" s="303" t="s">
        <v>531</v>
      </c>
      <c r="AB71" s="303">
        <v>0.85</v>
      </c>
      <c r="AC71" s="303" t="s">
        <v>532</v>
      </c>
      <c r="AD71" s="303" t="s">
        <v>533</v>
      </c>
      <c r="AE71" s="303">
        <v>220</v>
      </c>
      <c r="AF71" s="134"/>
      <c r="AG71" s="301"/>
    </row>
    <row r="72" spans="1:33" ht="15.75">
      <c r="A72" s="302" t="s">
        <v>618</v>
      </c>
      <c r="B72" s="303">
        <v>14</v>
      </c>
      <c r="C72" s="303">
        <v>27</v>
      </c>
      <c r="D72" s="303" t="s">
        <v>570</v>
      </c>
      <c r="E72" s="303">
        <v>1.5</v>
      </c>
      <c r="F72" s="304">
        <v>45407.668749999997</v>
      </c>
      <c r="G72" s="303">
        <v>1</v>
      </c>
      <c r="H72" s="303">
        <v>51.374099999999999</v>
      </c>
      <c r="I72" s="303">
        <v>6.9822800000000003</v>
      </c>
      <c r="J72" s="303">
        <v>-20.513618999999998</v>
      </c>
      <c r="K72" s="303">
        <v>-19.680025000000001</v>
      </c>
      <c r="L72" s="303">
        <v>997.75800000000004</v>
      </c>
      <c r="M72" s="303">
        <v>163.00022999999999</v>
      </c>
      <c r="N72" s="303">
        <v>17785.144049999999</v>
      </c>
      <c r="O72" s="303">
        <v>0</v>
      </c>
      <c r="P72" s="305">
        <v>0</v>
      </c>
      <c r="Q72" s="299">
        <f t="shared" si="0"/>
        <v>0</v>
      </c>
      <c r="R72" s="300" t="s">
        <v>230</v>
      </c>
      <c r="S72" s="300" t="s">
        <v>582</v>
      </c>
      <c r="T72" s="305" t="s">
        <v>583</v>
      </c>
      <c r="U72" s="306">
        <v>15</v>
      </c>
      <c r="V72" s="305">
        <v>5</v>
      </c>
      <c r="W72" s="303">
        <v>0.7</v>
      </c>
      <c r="X72" s="303">
        <v>0.7</v>
      </c>
      <c r="Y72" s="303">
        <v>0.7</v>
      </c>
      <c r="Z72" s="303">
        <v>1700</v>
      </c>
      <c r="AA72" s="303" t="s">
        <v>531</v>
      </c>
      <c r="AB72" s="303">
        <v>0.85</v>
      </c>
      <c r="AC72" s="303" t="s">
        <v>532</v>
      </c>
      <c r="AD72" s="303" t="s">
        <v>533</v>
      </c>
      <c r="AE72" s="303">
        <v>220</v>
      </c>
      <c r="AF72" s="134"/>
      <c r="AG72" s="301"/>
    </row>
    <row r="73" spans="1:33" ht="15.75">
      <c r="A73" s="302" t="s">
        <v>619</v>
      </c>
      <c r="B73" s="303">
        <v>14</v>
      </c>
      <c r="C73" s="303">
        <v>27</v>
      </c>
      <c r="D73" s="303" t="s">
        <v>570</v>
      </c>
      <c r="E73" s="303">
        <v>1.5</v>
      </c>
      <c r="F73" s="304">
        <v>45407.672222222223</v>
      </c>
      <c r="G73" s="303">
        <v>1</v>
      </c>
      <c r="H73" s="303">
        <v>51.3675</v>
      </c>
      <c r="I73" s="303">
        <v>7.06454</v>
      </c>
      <c r="J73" s="303">
        <v>-20.488375000000001</v>
      </c>
      <c r="K73" s="303">
        <v>-19.656787999999999</v>
      </c>
      <c r="L73" s="303">
        <v>996.60199999999998</v>
      </c>
      <c r="M73" s="303">
        <v>139.00083799999999</v>
      </c>
      <c r="N73" s="303">
        <v>17750.418119999998</v>
      </c>
      <c r="O73" s="303">
        <v>0</v>
      </c>
      <c r="P73" s="305">
        <v>0</v>
      </c>
      <c r="Q73" s="299">
        <f t="shared" si="0"/>
        <v>0</v>
      </c>
      <c r="R73" s="300" t="s">
        <v>230</v>
      </c>
      <c r="S73" s="300" t="s">
        <v>582</v>
      </c>
      <c r="T73" s="305" t="s">
        <v>583</v>
      </c>
      <c r="U73" s="306">
        <v>15</v>
      </c>
      <c r="V73" s="305">
        <v>5</v>
      </c>
      <c r="W73" s="303">
        <v>0.7</v>
      </c>
      <c r="X73" s="303">
        <v>0.7</v>
      </c>
      <c r="Y73" s="303">
        <v>0.7</v>
      </c>
      <c r="Z73" s="303">
        <v>1700</v>
      </c>
      <c r="AA73" s="303" t="s">
        <v>531</v>
      </c>
      <c r="AB73" s="303">
        <v>0.85</v>
      </c>
      <c r="AC73" s="303" t="s">
        <v>532</v>
      </c>
      <c r="AD73" s="303" t="s">
        <v>533</v>
      </c>
      <c r="AE73" s="303">
        <v>220</v>
      </c>
      <c r="AF73" s="134"/>
      <c r="AG73" s="301"/>
    </row>
    <row r="74" spans="1:33" ht="15.75">
      <c r="A74" s="302" t="s">
        <v>620</v>
      </c>
      <c r="B74" s="303">
        <v>14</v>
      </c>
      <c r="C74" s="303">
        <v>27</v>
      </c>
      <c r="D74" s="303" t="s">
        <v>570</v>
      </c>
      <c r="E74" s="303">
        <v>1.5</v>
      </c>
      <c r="F74" s="304">
        <v>45407.676388888889</v>
      </c>
      <c r="G74" s="303">
        <v>1</v>
      </c>
      <c r="H74" s="303">
        <v>51.370800000000003</v>
      </c>
      <c r="I74" s="303">
        <v>7.07613</v>
      </c>
      <c r="J74" s="303">
        <v>-20.482424999999999</v>
      </c>
      <c r="K74" s="303">
        <v>-19.659013000000002</v>
      </c>
      <c r="L74" s="303">
        <v>990.13599999999997</v>
      </c>
      <c r="M74" s="303">
        <v>191.50100900000001</v>
      </c>
      <c r="N74" s="303">
        <v>17810.220560000002</v>
      </c>
      <c r="O74" s="303">
        <v>0</v>
      </c>
      <c r="P74" s="305">
        <v>0</v>
      </c>
      <c r="Q74" s="299">
        <f t="shared" si="0"/>
        <v>0</v>
      </c>
      <c r="R74" s="300" t="s">
        <v>230</v>
      </c>
      <c r="S74" s="300" t="s">
        <v>582</v>
      </c>
      <c r="T74" s="305" t="s">
        <v>583</v>
      </c>
      <c r="U74" s="306">
        <v>15</v>
      </c>
      <c r="V74" s="305">
        <v>5</v>
      </c>
      <c r="W74" s="303">
        <v>0.7</v>
      </c>
      <c r="X74" s="303">
        <v>0.7</v>
      </c>
      <c r="Y74" s="303">
        <v>0.7</v>
      </c>
      <c r="Z74" s="303">
        <v>1700</v>
      </c>
      <c r="AA74" s="303" t="s">
        <v>531</v>
      </c>
      <c r="AB74" s="303">
        <v>0.85</v>
      </c>
      <c r="AC74" s="303" t="s">
        <v>532</v>
      </c>
      <c r="AD74" s="303" t="s">
        <v>533</v>
      </c>
      <c r="AE74" s="303">
        <v>220</v>
      </c>
      <c r="AF74" s="134"/>
      <c r="AG74" s="301"/>
    </row>
    <row r="75" spans="1:33" ht="15.75">
      <c r="A75" s="302" t="s">
        <v>621</v>
      </c>
      <c r="B75" s="303">
        <v>14</v>
      </c>
      <c r="C75" s="303">
        <v>27</v>
      </c>
      <c r="D75" s="303" t="s">
        <v>570</v>
      </c>
      <c r="E75" s="303">
        <v>1.5</v>
      </c>
      <c r="F75" s="304">
        <v>45407.680555555555</v>
      </c>
      <c r="G75" s="303">
        <v>1</v>
      </c>
      <c r="H75" s="303">
        <v>51.374099999999999</v>
      </c>
      <c r="I75" s="303">
        <v>7.1339300000000003</v>
      </c>
      <c r="J75" s="303">
        <v>-20.325793999999998</v>
      </c>
      <c r="K75" s="303">
        <v>-19.479299999999999</v>
      </c>
      <c r="L75" s="303">
        <v>987.75599999999997</v>
      </c>
      <c r="M75" s="303">
        <v>127.000838</v>
      </c>
      <c r="N75" s="303">
        <v>17707.879669999998</v>
      </c>
      <c r="O75" s="303">
        <v>0</v>
      </c>
      <c r="P75" s="305">
        <v>0</v>
      </c>
      <c r="Q75" s="299">
        <f t="shared" si="0"/>
        <v>0</v>
      </c>
      <c r="R75" s="300" t="s">
        <v>230</v>
      </c>
      <c r="S75" s="300" t="s">
        <v>582</v>
      </c>
      <c r="T75" s="305" t="s">
        <v>583</v>
      </c>
      <c r="U75" s="306">
        <v>15</v>
      </c>
      <c r="V75" s="305">
        <v>5</v>
      </c>
      <c r="W75" s="303">
        <v>0.7</v>
      </c>
      <c r="X75" s="303">
        <v>0.7</v>
      </c>
      <c r="Y75" s="303">
        <v>0.7</v>
      </c>
      <c r="Z75" s="303">
        <v>1700</v>
      </c>
      <c r="AA75" s="303" t="s">
        <v>531</v>
      </c>
      <c r="AB75" s="303">
        <v>0.85</v>
      </c>
      <c r="AC75" s="303" t="s">
        <v>532</v>
      </c>
      <c r="AD75" s="303" t="s">
        <v>533</v>
      </c>
      <c r="AE75" s="303">
        <v>220</v>
      </c>
      <c r="AF75" s="134"/>
      <c r="AG75" s="301"/>
    </row>
    <row r="76" spans="1:33" ht="15.75">
      <c r="A76" s="302" t="s">
        <v>622</v>
      </c>
      <c r="B76" s="303">
        <v>14</v>
      </c>
      <c r="C76" s="303">
        <v>27</v>
      </c>
      <c r="D76" s="303" t="s">
        <v>570</v>
      </c>
      <c r="E76" s="303">
        <v>1.5</v>
      </c>
      <c r="F76" s="304">
        <v>45407.684027777781</v>
      </c>
      <c r="G76" s="303">
        <v>2</v>
      </c>
      <c r="H76" s="303">
        <v>51.3675</v>
      </c>
      <c r="I76" s="303">
        <v>7.1746400000000001</v>
      </c>
      <c r="J76" s="303">
        <v>-20.317762999999999</v>
      </c>
      <c r="K76" s="303">
        <v>-19.523099999999999</v>
      </c>
      <c r="L76" s="303">
        <v>986.91800000000001</v>
      </c>
      <c r="M76" s="303">
        <v>124.000418</v>
      </c>
      <c r="N76" s="303">
        <v>17709.043529999999</v>
      </c>
      <c r="O76" s="303">
        <v>17700.527839999999</v>
      </c>
      <c r="P76" s="305">
        <v>2072.4850259999998</v>
      </c>
      <c r="Q76" s="299">
        <f t="shared" si="0"/>
        <v>2072.4850259999998</v>
      </c>
      <c r="R76" s="300" t="s">
        <v>230</v>
      </c>
      <c r="S76" s="300" t="s">
        <v>12</v>
      </c>
      <c r="T76" s="305" t="s">
        <v>530</v>
      </c>
      <c r="U76" s="306">
        <v>15</v>
      </c>
      <c r="V76" s="305">
        <v>5</v>
      </c>
      <c r="W76" s="303">
        <v>0.7</v>
      </c>
      <c r="X76" s="303">
        <v>0.7</v>
      </c>
      <c r="Y76" s="303">
        <v>0.7</v>
      </c>
      <c r="Z76" s="303">
        <v>1700</v>
      </c>
      <c r="AA76" s="303" t="s">
        <v>531</v>
      </c>
      <c r="AB76" s="303">
        <v>0.85</v>
      </c>
      <c r="AC76" s="303" t="s">
        <v>532</v>
      </c>
      <c r="AD76" s="303" t="s">
        <v>533</v>
      </c>
      <c r="AE76" s="303">
        <v>220</v>
      </c>
      <c r="AF76" s="134"/>
      <c r="AG76" s="301"/>
    </row>
    <row r="77" spans="1:33" ht="15.75">
      <c r="A77" s="302" t="s">
        <v>623</v>
      </c>
      <c r="B77" s="303">
        <v>14</v>
      </c>
      <c r="C77" s="303">
        <v>27</v>
      </c>
      <c r="D77" s="303" t="s">
        <v>570</v>
      </c>
      <c r="E77" s="303">
        <v>1.5</v>
      </c>
      <c r="F77" s="304">
        <v>45407.688194444447</v>
      </c>
      <c r="G77" s="303">
        <v>2</v>
      </c>
      <c r="H77" s="303">
        <v>51.370800000000003</v>
      </c>
      <c r="I77" s="303">
        <v>7.1416199999999996</v>
      </c>
      <c r="J77" s="303">
        <v>-20.349762999999999</v>
      </c>
      <c r="K77" s="303">
        <v>-19.509236999999999</v>
      </c>
      <c r="L77" s="303">
        <v>1003.74</v>
      </c>
      <c r="M77" s="303">
        <v>173.499559</v>
      </c>
      <c r="N77" s="303">
        <v>17802.027409999999</v>
      </c>
      <c r="O77" s="303">
        <v>17700.527839999999</v>
      </c>
      <c r="P77" s="305">
        <v>2072.4850259999998</v>
      </c>
      <c r="Q77" s="299">
        <f t="shared" si="0"/>
        <v>2072.4850259999998</v>
      </c>
      <c r="R77" s="300" t="s">
        <v>230</v>
      </c>
      <c r="S77" s="300" t="s">
        <v>12</v>
      </c>
      <c r="T77" s="305" t="s">
        <v>545</v>
      </c>
      <c r="U77" s="306">
        <v>15</v>
      </c>
      <c r="V77" s="305">
        <v>5</v>
      </c>
      <c r="W77" s="303">
        <v>0.7</v>
      </c>
      <c r="X77" s="303">
        <v>0.7</v>
      </c>
      <c r="Y77" s="303">
        <v>0.7</v>
      </c>
      <c r="Z77" s="303">
        <v>1700</v>
      </c>
      <c r="AA77" s="303" t="s">
        <v>531</v>
      </c>
      <c r="AB77" s="303">
        <v>0.85</v>
      </c>
      <c r="AC77" s="303" t="s">
        <v>532</v>
      </c>
      <c r="AD77" s="303" t="s">
        <v>533</v>
      </c>
      <c r="AE77" s="303">
        <v>220</v>
      </c>
      <c r="AF77" s="134"/>
      <c r="AG77" s="301"/>
    </row>
    <row r="78" spans="1:33" ht="15.75">
      <c r="A78" s="302" t="s">
        <v>624</v>
      </c>
      <c r="B78" s="303">
        <v>14</v>
      </c>
      <c r="C78" s="303">
        <v>27</v>
      </c>
      <c r="D78" s="303" t="s">
        <v>570</v>
      </c>
      <c r="E78" s="303">
        <v>1.5</v>
      </c>
      <c r="F78" s="304">
        <v>45407.692361111112</v>
      </c>
      <c r="G78" s="303">
        <v>2</v>
      </c>
      <c r="H78" s="303">
        <v>51.370800000000003</v>
      </c>
      <c r="I78" s="303">
        <v>7.2088099999999997</v>
      </c>
      <c r="J78" s="303">
        <v>-20.425619000000001</v>
      </c>
      <c r="K78" s="303">
        <v>-19.582163000000001</v>
      </c>
      <c r="L78" s="303">
        <v>996.37199999999996</v>
      </c>
      <c r="M78" s="303">
        <v>132.000113</v>
      </c>
      <c r="N78" s="303">
        <v>17741.598050000001</v>
      </c>
      <c r="O78" s="303">
        <v>17700.527839999999</v>
      </c>
      <c r="P78" s="305">
        <v>2072.4850259999998</v>
      </c>
      <c r="Q78" s="299">
        <f t="shared" si="0"/>
        <v>2072.4850259999998</v>
      </c>
      <c r="R78" s="300" t="s">
        <v>230</v>
      </c>
      <c r="S78" s="300" t="s">
        <v>12</v>
      </c>
      <c r="T78" s="305" t="s">
        <v>545</v>
      </c>
      <c r="U78" s="306">
        <v>15</v>
      </c>
      <c r="V78" s="305">
        <v>5</v>
      </c>
      <c r="W78" s="303">
        <v>0.7</v>
      </c>
      <c r="X78" s="303">
        <v>0.7</v>
      </c>
      <c r="Y78" s="303">
        <v>0.7</v>
      </c>
      <c r="Z78" s="303">
        <v>1700</v>
      </c>
      <c r="AA78" s="303" t="s">
        <v>531</v>
      </c>
      <c r="AB78" s="303">
        <v>0.85</v>
      </c>
      <c r="AC78" s="303" t="s">
        <v>532</v>
      </c>
      <c r="AD78" s="303" t="s">
        <v>533</v>
      </c>
      <c r="AE78" s="303">
        <v>220</v>
      </c>
      <c r="AF78" s="134"/>
      <c r="AG78" s="301"/>
    </row>
    <row r="79" spans="1:33" ht="15.75">
      <c r="A79" s="302" t="s">
        <v>625</v>
      </c>
      <c r="B79" s="303">
        <v>14</v>
      </c>
      <c r="C79" s="303">
        <v>27</v>
      </c>
      <c r="D79" s="303" t="s">
        <v>570</v>
      </c>
      <c r="E79" s="303">
        <v>1.5</v>
      </c>
      <c r="F79" s="304">
        <v>45407.695833333331</v>
      </c>
      <c r="G79" s="303">
        <v>2</v>
      </c>
      <c r="H79" s="303">
        <v>51.374099999999999</v>
      </c>
      <c r="I79" s="303">
        <v>7.2762700000000002</v>
      </c>
      <c r="J79" s="303">
        <v>-20.327774999999999</v>
      </c>
      <c r="K79" s="303">
        <v>-19.489799999999999</v>
      </c>
      <c r="L79" s="303">
        <v>985.75800000000004</v>
      </c>
      <c r="M79" s="303">
        <v>125.999112</v>
      </c>
      <c r="N79" s="303">
        <v>17707.511829999999</v>
      </c>
      <c r="O79" s="303">
        <v>17700.527839999999</v>
      </c>
      <c r="P79" s="305">
        <v>2072.4850259999998</v>
      </c>
      <c r="Q79" s="299">
        <f t="shared" si="0"/>
        <v>2072.4850259999998</v>
      </c>
      <c r="R79" s="300" t="s">
        <v>230</v>
      </c>
      <c r="S79" s="300" t="s">
        <v>12</v>
      </c>
      <c r="T79" s="305" t="s">
        <v>530</v>
      </c>
      <c r="U79" s="306">
        <v>15</v>
      </c>
      <c r="V79" s="305">
        <v>5</v>
      </c>
      <c r="W79" s="303">
        <v>0.7</v>
      </c>
      <c r="X79" s="303">
        <v>0.7</v>
      </c>
      <c r="Y79" s="303">
        <v>0.7</v>
      </c>
      <c r="Z79" s="303">
        <v>1700</v>
      </c>
      <c r="AA79" s="303" t="s">
        <v>531</v>
      </c>
      <c r="AB79" s="303">
        <v>0.85</v>
      </c>
      <c r="AC79" s="303" t="s">
        <v>532</v>
      </c>
      <c r="AD79" s="303" t="s">
        <v>533</v>
      </c>
      <c r="AE79" s="303">
        <v>220</v>
      </c>
      <c r="AF79" s="134"/>
      <c r="AG79" s="301"/>
    </row>
    <row r="80" spans="1:33" ht="15.75">
      <c r="A80" s="302" t="s">
        <v>626</v>
      </c>
      <c r="B80" s="303">
        <v>14</v>
      </c>
      <c r="C80" s="303">
        <v>27</v>
      </c>
      <c r="D80" s="303" t="s">
        <v>570</v>
      </c>
      <c r="E80" s="303">
        <v>1.5</v>
      </c>
      <c r="F80" s="304">
        <v>45407.699305555558</v>
      </c>
      <c r="G80" s="303">
        <v>2</v>
      </c>
      <c r="H80" s="303">
        <v>51.370800000000003</v>
      </c>
      <c r="I80" s="303">
        <v>7.2256299999999998</v>
      </c>
      <c r="J80" s="303">
        <v>-20.446494000000001</v>
      </c>
      <c r="K80" s="303">
        <v>-19.622781</v>
      </c>
      <c r="L80" s="303">
        <v>990.56500000000005</v>
      </c>
      <c r="M80" s="303">
        <v>142.00047699999999</v>
      </c>
      <c r="N80" s="303">
        <v>17685.028139999999</v>
      </c>
      <c r="O80" s="303">
        <v>17700.527839999999</v>
      </c>
      <c r="P80" s="305">
        <v>2072.4850259999998</v>
      </c>
      <c r="Q80" s="299">
        <f t="shared" si="0"/>
        <v>2072.4850259999998</v>
      </c>
      <c r="R80" s="300" t="s">
        <v>230</v>
      </c>
      <c r="S80" s="300" t="s">
        <v>12</v>
      </c>
      <c r="T80" s="305" t="s">
        <v>530</v>
      </c>
      <c r="U80" s="306">
        <v>15</v>
      </c>
      <c r="V80" s="305">
        <v>5</v>
      </c>
      <c r="W80" s="303">
        <v>0.7</v>
      </c>
      <c r="X80" s="303">
        <v>0.7</v>
      </c>
      <c r="Y80" s="303">
        <v>0.7</v>
      </c>
      <c r="Z80" s="303">
        <v>1700</v>
      </c>
      <c r="AA80" s="303" t="s">
        <v>531</v>
      </c>
      <c r="AB80" s="303">
        <v>0.85</v>
      </c>
      <c r="AC80" s="303" t="s">
        <v>532</v>
      </c>
      <c r="AD80" s="303" t="s">
        <v>533</v>
      </c>
      <c r="AE80" s="303">
        <v>220</v>
      </c>
      <c r="AF80" s="134"/>
      <c r="AG80" s="301"/>
    </row>
    <row r="81" spans="1:33" ht="15.75">
      <c r="A81" s="302" t="s">
        <v>627</v>
      </c>
      <c r="B81" s="303">
        <v>15</v>
      </c>
      <c r="C81" s="303">
        <v>28</v>
      </c>
      <c r="D81" s="303" t="s">
        <v>575</v>
      </c>
      <c r="E81" s="303">
        <v>1.5</v>
      </c>
      <c r="F81" s="304">
        <v>45407.703472222223</v>
      </c>
      <c r="G81" s="303">
        <v>1</v>
      </c>
      <c r="H81" s="303">
        <v>51.374099999999999</v>
      </c>
      <c r="I81" s="303">
        <v>7.1705899999999998</v>
      </c>
      <c r="J81" s="303">
        <v>-20.447987000000001</v>
      </c>
      <c r="K81" s="303">
        <v>-19.600899999999999</v>
      </c>
      <c r="L81" s="303">
        <v>993.01099999999997</v>
      </c>
      <c r="M81" s="303">
        <v>118.998423</v>
      </c>
      <c r="N81" s="303">
        <v>17721.219529999998</v>
      </c>
      <c r="O81" s="303">
        <v>17723.997739999999</v>
      </c>
      <c r="P81" s="305">
        <v>2075.2353189999999</v>
      </c>
      <c r="Q81" s="299">
        <f t="shared" si="0"/>
        <v>2075.2353189999999</v>
      </c>
      <c r="R81" s="300" t="s">
        <v>230</v>
      </c>
      <c r="S81" s="300" t="s">
        <v>12</v>
      </c>
      <c r="T81" s="305" t="s">
        <v>530</v>
      </c>
      <c r="U81" s="306">
        <v>15</v>
      </c>
      <c r="V81" s="305">
        <v>5</v>
      </c>
      <c r="W81" s="303">
        <v>0.7</v>
      </c>
      <c r="X81" s="303">
        <v>0.7</v>
      </c>
      <c r="Y81" s="303">
        <v>0.7</v>
      </c>
      <c r="Z81" s="303">
        <v>1700</v>
      </c>
      <c r="AA81" s="303" t="s">
        <v>531</v>
      </c>
      <c r="AB81" s="303">
        <v>0.85</v>
      </c>
      <c r="AC81" s="303" t="s">
        <v>532</v>
      </c>
      <c r="AD81" s="303" t="s">
        <v>533</v>
      </c>
      <c r="AE81" s="303">
        <v>220</v>
      </c>
      <c r="AF81" s="134"/>
      <c r="AG81" s="301"/>
    </row>
    <row r="82" spans="1:33" ht="15.75">
      <c r="A82" s="302" t="s">
        <v>628</v>
      </c>
      <c r="B82" s="303">
        <v>15</v>
      </c>
      <c r="C82" s="303">
        <v>28</v>
      </c>
      <c r="D82" s="303" t="s">
        <v>575</v>
      </c>
      <c r="E82" s="303">
        <v>1.5</v>
      </c>
      <c r="F82" s="304">
        <v>45407.707638888889</v>
      </c>
      <c r="G82" s="303">
        <v>1</v>
      </c>
      <c r="H82" s="303">
        <v>51.380699999999997</v>
      </c>
      <c r="I82" s="303">
        <v>7.17056</v>
      </c>
      <c r="J82" s="303">
        <v>-20.483775000000001</v>
      </c>
      <c r="K82" s="303">
        <v>-19.663494</v>
      </c>
      <c r="L82" s="303">
        <v>987.16300000000001</v>
      </c>
      <c r="M82" s="303">
        <v>135.49943999999999</v>
      </c>
      <c r="N82" s="303">
        <v>17721.202870000001</v>
      </c>
      <c r="O82" s="303">
        <v>17723.997739999999</v>
      </c>
      <c r="P82" s="305">
        <v>2075.2353189999999</v>
      </c>
      <c r="Q82" s="299">
        <f t="shared" si="0"/>
        <v>2075.2353189999999</v>
      </c>
      <c r="R82" s="300" t="s">
        <v>230</v>
      </c>
      <c r="S82" s="300" t="s">
        <v>12</v>
      </c>
      <c r="T82" s="305" t="s">
        <v>530</v>
      </c>
      <c r="U82" s="306">
        <v>15</v>
      </c>
      <c r="V82" s="305">
        <v>5</v>
      </c>
      <c r="W82" s="303">
        <v>0.7</v>
      </c>
      <c r="X82" s="303">
        <v>0.7</v>
      </c>
      <c r="Y82" s="303">
        <v>0.7</v>
      </c>
      <c r="Z82" s="303">
        <v>1700</v>
      </c>
      <c r="AA82" s="303" t="s">
        <v>531</v>
      </c>
      <c r="AB82" s="303">
        <v>0.85</v>
      </c>
      <c r="AC82" s="303" t="s">
        <v>532</v>
      </c>
      <c r="AD82" s="303" t="s">
        <v>533</v>
      </c>
      <c r="AE82" s="303">
        <v>220</v>
      </c>
      <c r="AF82" s="134"/>
      <c r="AG82" s="301"/>
    </row>
    <row r="83" spans="1:33" ht="15.75">
      <c r="A83" s="302" t="s">
        <v>629</v>
      </c>
      <c r="B83" s="303">
        <v>15</v>
      </c>
      <c r="C83" s="303">
        <v>28</v>
      </c>
      <c r="D83" s="303" t="s">
        <v>575</v>
      </c>
      <c r="E83" s="303">
        <v>1.5</v>
      </c>
      <c r="F83" s="304">
        <v>45407.711111111108</v>
      </c>
      <c r="G83" s="303">
        <v>1</v>
      </c>
      <c r="H83" s="303">
        <v>51.377400000000002</v>
      </c>
      <c r="I83" s="303">
        <v>7.1460600000000003</v>
      </c>
      <c r="J83" s="303">
        <v>-20.417843999999999</v>
      </c>
      <c r="K83" s="303">
        <v>-19.591256000000001</v>
      </c>
      <c r="L83" s="303">
        <v>980.625</v>
      </c>
      <c r="M83" s="303">
        <v>131.00027299999999</v>
      </c>
      <c r="N83" s="303">
        <v>17647.768650000002</v>
      </c>
      <c r="O83" s="303">
        <v>17723.997739999999</v>
      </c>
      <c r="P83" s="305">
        <v>2075.2353189999999</v>
      </c>
      <c r="Q83" s="299">
        <f t="shared" si="0"/>
        <v>2075.2353189999999</v>
      </c>
      <c r="R83" s="300" t="s">
        <v>230</v>
      </c>
      <c r="S83" s="300" t="s">
        <v>12</v>
      </c>
      <c r="T83" s="305" t="s">
        <v>545</v>
      </c>
      <c r="U83" s="306">
        <v>15</v>
      </c>
      <c r="V83" s="305">
        <v>5</v>
      </c>
      <c r="W83" s="303">
        <v>0.7</v>
      </c>
      <c r="X83" s="303">
        <v>0.7</v>
      </c>
      <c r="Y83" s="303">
        <v>0.7</v>
      </c>
      <c r="Z83" s="303">
        <v>1700</v>
      </c>
      <c r="AA83" s="303" t="s">
        <v>531</v>
      </c>
      <c r="AB83" s="303">
        <v>0.85</v>
      </c>
      <c r="AC83" s="303" t="s">
        <v>532</v>
      </c>
      <c r="AD83" s="303" t="s">
        <v>533</v>
      </c>
      <c r="AE83" s="303">
        <v>220</v>
      </c>
      <c r="AF83" s="134"/>
      <c r="AG83" s="301"/>
    </row>
    <row r="84" spans="1:33" ht="15.75">
      <c r="A84" s="302" t="s">
        <v>630</v>
      </c>
      <c r="B84" s="303">
        <v>15</v>
      </c>
      <c r="C84" s="303">
        <v>28</v>
      </c>
      <c r="D84" s="303" t="s">
        <v>575</v>
      </c>
      <c r="E84" s="303">
        <v>1.5</v>
      </c>
      <c r="F84" s="304">
        <v>45407.714583333334</v>
      </c>
      <c r="G84" s="303">
        <v>1</v>
      </c>
      <c r="H84" s="303">
        <v>51.374099999999999</v>
      </c>
      <c r="I84" s="303">
        <v>7.09659</v>
      </c>
      <c r="J84" s="303">
        <v>-20.530494000000001</v>
      </c>
      <c r="K84" s="303">
        <v>-19.685925000000001</v>
      </c>
      <c r="L84" s="303">
        <v>987.51900000000001</v>
      </c>
      <c r="M84" s="303">
        <v>176.00100499999999</v>
      </c>
      <c r="N84" s="303">
        <v>17755.835040000002</v>
      </c>
      <c r="O84" s="303">
        <v>17723.997739999999</v>
      </c>
      <c r="P84" s="305">
        <v>2075.2353189999999</v>
      </c>
      <c r="Q84" s="299">
        <f t="shared" si="0"/>
        <v>2075.2353189999999</v>
      </c>
      <c r="R84" s="300" t="s">
        <v>230</v>
      </c>
      <c r="S84" s="300" t="s">
        <v>12</v>
      </c>
      <c r="T84" s="305" t="s">
        <v>545</v>
      </c>
      <c r="U84" s="306">
        <v>15</v>
      </c>
      <c r="V84" s="305">
        <v>5</v>
      </c>
      <c r="W84" s="303">
        <v>0.7</v>
      </c>
      <c r="X84" s="303">
        <v>0.7</v>
      </c>
      <c r="Y84" s="303">
        <v>0.7</v>
      </c>
      <c r="Z84" s="303">
        <v>1700</v>
      </c>
      <c r="AA84" s="303" t="s">
        <v>531</v>
      </c>
      <c r="AB84" s="303">
        <v>0.85</v>
      </c>
      <c r="AC84" s="303" t="s">
        <v>532</v>
      </c>
      <c r="AD84" s="303" t="s">
        <v>533</v>
      </c>
      <c r="AE84" s="303">
        <v>220</v>
      </c>
      <c r="AF84" s="134"/>
      <c r="AG84" s="301"/>
    </row>
    <row r="85" spans="1:33" ht="15.75">
      <c r="A85" s="302" t="s">
        <v>631</v>
      </c>
      <c r="B85" s="303">
        <v>15</v>
      </c>
      <c r="C85" s="303">
        <v>28</v>
      </c>
      <c r="D85" s="303" t="s">
        <v>575</v>
      </c>
      <c r="E85" s="303">
        <v>1.5</v>
      </c>
      <c r="F85" s="304">
        <v>45407.71875</v>
      </c>
      <c r="G85" s="303">
        <v>1</v>
      </c>
      <c r="H85" s="303">
        <v>51.370800000000003</v>
      </c>
      <c r="I85" s="303">
        <v>7.1232300000000004</v>
      </c>
      <c r="J85" s="303">
        <v>-20.540393999999999</v>
      </c>
      <c r="K85" s="303">
        <v>-19.692425</v>
      </c>
      <c r="L85" s="303">
        <v>987.37599999999998</v>
      </c>
      <c r="M85" s="303">
        <v>164.50127000000001</v>
      </c>
      <c r="N85" s="303">
        <v>17729.570820000001</v>
      </c>
      <c r="O85" s="303">
        <v>17723.997739999999</v>
      </c>
      <c r="P85" s="305">
        <v>2075.2353189999999</v>
      </c>
      <c r="Q85" s="299">
        <f t="shared" si="0"/>
        <v>2075.2353189999999</v>
      </c>
      <c r="R85" s="300" t="s">
        <v>230</v>
      </c>
      <c r="S85" s="300" t="s">
        <v>12</v>
      </c>
      <c r="T85" s="305" t="s">
        <v>530</v>
      </c>
      <c r="U85" s="306">
        <v>15</v>
      </c>
      <c r="V85" s="305">
        <v>5</v>
      </c>
      <c r="W85" s="303">
        <v>0.7</v>
      </c>
      <c r="X85" s="303">
        <v>0.7</v>
      </c>
      <c r="Y85" s="303">
        <v>0.7</v>
      </c>
      <c r="Z85" s="303">
        <v>1700</v>
      </c>
      <c r="AA85" s="303" t="s">
        <v>531</v>
      </c>
      <c r="AB85" s="303">
        <v>0.85</v>
      </c>
      <c r="AC85" s="303" t="s">
        <v>532</v>
      </c>
      <c r="AD85" s="303" t="s">
        <v>533</v>
      </c>
      <c r="AE85" s="303">
        <v>220</v>
      </c>
      <c r="AF85" s="134"/>
      <c r="AG85" s="301"/>
    </row>
    <row r="86" spans="1:33" ht="15.75">
      <c r="A86" s="302" t="s">
        <v>632</v>
      </c>
      <c r="B86" s="303">
        <v>16</v>
      </c>
      <c r="C86" s="303">
        <v>79</v>
      </c>
      <c r="D86" s="303" t="s">
        <v>581</v>
      </c>
      <c r="E86" s="303">
        <v>1.5</v>
      </c>
      <c r="F86" s="304">
        <v>45407.723611111112</v>
      </c>
      <c r="G86" s="303">
        <v>1</v>
      </c>
      <c r="H86" s="303">
        <v>51.374099999999999</v>
      </c>
      <c r="I86" s="303">
        <v>7.1383400000000004</v>
      </c>
      <c r="J86" s="303">
        <v>-20.540455999999999</v>
      </c>
      <c r="K86" s="303">
        <v>-19.742844000000002</v>
      </c>
      <c r="L86" s="303">
        <v>984.43200000000002</v>
      </c>
      <c r="M86" s="303">
        <v>158.500022</v>
      </c>
      <c r="N86" s="303">
        <v>17679.993299999998</v>
      </c>
      <c r="O86" s="303">
        <v>0</v>
      </c>
      <c r="P86" s="305">
        <v>0</v>
      </c>
      <c r="Q86" s="299">
        <f t="shared" si="0"/>
        <v>0</v>
      </c>
      <c r="R86" s="300" t="s">
        <v>230</v>
      </c>
      <c r="S86" s="300" t="s">
        <v>582</v>
      </c>
      <c r="T86" s="305" t="s">
        <v>583</v>
      </c>
      <c r="U86" s="306">
        <v>15</v>
      </c>
      <c r="V86" s="305">
        <v>5</v>
      </c>
      <c r="W86" s="303">
        <v>0.7</v>
      </c>
      <c r="X86" s="303">
        <v>0.7</v>
      </c>
      <c r="Y86" s="303">
        <v>0.7</v>
      </c>
      <c r="Z86" s="303">
        <v>1700</v>
      </c>
      <c r="AA86" s="303" t="s">
        <v>531</v>
      </c>
      <c r="AB86" s="303">
        <v>0.85</v>
      </c>
      <c r="AC86" s="303" t="s">
        <v>532</v>
      </c>
      <c r="AD86" s="303" t="s">
        <v>533</v>
      </c>
      <c r="AE86" s="303">
        <v>220</v>
      </c>
      <c r="AF86" s="134"/>
      <c r="AG86" s="301"/>
    </row>
    <row r="87" spans="1:33" ht="15.75">
      <c r="A87" s="302" t="s">
        <v>633</v>
      </c>
      <c r="B87" s="303">
        <v>16</v>
      </c>
      <c r="C87" s="303">
        <v>79</v>
      </c>
      <c r="D87" s="303" t="s">
        <v>581</v>
      </c>
      <c r="E87" s="303">
        <v>1.5</v>
      </c>
      <c r="F87" s="304">
        <v>45407.727777777778</v>
      </c>
      <c r="G87" s="303">
        <v>1</v>
      </c>
      <c r="H87" s="303">
        <v>51.370800000000003</v>
      </c>
      <c r="I87" s="303">
        <v>7.1008100000000001</v>
      </c>
      <c r="J87" s="303">
        <v>-20.545956</v>
      </c>
      <c r="K87" s="303">
        <v>-19.711743999999999</v>
      </c>
      <c r="L87" s="303">
        <v>983.971</v>
      </c>
      <c r="M87" s="303">
        <v>134.998919</v>
      </c>
      <c r="N87" s="303">
        <v>17644.291980000002</v>
      </c>
      <c r="O87" s="303">
        <v>0</v>
      </c>
      <c r="P87" s="305">
        <v>0</v>
      </c>
      <c r="Q87" s="299">
        <f t="shared" si="0"/>
        <v>0</v>
      </c>
      <c r="R87" s="300" t="s">
        <v>230</v>
      </c>
      <c r="S87" s="300" t="s">
        <v>582</v>
      </c>
      <c r="T87" s="305" t="s">
        <v>583</v>
      </c>
      <c r="U87" s="306">
        <v>15</v>
      </c>
      <c r="V87" s="305">
        <v>5</v>
      </c>
      <c r="W87" s="303">
        <v>0.7</v>
      </c>
      <c r="X87" s="303">
        <v>0.7</v>
      </c>
      <c r="Y87" s="303">
        <v>0.7</v>
      </c>
      <c r="Z87" s="303">
        <v>1700</v>
      </c>
      <c r="AA87" s="303" t="s">
        <v>531</v>
      </c>
      <c r="AB87" s="303">
        <v>0.85</v>
      </c>
      <c r="AC87" s="303" t="s">
        <v>532</v>
      </c>
      <c r="AD87" s="303" t="s">
        <v>533</v>
      </c>
      <c r="AE87" s="303">
        <v>220</v>
      </c>
      <c r="AF87" s="134"/>
      <c r="AG87" s="301"/>
    </row>
    <row r="88" spans="1:33" ht="15.75">
      <c r="A88" s="302" t="s">
        <v>634</v>
      </c>
      <c r="B88" s="303">
        <v>16</v>
      </c>
      <c r="C88" s="303">
        <v>79</v>
      </c>
      <c r="D88" s="303" t="s">
        <v>581</v>
      </c>
      <c r="E88" s="303">
        <v>1.5</v>
      </c>
      <c r="F88" s="304">
        <v>45407.731249999997</v>
      </c>
      <c r="G88" s="303">
        <v>1</v>
      </c>
      <c r="H88" s="303">
        <v>51.370800000000003</v>
      </c>
      <c r="I88" s="303">
        <v>7.1581000000000001</v>
      </c>
      <c r="J88" s="303">
        <v>-20.530912000000001</v>
      </c>
      <c r="K88" s="303">
        <v>-19.737569000000001</v>
      </c>
      <c r="L88" s="303">
        <v>984.10900000000004</v>
      </c>
      <c r="M88" s="303">
        <v>146.49976599999999</v>
      </c>
      <c r="N88" s="303">
        <v>17690.86058</v>
      </c>
      <c r="O88" s="303">
        <v>0</v>
      </c>
      <c r="P88" s="305">
        <v>0</v>
      </c>
      <c r="Q88" s="299">
        <f t="shared" si="0"/>
        <v>0</v>
      </c>
      <c r="R88" s="300" t="s">
        <v>230</v>
      </c>
      <c r="S88" s="300" t="s">
        <v>582</v>
      </c>
      <c r="T88" s="305" t="s">
        <v>583</v>
      </c>
      <c r="U88" s="306">
        <v>15</v>
      </c>
      <c r="V88" s="305">
        <v>5</v>
      </c>
      <c r="W88" s="303">
        <v>0.7</v>
      </c>
      <c r="X88" s="303">
        <v>0.7</v>
      </c>
      <c r="Y88" s="303">
        <v>0.7</v>
      </c>
      <c r="Z88" s="303">
        <v>1700</v>
      </c>
      <c r="AA88" s="303" t="s">
        <v>531</v>
      </c>
      <c r="AB88" s="303">
        <v>0.85</v>
      </c>
      <c r="AC88" s="303" t="s">
        <v>532</v>
      </c>
      <c r="AD88" s="303" t="s">
        <v>533</v>
      </c>
      <c r="AE88" s="303">
        <v>220</v>
      </c>
      <c r="AF88" s="134"/>
      <c r="AG88" s="301"/>
    </row>
    <row r="89" spans="1:33" ht="15.75">
      <c r="A89" s="302" t="s">
        <v>635</v>
      </c>
      <c r="B89" s="303">
        <v>16</v>
      </c>
      <c r="C89" s="303">
        <v>79</v>
      </c>
      <c r="D89" s="303" t="s">
        <v>581</v>
      </c>
      <c r="E89" s="303">
        <v>1.5</v>
      </c>
      <c r="F89" s="304">
        <v>45407.73541666667</v>
      </c>
      <c r="G89" s="303">
        <v>1</v>
      </c>
      <c r="H89" s="303">
        <v>51.370800000000003</v>
      </c>
      <c r="I89" s="303">
        <v>7.2251799999999999</v>
      </c>
      <c r="J89" s="303">
        <v>-20.5486</v>
      </c>
      <c r="K89" s="303">
        <v>-19.757756000000001</v>
      </c>
      <c r="L89" s="303">
        <v>989.67100000000005</v>
      </c>
      <c r="M89" s="303">
        <v>123.49870199999999</v>
      </c>
      <c r="N89" s="303">
        <v>17640.395680000001</v>
      </c>
      <c r="O89" s="303">
        <v>0</v>
      </c>
      <c r="P89" s="305">
        <v>0</v>
      </c>
      <c r="Q89" s="299">
        <f t="shared" si="0"/>
        <v>0</v>
      </c>
      <c r="R89" s="300" t="s">
        <v>230</v>
      </c>
      <c r="S89" s="300" t="s">
        <v>582</v>
      </c>
      <c r="T89" s="305" t="s">
        <v>583</v>
      </c>
      <c r="U89" s="306">
        <v>15</v>
      </c>
      <c r="V89" s="305">
        <v>5</v>
      </c>
      <c r="W89" s="303">
        <v>0.7</v>
      </c>
      <c r="X89" s="303">
        <v>0.7</v>
      </c>
      <c r="Y89" s="303">
        <v>0.7</v>
      </c>
      <c r="Z89" s="303">
        <v>1700</v>
      </c>
      <c r="AA89" s="303" t="s">
        <v>531</v>
      </c>
      <c r="AB89" s="303">
        <v>0.85</v>
      </c>
      <c r="AC89" s="303" t="s">
        <v>532</v>
      </c>
      <c r="AD89" s="303" t="s">
        <v>533</v>
      </c>
      <c r="AE89" s="303">
        <v>220</v>
      </c>
      <c r="AF89" s="134"/>
      <c r="AG89" s="301"/>
    </row>
    <row r="90" spans="1:33" ht="15.75">
      <c r="A90" s="302" t="s">
        <v>636</v>
      </c>
      <c r="B90" s="303">
        <v>16</v>
      </c>
      <c r="C90" s="303">
        <v>79</v>
      </c>
      <c r="D90" s="303" t="s">
        <v>581</v>
      </c>
      <c r="E90" s="303">
        <v>1.5</v>
      </c>
      <c r="F90" s="304">
        <v>45407.738888888889</v>
      </c>
      <c r="G90" s="303">
        <v>1</v>
      </c>
      <c r="H90" s="303">
        <v>51.374099999999999</v>
      </c>
      <c r="I90" s="303">
        <v>7.30985</v>
      </c>
      <c r="J90" s="303">
        <v>-20.506281000000001</v>
      </c>
      <c r="K90" s="303">
        <v>-19.659744</v>
      </c>
      <c r="L90" s="303">
        <v>980.21</v>
      </c>
      <c r="M90" s="303">
        <v>161.49882500000001</v>
      </c>
      <c r="N90" s="303">
        <v>17608.738499999999</v>
      </c>
      <c r="O90" s="303">
        <v>0</v>
      </c>
      <c r="P90" s="305">
        <v>0</v>
      </c>
      <c r="Q90" s="299">
        <f t="shared" si="0"/>
        <v>0</v>
      </c>
      <c r="R90" s="300" t="s">
        <v>230</v>
      </c>
      <c r="S90" s="300" t="s">
        <v>582</v>
      </c>
      <c r="T90" s="305" t="s">
        <v>583</v>
      </c>
      <c r="U90" s="306">
        <v>15</v>
      </c>
      <c r="V90" s="305">
        <v>5</v>
      </c>
      <c r="W90" s="303">
        <v>0.7</v>
      </c>
      <c r="X90" s="303">
        <v>0.7</v>
      </c>
      <c r="Y90" s="303">
        <v>0.7</v>
      </c>
      <c r="Z90" s="303">
        <v>1700</v>
      </c>
      <c r="AA90" s="303" t="s">
        <v>531</v>
      </c>
      <c r="AB90" s="303">
        <v>0.85</v>
      </c>
      <c r="AC90" s="303" t="s">
        <v>532</v>
      </c>
      <c r="AD90" s="303" t="s">
        <v>533</v>
      </c>
      <c r="AE90" s="303">
        <v>220</v>
      </c>
      <c r="AF90" s="134"/>
      <c r="AG90" s="301"/>
    </row>
    <row r="91" spans="1:33" ht="15.75">
      <c r="A91" s="302" t="s">
        <v>637</v>
      </c>
      <c r="B91" s="303">
        <v>16</v>
      </c>
      <c r="C91" s="303">
        <v>79</v>
      </c>
      <c r="D91" s="303" t="s">
        <v>581</v>
      </c>
      <c r="E91" s="303">
        <v>1.5</v>
      </c>
      <c r="F91" s="304">
        <v>45407.743055555555</v>
      </c>
      <c r="G91" s="303">
        <v>2</v>
      </c>
      <c r="H91" s="303">
        <v>51.377400000000002</v>
      </c>
      <c r="I91" s="303">
        <v>7.3309899999999999</v>
      </c>
      <c r="J91" s="303">
        <v>-20.486813000000001</v>
      </c>
      <c r="K91" s="303">
        <v>-19.655244</v>
      </c>
      <c r="L91" s="303">
        <v>984.25199999999995</v>
      </c>
      <c r="M91" s="303">
        <v>121.000416</v>
      </c>
      <c r="N91" s="303">
        <v>17646.24423</v>
      </c>
      <c r="O91" s="303">
        <v>17706.77565</v>
      </c>
      <c r="P91" s="305">
        <v>2073.217169</v>
      </c>
      <c r="Q91" s="299">
        <f t="shared" si="0"/>
        <v>2073.217169</v>
      </c>
      <c r="R91" s="300" t="s">
        <v>230</v>
      </c>
      <c r="S91" s="300" t="s">
        <v>12</v>
      </c>
      <c r="T91" s="305" t="s">
        <v>545</v>
      </c>
      <c r="U91" s="306">
        <v>15</v>
      </c>
      <c r="V91" s="305">
        <v>5</v>
      </c>
      <c r="W91" s="303">
        <v>0.7</v>
      </c>
      <c r="X91" s="303">
        <v>0.7</v>
      </c>
      <c r="Y91" s="303">
        <v>0.7</v>
      </c>
      <c r="Z91" s="303">
        <v>1700</v>
      </c>
      <c r="AA91" s="303" t="s">
        <v>531</v>
      </c>
      <c r="AB91" s="303">
        <v>0.85</v>
      </c>
      <c r="AC91" s="303" t="s">
        <v>532</v>
      </c>
      <c r="AD91" s="303" t="s">
        <v>533</v>
      </c>
      <c r="AE91" s="303">
        <v>220</v>
      </c>
      <c r="AF91" s="134"/>
      <c r="AG91" s="301"/>
    </row>
    <row r="92" spans="1:33" ht="15.75">
      <c r="A92" s="302" t="s">
        <v>638</v>
      </c>
      <c r="B92" s="303">
        <v>16</v>
      </c>
      <c r="C92" s="303">
        <v>79</v>
      </c>
      <c r="D92" s="303" t="s">
        <v>581</v>
      </c>
      <c r="E92" s="303">
        <v>1.5</v>
      </c>
      <c r="F92" s="304">
        <v>45407.746527777781</v>
      </c>
      <c r="G92" s="303">
        <v>2</v>
      </c>
      <c r="H92" s="303">
        <v>51.370800000000003</v>
      </c>
      <c r="I92" s="303">
        <v>7.3884400000000001</v>
      </c>
      <c r="J92" s="303">
        <v>-20.603144</v>
      </c>
      <c r="K92" s="303">
        <v>-19.782356</v>
      </c>
      <c r="L92" s="303">
        <v>991.77099999999996</v>
      </c>
      <c r="M92" s="303">
        <v>148.99946600000001</v>
      </c>
      <c r="N92" s="303">
        <v>17712.84375</v>
      </c>
      <c r="O92" s="303">
        <v>17706.77565</v>
      </c>
      <c r="P92" s="305">
        <v>2073.217169</v>
      </c>
      <c r="Q92" s="299">
        <f t="shared" si="0"/>
        <v>2073.217169</v>
      </c>
      <c r="R92" s="300" t="s">
        <v>230</v>
      </c>
      <c r="S92" s="300" t="s">
        <v>12</v>
      </c>
      <c r="T92" s="305" t="s">
        <v>530</v>
      </c>
      <c r="U92" s="306">
        <v>15</v>
      </c>
      <c r="V92" s="305">
        <v>5</v>
      </c>
      <c r="W92" s="303">
        <v>0.7</v>
      </c>
      <c r="X92" s="303">
        <v>0.7</v>
      </c>
      <c r="Y92" s="303">
        <v>0.7</v>
      </c>
      <c r="Z92" s="303">
        <v>1700</v>
      </c>
      <c r="AA92" s="303" t="s">
        <v>531</v>
      </c>
      <c r="AB92" s="303">
        <v>0.85</v>
      </c>
      <c r="AC92" s="303" t="s">
        <v>532</v>
      </c>
      <c r="AD92" s="303" t="s">
        <v>533</v>
      </c>
      <c r="AE92" s="303">
        <v>220</v>
      </c>
      <c r="AF92" s="134"/>
      <c r="AG92" s="301"/>
    </row>
    <row r="93" spans="1:33" ht="15.75">
      <c r="A93" s="302" t="s">
        <v>639</v>
      </c>
      <c r="B93" s="303">
        <v>16</v>
      </c>
      <c r="C93" s="303">
        <v>79</v>
      </c>
      <c r="D93" s="303" t="s">
        <v>581</v>
      </c>
      <c r="E93" s="303">
        <v>1.5</v>
      </c>
      <c r="F93" s="304">
        <v>45407.75</v>
      </c>
      <c r="G93" s="303">
        <v>2</v>
      </c>
      <c r="H93" s="303">
        <v>51.370800000000003</v>
      </c>
      <c r="I93" s="303">
        <v>7.2908299999999997</v>
      </c>
      <c r="J93" s="303">
        <v>-20.6447</v>
      </c>
      <c r="K93" s="303">
        <v>-19.796969000000001</v>
      </c>
      <c r="L93" s="303">
        <v>987.95799999999997</v>
      </c>
      <c r="M93" s="303">
        <v>118.501953</v>
      </c>
      <c r="N93" s="303">
        <v>17644.66748</v>
      </c>
      <c r="O93" s="303">
        <v>17706.77565</v>
      </c>
      <c r="P93" s="305">
        <v>2073.217169</v>
      </c>
      <c r="Q93" s="299">
        <f t="shared" si="0"/>
        <v>2073.217169</v>
      </c>
      <c r="R93" s="300" t="s">
        <v>230</v>
      </c>
      <c r="S93" s="300" t="s">
        <v>12</v>
      </c>
      <c r="T93" s="305" t="s">
        <v>545</v>
      </c>
      <c r="U93" s="306">
        <v>15</v>
      </c>
      <c r="V93" s="305">
        <v>5</v>
      </c>
      <c r="W93" s="303">
        <v>0.7</v>
      </c>
      <c r="X93" s="303">
        <v>0.7</v>
      </c>
      <c r="Y93" s="303">
        <v>0.7</v>
      </c>
      <c r="Z93" s="303">
        <v>1700</v>
      </c>
      <c r="AA93" s="303" t="s">
        <v>531</v>
      </c>
      <c r="AB93" s="303">
        <v>0.85</v>
      </c>
      <c r="AC93" s="303" t="s">
        <v>532</v>
      </c>
      <c r="AD93" s="303" t="s">
        <v>533</v>
      </c>
      <c r="AE93" s="303">
        <v>220</v>
      </c>
      <c r="AF93" s="134"/>
      <c r="AG93" s="301"/>
    </row>
    <row r="94" spans="1:33" ht="15.75">
      <c r="A94" s="302" t="s">
        <v>640</v>
      </c>
      <c r="B94" s="303">
        <v>16</v>
      </c>
      <c r="C94" s="303">
        <v>79</v>
      </c>
      <c r="D94" s="303" t="s">
        <v>581</v>
      </c>
      <c r="E94" s="303">
        <v>1.5</v>
      </c>
      <c r="F94" s="304">
        <v>45407.753472222219</v>
      </c>
      <c r="G94" s="303">
        <v>2</v>
      </c>
      <c r="H94" s="303">
        <v>51.374099999999999</v>
      </c>
      <c r="I94" s="303">
        <v>7.14384</v>
      </c>
      <c r="J94" s="303">
        <v>-20.496137000000001</v>
      </c>
      <c r="K94" s="303">
        <v>-19.661631</v>
      </c>
      <c r="L94" s="303">
        <v>984.57899999999995</v>
      </c>
      <c r="M94" s="303">
        <v>117.499326</v>
      </c>
      <c r="N94" s="303">
        <v>17711.34936</v>
      </c>
      <c r="O94" s="303">
        <v>17706.77565</v>
      </c>
      <c r="P94" s="305">
        <v>2073.217169</v>
      </c>
      <c r="Q94" s="299">
        <f t="shared" si="0"/>
        <v>2073.217169</v>
      </c>
      <c r="R94" s="300" t="s">
        <v>230</v>
      </c>
      <c r="S94" s="300" t="s">
        <v>12</v>
      </c>
      <c r="T94" s="305" t="s">
        <v>530</v>
      </c>
      <c r="U94" s="306">
        <v>15</v>
      </c>
      <c r="V94" s="305">
        <v>5</v>
      </c>
      <c r="W94" s="303">
        <v>0.7</v>
      </c>
      <c r="X94" s="303">
        <v>0.7</v>
      </c>
      <c r="Y94" s="303">
        <v>0.7</v>
      </c>
      <c r="Z94" s="303">
        <v>1700</v>
      </c>
      <c r="AA94" s="303" t="s">
        <v>531</v>
      </c>
      <c r="AB94" s="303">
        <v>0.85</v>
      </c>
      <c r="AC94" s="303" t="s">
        <v>532</v>
      </c>
      <c r="AD94" s="303" t="s">
        <v>533</v>
      </c>
      <c r="AE94" s="303">
        <v>220</v>
      </c>
      <c r="AF94" s="134"/>
      <c r="AG94" s="301"/>
    </row>
    <row r="95" spans="1:33" ht="15.75">
      <c r="A95" s="302" t="s">
        <v>641</v>
      </c>
      <c r="B95" s="303">
        <v>16</v>
      </c>
      <c r="C95" s="303">
        <v>79</v>
      </c>
      <c r="D95" s="303" t="s">
        <v>581</v>
      </c>
      <c r="E95" s="303">
        <v>1.5</v>
      </c>
      <c r="F95" s="304">
        <v>45407.756944444445</v>
      </c>
      <c r="G95" s="303">
        <v>2</v>
      </c>
      <c r="H95" s="303">
        <v>51.374099999999999</v>
      </c>
      <c r="I95" s="303">
        <v>7.1709199999999997</v>
      </c>
      <c r="J95" s="303">
        <v>-20.428025000000002</v>
      </c>
      <c r="K95" s="303">
        <v>-19.604156</v>
      </c>
      <c r="L95" s="303">
        <v>994.97400000000005</v>
      </c>
      <c r="M95" s="303">
        <v>133.50011900000001</v>
      </c>
      <c r="N95" s="303">
        <v>17696.133849999998</v>
      </c>
      <c r="O95" s="303">
        <v>17706.77565</v>
      </c>
      <c r="P95" s="305">
        <v>2073.217169</v>
      </c>
      <c r="Q95" s="299">
        <f t="shared" si="0"/>
        <v>2073.217169</v>
      </c>
      <c r="R95" s="300" t="s">
        <v>230</v>
      </c>
      <c r="S95" s="300" t="s">
        <v>12</v>
      </c>
      <c r="T95" s="305" t="s">
        <v>530</v>
      </c>
      <c r="U95" s="306">
        <v>15</v>
      </c>
      <c r="V95" s="305">
        <v>5</v>
      </c>
      <c r="W95" s="303">
        <v>0.7</v>
      </c>
      <c r="X95" s="303">
        <v>0.7</v>
      </c>
      <c r="Y95" s="303">
        <v>0.7</v>
      </c>
      <c r="Z95" s="303">
        <v>1700</v>
      </c>
      <c r="AA95" s="303" t="s">
        <v>531</v>
      </c>
      <c r="AB95" s="303">
        <v>0.85</v>
      </c>
      <c r="AC95" s="303" t="s">
        <v>532</v>
      </c>
      <c r="AD95" s="303" t="s">
        <v>533</v>
      </c>
      <c r="AE95" s="303">
        <v>220</v>
      </c>
      <c r="AF95" s="134"/>
      <c r="AG95" s="307"/>
    </row>
    <row r="96" spans="1:33" ht="15.75">
      <c r="A96" s="302" t="s">
        <v>642</v>
      </c>
      <c r="B96" s="303">
        <v>17</v>
      </c>
      <c r="C96" s="303">
        <v>80</v>
      </c>
      <c r="D96" s="303" t="s">
        <v>594</v>
      </c>
      <c r="E96" s="303">
        <v>1.5</v>
      </c>
      <c r="F96" s="304">
        <v>45407.761805555558</v>
      </c>
      <c r="G96" s="303">
        <v>1</v>
      </c>
      <c r="H96" s="303">
        <v>51.374099999999999</v>
      </c>
      <c r="I96" s="303">
        <v>7.1408100000000001</v>
      </c>
      <c r="J96" s="303">
        <v>-20.514188000000001</v>
      </c>
      <c r="K96" s="303">
        <v>-19.723936999999999</v>
      </c>
      <c r="L96" s="303">
        <v>995.29100000000005</v>
      </c>
      <c r="M96" s="303">
        <v>135.000047</v>
      </c>
      <c r="N96" s="303">
        <v>17735.7307</v>
      </c>
      <c r="O96" s="303">
        <v>17666.479159999999</v>
      </c>
      <c r="P96" s="305">
        <v>2068.504273</v>
      </c>
      <c r="Q96" s="299">
        <f t="shared" si="0"/>
        <v>2068.504273</v>
      </c>
      <c r="R96" s="300" t="s">
        <v>230</v>
      </c>
      <c r="S96" s="300" t="s">
        <v>12</v>
      </c>
      <c r="T96" s="305" t="s">
        <v>545</v>
      </c>
      <c r="U96" s="306">
        <v>15</v>
      </c>
      <c r="V96" s="305">
        <v>5</v>
      </c>
      <c r="W96" s="303">
        <v>0.7</v>
      </c>
      <c r="X96" s="303">
        <v>0.7</v>
      </c>
      <c r="Y96" s="303">
        <v>0.7</v>
      </c>
      <c r="Z96" s="303">
        <v>1700</v>
      </c>
      <c r="AA96" s="303" t="s">
        <v>531</v>
      </c>
      <c r="AB96" s="303">
        <v>0.85</v>
      </c>
      <c r="AC96" s="303" t="s">
        <v>532</v>
      </c>
      <c r="AD96" s="303" t="s">
        <v>533</v>
      </c>
      <c r="AE96" s="303">
        <v>220</v>
      </c>
      <c r="AF96" s="134"/>
      <c r="AG96" s="307"/>
    </row>
    <row r="97" spans="1:33" ht="15.75">
      <c r="A97" s="302" t="s">
        <v>643</v>
      </c>
      <c r="B97" s="303">
        <v>17</v>
      </c>
      <c r="C97" s="303">
        <v>80</v>
      </c>
      <c r="D97" s="303" t="s">
        <v>594</v>
      </c>
      <c r="E97" s="303">
        <v>1.5</v>
      </c>
      <c r="F97" s="304">
        <v>45407.765277777777</v>
      </c>
      <c r="G97" s="303">
        <v>1</v>
      </c>
      <c r="H97" s="303">
        <v>51.377400000000002</v>
      </c>
      <c r="I97" s="303">
        <v>7.2207600000000003</v>
      </c>
      <c r="J97" s="303">
        <v>-20.456913</v>
      </c>
      <c r="K97" s="303">
        <v>-19.609375</v>
      </c>
      <c r="L97" s="303">
        <v>982.25199999999995</v>
      </c>
      <c r="M97" s="303">
        <v>137.00036700000001</v>
      </c>
      <c r="N97" s="303">
        <v>17630.083900000001</v>
      </c>
      <c r="O97" s="303">
        <v>17666.479159999999</v>
      </c>
      <c r="P97" s="305">
        <v>2068.504273</v>
      </c>
      <c r="Q97" s="299">
        <f t="shared" si="0"/>
        <v>2068.504273</v>
      </c>
      <c r="R97" s="300" t="s">
        <v>230</v>
      </c>
      <c r="S97" s="300" t="s">
        <v>12</v>
      </c>
      <c r="T97" s="305" t="s">
        <v>545</v>
      </c>
      <c r="U97" s="306">
        <v>15</v>
      </c>
      <c r="V97" s="305">
        <v>5</v>
      </c>
      <c r="W97" s="303">
        <v>0.7</v>
      </c>
      <c r="X97" s="303">
        <v>0.7</v>
      </c>
      <c r="Y97" s="303">
        <v>0.7</v>
      </c>
      <c r="Z97" s="303">
        <v>1700</v>
      </c>
      <c r="AA97" s="303" t="s">
        <v>531</v>
      </c>
      <c r="AB97" s="303">
        <v>0.85</v>
      </c>
      <c r="AC97" s="303" t="s">
        <v>532</v>
      </c>
      <c r="AD97" s="303" t="s">
        <v>533</v>
      </c>
      <c r="AE97" s="303">
        <v>220</v>
      </c>
      <c r="AF97" s="134"/>
      <c r="AG97" s="307"/>
    </row>
    <row r="98" spans="1:33" ht="15.75">
      <c r="A98" s="302" t="s">
        <v>644</v>
      </c>
      <c r="B98" s="303">
        <v>17</v>
      </c>
      <c r="C98" s="303">
        <v>80</v>
      </c>
      <c r="D98" s="303" t="s">
        <v>594</v>
      </c>
      <c r="E98" s="303">
        <v>1.5</v>
      </c>
      <c r="F98" s="304">
        <v>45407.768750000003</v>
      </c>
      <c r="G98" s="303">
        <v>1</v>
      </c>
      <c r="H98" s="303">
        <v>51.377400000000002</v>
      </c>
      <c r="I98" s="303">
        <v>7.2543600000000001</v>
      </c>
      <c r="J98" s="303">
        <v>-20.571762</v>
      </c>
      <c r="K98" s="303">
        <v>-19.733205999999999</v>
      </c>
      <c r="L98" s="303">
        <v>985.80600000000004</v>
      </c>
      <c r="M98" s="303">
        <v>130.50024300000001</v>
      </c>
      <c r="N98" s="303">
        <v>17653.898880000001</v>
      </c>
      <c r="O98" s="303">
        <v>17666.479159999999</v>
      </c>
      <c r="P98" s="305">
        <v>2068.504273</v>
      </c>
      <c r="Q98" s="299">
        <f t="shared" si="0"/>
        <v>2068.504273</v>
      </c>
      <c r="R98" s="300" t="s">
        <v>230</v>
      </c>
      <c r="S98" s="300" t="s">
        <v>12</v>
      </c>
      <c r="T98" s="305" t="s">
        <v>530</v>
      </c>
      <c r="U98" s="306">
        <v>15</v>
      </c>
      <c r="V98" s="305">
        <v>5</v>
      </c>
      <c r="W98" s="303">
        <v>0.7</v>
      </c>
      <c r="X98" s="303">
        <v>0.7</v>
      </c>
      <c r="Y98" s="303">
        <v>0.7</v>
      </c>
      <c r="Z98" s="303">
        <v>1700</v>
      </c>
      <c r="AA98" s="303" t="s">
        <v>531</v>
      </c>
      <c r="AB98" s="303">
        <v>0.85</v>
      </c>
      <c r="AC98" s="303" t="s">
        <v>532</v>
      </c>
      <c r="AD98" s="303" t="s">
        <v>533</v>
      </c>
      <c r="AE98" s="303">
        <v>220</v>
      </c>
      <c r="AF98" s="134"/>
      <c r="AG98" s="301"/>
    </row>
    <row r="99" spans="1:33" ht="15.75">
      <c r="A99" s="302" t="s">
        <v>645</v>
      </c>
      <c r="B99" s="303">
        <v>17</v>
      </c>
      <c r="C99" s="303">
        <v>80</v>
      </c>
      <c r="D99" s="303" t="s">
        <v>594</v>
      </c>
      <c r="E99" s="303">
        <v>1.5</v>
      </c>
      <c r="F99" s="304">
        <v>45407.772916666669</v>
      </c>
      <c r="G99" s="303">
        <v>1</v>
      </c>
      <c r="H99" s="303">
        <v>51.370800000000003</v>
      </c>
      <c r="I99" s="303">
        <v>7.12608</v>
      </c>
      <c r="J99" s="303">
        <v>-20.588200000000001</v>
      </c>
      <c r="K99" s="303">
        <v>-19.747862000000001</v>
      </c>
      <c r="L99" s="303">
        <v>978.346</v>
      </c>
      <c r="M99" s="303">
        <v>152.99802800000001</v>
      </c>
      <c r="N99" s="303">
        <v>17678.07936</v>
      </c>
      <c r="O99" s="303">
        <v>17666.479159999999</v>
      </c>
      <c r="P99" s="305">
        <v>2068.504273</v>
      </c>
      <c r="Q99" s="299">
        <f t="shared" si="0"/>
        <v>2068.504273</v>
      </c>
      <c r="R99" s="300" t="s">
        <v>230</v>
      </c>
      <c r="S99" s="300" t="s">
        <v>12</v>
      </c>
      <c r="T99" s="305" t="s">
        <v>530</v>
      </c>
      <c r="U99" s="306">
        <v>15</v>
      </c>
      <c r="V99" s="305">
        <v>5</v>
      </c>
      <c r="W99" s="303">
        <v>0.7</v>
      </c>
      <c r="X99" s="303">
        <v>0.7</v>
      </c>
      <c r="Y99" s="303">
        <v>0.7</v>
      </c>
      <c r="Z99" s="303">
        <v>1700</v>
      </c>
      <c r="AA99" s="303" t="s">
        <v>531</v>
      </c>
      <c r="AB99" s="303">
        <v>0.85</v>
      </c>
      <c r="AC99" s="303" t="s">
        <v>532</v>
      </c>
      <c r="AD99" s="303" t="s">
        <v>533</v>
      </c>
      <c r="AE99" s="303">
        <v>220</v>
      </c>
      <c r="AF99" s="134"/>
      <c r="AG99" s="301"/>
    </row>
    <row r="100" spans="1:33" ht="15.75">
      <c r="A100" s="302" t="s">
        <v>646</v>
      </c>
      <c r="B100" s="303">
        <v>17</v>
      </c>
      <c r="C100" s="303">
        <v>80</v>
      </c>
      <c r="D100" s="303" t="s">
        <v>594</v>
      </c>
      <c r="E100" s="303">
        <v>1.5</v>
      </c>
      <c r="F100" s="304">
        <v>45407.776388888888</v>
      </c>
      <c r="G100" s="303">
        <v>1</v>
      </c>
      <c r="H100" s="303">
        <v>51.374099999999999</v>
      </c>
      <c r="I100" s="303">
        <v>7.1971499999999997</v>
      </c>
      <c r="J100" s="303">
        <v>-20.539994</v>
      </c>
      <c r="K100" s="303">
        <v>-19.693825</v>
      </c>
      <c r="L100" s="303">
        <v>988.93499999999995</v>
      </c>
      <c r="M100" s="303">
        <v>142.499224</v>
      </c>
      <c r="N100" s="303">
        <v>17667.45924</v>
      </c>
      <c r="O100" s="303">
        <v>17666.479159999999</v>
      </c>
      <c r="P100" s="305">
        <v>2068.504273</v>
      </c>
      <c r="Q100" s="299">
        <f t="shared" si="0"/>
        <v>2068.504273</v>
      </c>
      <c r="R100" s="300" t="s">
        <v>230</v>
      </c>
      <c r="S100" s="300" t="s">
        <v>12</v>
      </c>
      <c r="T100" s="305" t="s">
        <v>530</v>
      </c>
      <c r="U100" s="306">
        <v>15</v>
      </c>
      <c r="V100" s="305">
        <v>5</v>
      </c>
      <c r="W100" s="303">
        <v>0.7</v>
      </c>
      <c r="X100" s="303">
        <v>0.7</v>
      </c>
      <c r="Y100" s="303">
        <v>0.7</v>
      </c>
      <c r="Z100" s="303">
        <v>1700</v>
      </c>
      <c r="AA100" s="303" t="s">
        <v>531</v>
      </c>
      <c r="AB100" s="303">
        <v>0.85</v>
      </c>
      <c r="AC100" s="303" t="s">
        <v>532</v>
      </c>
      <c r="AD100" s="303" t="s">
        <v>533</v>
      </c>
      <c r="AE100" s="303">
        <v>220</v>
      </c>
      <c r="AF100" s="134"/>
      <c r="AG100" s="301"/>
    </row>
    <row r="101" spans="1:33" ht="15.75">
      <c r="A101" s="302" t="s">
        <v>647</v>
      </c>
      <c r="B101" s="303">
        <v>18</v>
      </c>
      <c r="C101" s="303">
        <v>118</v>
      </c>
      <c r="D101" s="303" t="s">
        <v>598</v>
      </c>
      <c r="E101" s="303">
        <v>1.5</v>
      </c>
      <c r="F101" s="304">
        <v>45407.78125</v>
      </c>
      <c r="G101" s="303">
        <v>1</v>
      </c>
      <c r="H101" s="303">
        <v>51.374099999999999</v>
      </c>
      <c r="I101" s="303">
        <v>7.2041000000000004</v>
      </c>
      <c r="J101" s="303">
        <v>-20.608543999999998</v>
      </c>
      <c r="K101" s="303">
        <v>-19.778462000000001</v>
      </c>
      <c r="L101" s="303">
        <v>972.62699999999995</v>
      </c>
      <c r="M101" s="303">
        <v>122.00028</v>
      </c>
      <c r="N101" s="303">
        <v>17702.94716</v>
      </c>
      <c r="O101" s="303">
        <v>17711.831030000001</v>
      </c>
      <c r="P101" s="305">
        <v>2073.8095779999999</v>
      </c>
      <c r="Q101" s="299">
        <f t="shared" si="0"/>
        <v>2073.8095779999999</v>
      </c>
      <c r="R101" s="300" t="s">
        <v>230</v>
      </c>
      <c r="S101" s="300" t="s">
        <v>12</v>
      </c>
      <c r="T101" s="305" t="s">
        <v>530</v>
      </c>
      <c r="U101" s="306">
        <v>15</v>
      </c>
      <c r="V101" s="305">
        <v>5</v>
      </c>
      <c r="W101" s="303">
        <v>0.7</v>
      </c>
      <c r="X101" s="303">
        <v>0.7</v>
      </c>
      <c r="Y101" s="303">
        <v>0.7</v>
      </c>
      <c r="Z101" s="303">
        <v>1700</v>
      </c>
      <c r="AA101" s="303" t="s">
        <v>531</v>
      </c>
      <c r="AB101" s="303">
        <v>0.85</v>
      </c>
      <c r="AC101" s="303" t="s">
        <v>532</v>
      </c>
      <c r="AD101" s="303" t="s">
        <v>533</v>
      </c>
      <c r="AE101" s="303">
        <v>220</v>
      </c>
      <c r="AF101" s="134"/>
      <c r="AG101" s="301"/>
    </row>
    <row r="102" spans="1:33" ht="15.75">
      <c r="A102" s="302" t="s">
        <v>648</v>
      </c>
      <c r="B102" s="303">
        <v>18</v>
      </c>
      <c r="C102" s="303">
        <v>118</v>
      </c>
      <c r="D102" s="303" t="s">
        <v>598</v>
      </c>
      <c r="E102" s="303">
        <v>1.5</v>
      </c>
      <c r="F102" s="304">
        <v>45407.784722222219</v>
      </c>
      <c r="G102" s="303">
        <v>1</v>
      </c>
      <c r="H102" s="303">
        <v>51.374099999999999</v>
      </c>
      <c r="I102" s="303">
        <v>7.1541699999999997</v>
      </c>
      <c r="J102" s="303">
        <v>-20.717431000000001</v>
      </c>
      <c r="K102" s="303">
        <v>-19.886880999999999</v>
      </c>
      <c r="L102" s="303">
        <v>999.69100000000003</v>
      </c>
      <c r="M102" s="303">
        <v>145.50068999999999</v>
      </c>
      <c r="N102" s="303">
        <v>17723.942910000002</v>
      </c>
      <c r="O102" s="303">
        <v>17711.831030000001</v>
      </c>
      <c r="P102" s="305">
        <v>2073.8095779999999</v>
      </c>
      <c r="Q102" s="299">
        <f t="shared" si="0"/>
        <v>2073.8095779999999</v>
      </c>
      <c r="R102" s="300" t="s">
        <v>230</v>
      </c>
      <c r="S102" s="300" t="s">
        <v>12</v>
      </c>
      <c r="T102" s="305" t="s">
        <v>530</v>
      </c>
      <c r="U102" s="306">
        <v>15</v>
      </c>
      <c r="V102" s="305">
        <v>5</v>
      </c>
      <c r="W102" s="303">
        <v>0.7</v>
      </c>
      <c r="X102" s="303">
        <v>0.7</v>
      </c>
      <c r="Y102" s="303">
        <v>0.7</v>
      </c>
      <c r="Z102" s="303">
        <v>1700</v>
      </c>
      <c r="AA102" s="303" t="s">
        <v>531</v>
      </c>
      <c r="AB102" s="303">
        <v>0.85</v>
      </c>
      <c r="AC102" s="303" t="s">
        <v>532</v>
      </c>
      <c r="AD102" s="303" t="s">
        <v>533</v>
      </c>
      <c r="AE102" s="303">
        <v>220</v>
      </c>
      <c r="AF102" s="134"/>
      <c r="AG102" s="301"/>
    </row>
    <row r="103" spans="1:33" ht="15.75">
      <c r="A103" s="302" t="s">
        <v>649</v>
      </c>
      <c r="B103" s="303">
        <v>18</v>
      </c>
      <c r="C103" s="303">
        <v>118</v>
      </c>
      <c r="D103" s="303" t="s">
        <v>598</v>
      </c>
      <c r="E103" s="303">
        <v>1.5</v>
      </c>
      <c r="F103" s="304">
        <v>45407.788194444445</v>
      </c>
      <c r="G103" s="303">
        <v>1</v>
      </c>
      <c r="H103" s="303">
        <v>51.374099999999999</v>
      </c>
      <c r="I103" s="303">
        <v>7.1818200000000001</v>
      </c>
      <c r="J103" s="303">
        <v>-20.681756</v>
      </c>
      <c r="K103" s="303">
        <v>-19.834744000000001</v>
      </c>
      <c r="L103" s="303">
        <v>996.04499999999996</v>
      </c>
      <c r="M103" s="303">
        <v>126.001605</v>
      </c>
      <c r="N103" s="303">
        <v>17708.603009999999</v>
      </c>
      <c r="O103" s="305">
        <v>17711.831030000001</v>
      </c>
      <c r="P103" s="305">
        <v>2073.8095779999999</v>
      </c>
      <c r="Q103" s="299">
        <f t="shared" si="0"/>
        <v>2073.8095779999999</v>
      </c>
      <c r="R103" s="300" t="s">
        <v>230</v>
      </c>
      <c r="S103" s="300" t="s">
        <v>12</v>
      </c>
      <c r="T103" s="305" t="s">
        <v>530</v>
      </c>
      <c r="U103" s="305">
        <v>15</v>
      </c>
      <c r="V103" s="305">
        <v>5</v>
      </c>
      <c r="W103" s="303">
        <v>0.7</v>
      </c>
      <c r="X103" s="303">
        <v>0.7</v>
      </c>
      <c r="Y103" s="303">
        <v>0.7</v>
      </c>
      <c r="Z103" s="303">
        <v>1700</v>
      </c>
      <c r="AA103" s="303" t="s">
        <v>531</v>
      </c>
      <c r="AB103" s="303">
        <v>0.85</v>
      </c>
      <c r="AC103" s="303" t="s">
        <v>532</v>
      </c>
      <c r="AD103" s="303" t="s">
        <v>533</v>
      </c>
      <c r="AE103" s="303">
        <v>220</v>
      </c>
      <c r="AF103" s="134"/>
      <c r="AG103" s="301"/>
    </row>
    <row r="104" spans="1:33" ht="15.75">
      <c r="A104" s="302" t="s">
        <v>650</v>
      </c>
      <c r="B104" s="303">
        <v>19</v>
      </c>
      <c r="C104" s="303">
        <v>119</v>
      </c>
      <c r="D104" s="303" t="s">
        <v>603</v>
      </c>
      <c r="E104" s="303">
        <v>1.5</v>
      </c>
      <c r="F104" s="304">
        <v>45407.792361111111</v>
      </c>
      <c r="G104" s="303">
        <v>1</v>
      </c>
      <c r="H104" s="303">
        <v>51.377400000000002</v>
      </c>
      <c r="I104" s="303">
        <v>7.1692099999999996</v>
      </c>
      <c r="J104" s="303">
        <v>-20.637730999999999</v>
      </c>
      <c r="K104" s="303">
        <v>-19.787831000000001</v>
      </c>
      <c r="L104" s="303">
        <v>987.33</v>
      </c>
      <c r="M104" s="303">
        <v>118.999382</v>
      </c>
      <c r="N104" s="303">
        <v>17684.713729999999</v>
      </c>
      <c r="O104" s="305">
        <v>17696.016250000001</v>
      </c>
      <c r="P104" s="305">
        <v>2071.9563410000001</v>
      </c>
      <c r="Q104" s="299">
        <f t="shared" si="0"/>
        <v>2071.9563410000001</v>
      </c>
      <c r="R104" s="300" t="s">
        <v>230</v>
      </c>
      <c r="S104" s="300" t="s">
        <v>12</v>
      </c>
      <c r="T104" s="305" t="s">
        <v>530</v>
      </c>
      <c r="U104" s="305">
        <v>15</v>
      </c>
      <c r="V104" s="305">
        <v>5</v>
      </c>
      <c r="W104" s="303">
        <v>0.7</v>
      </c>
      <c r="X104" s="303">
        <v>0.7</v>
      </c>
      <c r="Y104" s="303">
        <v>0.7</v>
      </c>
      <c r="Z104" s="303">
        <v>1700</v>
      </c>
      <c r="AA104" s="303" t="s">
        <v>531</v>
      </c>
      <c r="AB104" s="303">
        <v>0.85</v>
      </c>
      <c r="AC104" s="303" t="s">
        <v>532</v>
      </c>
      <c r="AD104" s="303" t="s">
        <v>533</v>
      </c>
      <c r="AE104" s="303">
        <v>220</v>
      </c>
      <c r="AF104" s="134"/>
      <c r="AG104" s="301"/>
    </row>
    <row r="105" spans="1:33" ht="15.75">
      <c r="A105" s="302" t="s">
        <v>651</v>
      </c>
      <c r="B105" s="303">
        <v>19</v>
      </c>
      <c r="C105" s="303">
        <v>119</v>
      </c>
      <c r="D105" s="303" t="s">
        <v>603</v>
      </c>
      <c r="E105" s="303">
        <v>1.5</v>
      </c>
      <c r="F105" s="304">
        <v>45407.79583333333</v>
      </c>
      <c r="G105" s="303">
        <v>1</v>
      </c>
      <c r="H105" s="303">
        <v>51.377400000000002</v>
      </c>
      <c r="I105" s="303">
        <v>7.2865000000000002</v>
      </c>
      <c r="J105" s="303">
        <v>-20.748975000000002</v>
      </c>
      <c r="K105" s="303">
        <v>-19.913900000000002</v>
      </c>
      <c r="L105" s="303">
        <v>975.78200000000004</v>
      </c>
      <c r="M105" s="303">
        <v>126.00118399999999</v>
      </c>
      <c r="N105" s="303">
        <v>17689.724460000001</v>
      </c>
      <c r="O105" s="305">
        <v>17696.016250000001</v>
      </c>
      <c r="P105" s="305">
        <v>2071.9563410000001</v>
      </c>
      <c r="Q105" s="299">
        <f t="shared" si="0"/>
        <v>2071.9563410000001</v>
      </c>
      <c r="R105" s="300" t="s">
        <v>230</v>
      </c>
      <c r="S105" s="300" t="s">
        <v>12</v>
      </c>
      <c r="T105" s="305" t="s">
        <v>530</v>
      </c>
      <c r="U105" s="305">
        <v>15</v>
      </c>
      <c r="V105" s="305">
        <v>5</v>
      </c>
      <c r="W105" s="303">
        <v>0.7</v>
      </c>
      <c r="X105" s="303">
        <v>0.7</v>
      </c>
      <c r="Y105" s="303">
        <v>0.7</v>
      </c>
      <c r="Z105" s="303">
        <v>1700</v>
      </c>
      <c r="AA105" s="303" t="s">
        <v>531</v>
      </c>
      <c r="AB105" s="303">
        <v>0.85</v>
      </c>
      <c r="AC105" s="303" t="s">
        <v>532</v>
      </c>
      <c r="AD105" s="303" t="s">
        <v>533</v>
      </c>
      <c r="AE105" s="303">
        <v>220</v>
      </c>
      <c r="AF105" s="134"/>
      <c r="AG105" s="301"/>
    </row>
    <row r="106" spans="1:33" ht="15.75">
      <c r="A106" s="302" t="s">
        <v>652</v>
      </c>
      <c r="B106" s="303">
        <v>19</v>
      </c>
      <c r="C106" s="303">
        <v>119</v>
      </c>
      <c r="D106" s="303" t="s">
        <v>603</v>
      </c>
      <c r="E106" s="303">
        <v>1.5</v>
      </c>
      <c r="F106" s="304">
        <v>45407.8</v>
      </c>
      <c r="G106" s="303">
        <v>1</v>
      </c>
      <c r="H106" s="303">
        <v>51.377400000000002</v>
      </c>
      <c r="I106" s="303">
        <v>7.2229000000000001</v>
      </c>
      <c r="J106" s="303">
        <v>-20.642669000000001</v>
      </c>
      <c r="K106" s="303">
        <v>-19.793700000000001</v>
      </c>
      <c r="L106" s="303">
        <v>984.24199999999996</v>
      </c>
      <c r="M106" s="303">
        <v>114.999506</v>
      </c>
      <c r="N106" s="303">
        <v>17656.144359999998</v>
      </c>
      <c r="O106" s="305">
        <v>17696.016250000001</v>
      </c>
      <c r="P106" s="305">
        <v>2071.9563410000001</v>
      </c>
      <c r="Q106" s="299">
        <f t="shared" si="0"/>
        <v>2071.9563410000001</v>
      </c>
      <c r="R106" s="300" t="s">
        <v>230</v>
      </c>
      <c r="S106" s="300" t="s">
        <v>12</v>
      </c>
      <c r="T106" s="305" t="s">
        <v>545</v>
      </c>
      <c r="U106" s="305">
        <v>15</v>
      </c>
      <c r="V106" s="305">
        <v>5</v>
      </c>
      <c r="W106" s="303">
        <v>0.7</v>
      </c>
      <c r="X106" s="303">
        <v>0.7</v>
      </c>
      <c r="Y106" s="303">
        <v>0.7</v>
      </c>
      <c r="Z106" s="303">
        <v>1700</v>
      </c>
      <c r="AA106" s="303" t="s">
        <v>531</v>
      </c>
      <c r="AB106" s="303">
        <v>0.85</v>
      </c>
      <c r="AC106" s="303" t="s">
        <v>532</v>
      </c>
      <c r="AD106" s="303" t="s">
        <v>533</v>
      </c>
      <c r="AE106" s="303">
        <v>220</v>
      </c>
      <c r="AF106" s="134"/>
      <c r="AG106" s="301"/>
    </row>
    <row r="107" spans="1:33" ht="15.75">
      <c r="A107" s="302" t="s">
        <v>653</v>
      </c>
      <c r="B107" s="303">
        <v>19</v>
      </c>
      <c r="C107" s="303">
        <v>119</v>
      </c>
      <c r="D107" s="303" t="s">
        <v>603</v>
      </c>
      <c r="E107" s="303">
        <v>1.5</v>
      </c>
      <c r="F107" s="304">
        <v>45407.803472222222</v>
      </c>
      <c r="G107" s="303">
        <v>1</v>
      </c>
      <c r="H107" s="303">
        <v>51.370800000000003</v>
      </c>
      <c r="I107" s="303">
        <v>7.20526</v>
      </c>
      <c r="J107" s="303">
        <v>-20.707331</v>
      </c>
      <c r="K107" s="303">
        <v>-19.899712000000001</v>
      </c>
      <c r="L107" s="303">
        <v>973.20799999999997</v>
      </c>
      <c r="M107" s="303">
        <v>172.99996899999999</v>
      </c>
      <c r="N107" s="303">
        <v>17713.610560000001</v>
      </c>
      <c r="O107" s="305">
        <v>17696.016250000001</v>
      </c>
      <c r="P107" s="305">
        <v>2071.9563410000001</v>
      </c>
      <c r="Q107" s="299">
        <f t="shared" si="0"/>
        <v>2071.9563410000001</v>
      </c>
      <c r="R107" s="300" t="s">
        <v>230</v>
      </c>
      <c r="S107" s="300" t="s">
        <v>12</v>
      </c>
      <c r="T107" s="305" t="s">
        <v>530</v>
      </c>
      <c r="U107" s="305">
        <v>15</v>
      </c>
      <c r="V107" s="305">
        <v>5</v>
      </c>
      <c r="W107" s="303">
        <v>0.7</v>
      </c>
      <c r="X107" s="303">
        <v>0.7</v>
      </c>
      <c r="Y107" s="303">
        <v>0.7</v>
      </c>
      <c r="Z107" s="303">
        <v>1700</v>
      </c>
      <c r="AA107" s="303" t="s">
        <v>531</v>
      </c>
      <c r="AB107" s="303">
        <v>0.85</v>
      </c>
      <c r="AC107" s="303" t="s">
        <v>532</v>
      </c>
      <c r="AD107" s="303" t="s">
        <v>533</v>
      </c>
      <c r="AE107" s="303">
        <v>220</v>
      </c>
      <c r="AF107" s="134"/>
      <c r="AG107" s="301"/>
    </row>
    <row r="108" spans="1:33" ht="15.75">
      <c r="A108" s="308" t="s">
        <v>654</v>
      </c>
      <c r="B108" s="309">
        <v>20</v>
      </c>
      <c r="C108" s="309" t="s">
        <v>544</v>
      </c>
      <c r="D108" s="309" t="s">
        <v>529</v>
      </c>
      <c r="E108" s="309">
        <v>1.5</v>
      </c>
      <c r="F108" s="310">
        <v>45407.807638888888</v>
      </c>
      <c r="G108" s="309">
        <v>1</v>
      </c>
      <c r="H108" s="309">
        <v>51.377400000000002</v>
      </c>
      <c r="I108" s="309">
        <v>7.2427999999999999</v>
      </c>
      <c r="J108" s="309">
        <v>-20.708711999999998</v>
      </c>
      <c r="K108" s="309">
        <v>-19.867819000000001</v>
      </c>
      <c r="L108" s="309">
        <v>993.71799999999996</v>
      </c>
      <c r="M108" s="309">
        <v>123.500156</v>
      </c>
      <c r="N108" s="309">
        <v>17639.076529999998</v>
      </c>
      <c r="O108" s="309">
        <v>17654.83008</v>
      </c>
      <c r="P108" s="311">
        <v>2067.1550419999999</v>
      </c>
      <c r="Q108" s="299">
        <f t="shared" si="0"/>
        <v>2067.1550419999999</v>
      </c>
      <c r="R108" s="300" t="s">
        <v>230</v>
      </c>
      <c r="S108" s="300" t="s">
        <v>12</v>
      </c>
      <c r="T108" s="305" t="s">
        <v>530</v>
      </c>
      <c r="U108" s="306">
        <v>15</v>
      </c>
      <c r="V108" s="305">
        <v>5</v>
      </c>
      <c r="W108" s="303">
        <v>0.7</v>
      </c>
      <c r="X108" s="303">
        <v>0.7</v>
      </c>
      <c r="Y108" s="303">
        <v>0.7</v>
      </c>
      <c r="Z108" s="303">
        <v>1700</v>
      </c>
      <c r="AA108" s="303" t="s">
        <v>531</v>
      </c>
      <c r="AB108" s="303">
        <v>0.85</v>
      </c>
      <c r="AC108" s="303" t="s">
        <v>532</v>
      </c>
      <c r="AD108" s="303" t="s">
        <v>533</v>
      </c>
      <c r="AE108" s="303">
        <v>220</v>
      </c>
      <c r="AF108" s="134"/>
      <c r="AG108" s="301"/>
    </row>
    <row r="109" spans="1:33" ht="15.75">
      <c r="A109" s="308" t="s">
        <v>655</v>
      </c>
      <c r="B109" s="309">
        <v>20</v>
      </c>
      <c r="C109" s="309" t="s">
        <v>544</v>
      </c>
      <c r="D109" s="309" t="s">
        <v>529</v>
      </c>
      <c r="E109" s="309">
        <v>1.5</v>
      </c>
      <c r="F109" s="310">
        <v>45407.811805555553</v>
      </c>
      <c r="G109" s="309">
        <v>1</v>
      </c>
      <c r="H109" s="309">
        <v>51.370800000000003</v>
      </c>
      <c r="I109" s="309">
        <v>7.1654900000000001</v>
      </c>
      <c r="J109" s="309">
        <v>-20.782274999999998</v>
      </c>
      <c r="K109" s="309">
        <v>-19.938794000000001</v>
      </c>
      <c r="L109" s="309">
        <v>978.26199999999994</v>
      </c>
      <c r="M109" s="309">
        <v>121.99987900000001</v>
      </c>
      <c r="N109" s="309">
        <v>17660.323550000001</v>
      </c>
      <c r="O109" s="309">
        <v>17654.83008</v>
      </c>
      <c r="P109" s="311">
        <v>2067.1550419999999</v>
      </c>
      <c r="Q109" s="299">
        <f t="shared" si="0"/>
        <v>2067.1550419999999</v>
      </c>
      <c r="R109" s="300" t="s">
        <v>230</v>
      </c>
      <c r="S109" s="300" t="s">
        <v>12</v>
      </c>
      <c r="T109" s="305" t="s">
        <v>530</v>
      </c>
      <c r="U109" s="306">
        <v>15</v>
      </c>
      <c r="V109" s="305">
        <v>5</v>
      </c>
      <c r="W109" s="303">
        <v>0.7</v>
      </c>
      <c r="X109" s="303">
        <v>0.7</v>
      </c>
      <c r="Y109" s="303">
        <v>0.7</v>
      </c>
      <c r="Z109" s="303">
        <v>1700</v>
      </c>
      <c r="AA109" s="303" t="s">
        <v>531</v>
      </c>
      <c r="AB109" s="303">
        <v>0.85</v>
      </c>
      <c r="AC109" s="303" t="s">
        <v>532</v>
      </c>
      <c r="AD109" s="303" t="s">
        <v>533</v>
      </c>
      <c r="AE109" s="303">
        <v>220</v>
      </c>
      <c r="AF109" s="134"/>
      <c r="AG109" s="301"/>
    </row>
    <row r="110" spans="1:33" ht="15.75">
      <c r="A110" s="308" t="s">
        <v>656</v>
      </c>
      <c r="B110" s="309">
        <v>20</v>
      </c>
      <c r="C110" s="309" t="s">
        <v>544</v>
      </c>
      <c r="D110" s="309" t="s">
        <v>529</v>
      </c>
      <c r="E110" s="309">
        <v>1.5</v>
      </c>
      <c r="F110" s="310">
        <v>45407.81527777778</v>
      </c>
      <c r="G110" s="309">
        <v>1</v>
      </c>
      <c r="H110" s="309">
        <v>51.374099999999999</v>
      </c>
      <c r="I110" s="309">
        <v>7.1249099999999999</v>
      </c>
      <c r="J110" s="309">
        <v>-20.767975</v>
      </c>
      <c r="K110" s="309">
        <v>-19.925194000000001</v>
      </c>
      <c r="L110" s="309">
        <v>983.87300000000005</v>
      </c>
      <c r="M110" s="309">
        <v>122.00012</v>
      </c>
      <c r="N110" s="309">
        <v>17665.09016</v>
      </c>
      <c r="O110" s="309">
        <v>17654.83008</v>
      </c>
      <c r="P110" s="311">
        <v>2067.1550419999999</v>
      </c>
      <c r="Q110" s="299">
        <f t="shared" si="0"/>
        <v>2067.1550419999999</v>
      </c>
      <c r="R110" s="300" t="s">
        <v>230</v>
      </c>
      <c r="S110" s="300" t="s">
        <v>12</v>
      </c>
      <c r="T110" s="305" t="s">
        <v>530</v>
      </c>
      <c r="U110" s="306">
        <v>15</v>
      </c>
      <c r="V110" s="305">
        <v>5</v>
      </c>
      <c r="W110" s="303">
        <v>0.7</v>
      </c>
      <c r="X110" s="303">
        <v>0.7</v>
      </c>
      <c r="Y110" s="303">
        <v>0.7</v>
      </c>
      <c r="Z110" s="303">
        <v>1700</v>
      </c>
      <c r="AA110" s="303" t="s">
        <v>531</v>
      </c>
      <c r="AB110" s="303">
        <v>0.85</v>
      </c>
      <c r="AC110" s="303" t="s">
        <v>532</v>
      </c>
      <c r="AD110" s="303" t="s">
        <v>533</v>
      </c>
      <c r="AE110" s="303">
        <v>220</v>
      </c>
      <c r="AF110" s="134"/>
      <c r="AG110" s="301"/>
    </row>
    <row r="111" spans="1:33" ht="15.75">
      <c r="A111" s="302" t="s">
        <v>526</v>
      </c>
      <c r="B111" s="303" t="s">
        <v>527</v>
      </c>
      <c r="C111" s="303" t="s">
        <v>528</v>
      </c>
      <c r="D111" s="303" t="s">
        <v>529</v>
      </c>
      <c r="E111" s="303">
        <v>1</v>
      </c>
      <c r="F111" s="304">
        <v>45412.474305555559</v>
      </c>
      <c r="G111" s="303">
        <v>1</v>
      </c>
      <c r="H111" s="303">
        <v>51.377400000000002</v>
      </c>
      <c r="I111" s="303">
        <v>13.995799999999999</v>
      </c>
      <c r="J111" s="303">
        <v>-20.593644000000001</v>
      </c>
      <c r="K111" s="303">
        <v>-19.746400000000001</v>
      </c>
      <c r="L111" s="303">
        <v>846.86099999999999</v>
      </c>
      <c r="M111" s="303">
        <v>99.000021000000004</v>
      </c>
      <c r="N111" s="303">
        <v>11308.403259999999</v>
      </c>
      <c r="O111" s="303">
        <v>11308.403259999999</v>
      </c>
      <c r="P111" s="305">
        <v>1998.138985</v>
      </c>
      <c r="Q111" s="299">
        <f t="shared" si="0"/>
        <v>1998.138985</v>
      </c>
      <c r="R111" s="300" t="s">
        <v>230</v>
      </c>
      <c r="S111" s="300" t="s">
        <v>12</v>
      </c>
      <c r="T111" s="305" t="s">
        <v>530</v>
      </c>
      <c r="U111" s="306">
        <v>15</v>
      </c>
      <c r="V111" s="305">
        <v>5</v>
      </c>
      <c r="W111" s="303">
        <v>0.7</v>
      </c>
      <c r="X111" s="303">
        <v>0.7</v>
      </c>
      <c r="Y111" s="303">
        <v>0.7</v>
      </c>
      <c r="Z111" s="303">
        <v>1700</v>
      </c>
      <c r="AA111" s="303" t="s">
        <v>531</v>
      </c>
      <c r="AB111" s="303">
        <v>0.85</v>
      </c>
      <c r="AC111" s="303" t="s">
        <v>532</v>
      </c>
      <c r="AD111" s="303" t="s">
        <v>533</v>
      </c>
      <c r="AE111" s="303">
        <v>220</v>
      </c>
      <c r="AF111" s="134"/>
      <c r="AG111" s="301"/>
    </row>
    <row r="112" spans="1:33" ht="15.75">
      <c r="A112" s="302" t="s">
        <v>534</v>
      </c>
      <c r="B112" s="303" t="s">
        <v>527</v>
      </c>
      <c r="C112" s="303" t="s">
        <v>528</v>
      </c>
      <c r="D112" s="303" t="s">
        <v>529</v>
      </c>
      <c r="E112" s="303">
        <v>1</v>
      </c>
      <c r="F112" s="304">
        <v>45412.477777777778</v>
      </c>
      <c r="G112" s="303">
        <v>1</v>
      </c>
      <c r="H112" s="303">
        <v>51.370800000000003</v>
      </c>
      <c r="I112" s="303">
        <v>12.581300000000001</v>
      </c>
      <c r="J112" s="303">
        <v>-20.809750000000001</v>
      </c>
      <c r="K112" s="303">
        <v>-19.964130999999998</v>
      </c>
      <c r="L112" s="303">
        <v>864.39700000000005</v>
      </c>
      <c r="M112" s="303">
        <v>90.999987000000004</v>
      </c>
      <c r="N112" s="303">
        <v>11276.63069</v>
      </c>
      <c r="O112" s="303">
        <v>11276.63069</v>
      </c>
      <c r="P112" s="305">
        <v>1992.6189919999999</v>
      </c>
      <c r="Q112" s="299">
        <f t="shared" si="0"/>
        <v>1992.6189919999999</v>
      </c>
      <c r="R112" s="300" t="s">
        <v>230</v>
      </c>
      <c r="S112" s="300" t="s">
        <v>12</v>
      </c>
      <c r="T112" s="305" t="s">
        <v>530</v>
      </c>
      <c r="U112" s="306">
        <v>15</v>
      </c>
      <c r="V112" s="305">
        <v>5</v>
      </c>
      <c r="W112" s="303">
        <v>0.7</v>
      </c>
      <c r="X112" s="303">
        <v>0.7</v>
      </c>
      <c r="Y112" s="303">
        <v>0.7</v>
      </c>
      <c r="Z112" s="303">
        <v>1700</v>
      </c>
      <c r="AA112" s="303" t="s">
        <v>531</v>
      </c>
      <c r="AB112" s="303">
        <v>0.85</v>
      </c>
      <c r="AC112" s="303" t="s">
        <v>532</v>
      </c>
      <c r="AD112" s="303" t="s">
        <v>533</v>
      </c>
      <c r="AE112" s="303">
        <v>220</v>
      </c>
      <c r="AF112" s="134"/>
      <c r="AG112" s="301"/>
    </row>
    <row r="113" spans="1:33" ht="15.75">
      <c r="A113" s="302" t="s">
        <v>535</v>
      </c>
      <c r="B113" s="303" t="s">
        <v>527</v>
      </c>
      <c r="C113" s="303" t="s">
        <v>528</v>
      </c>
      <c r="D113" s="303" t="s">
        <v>529</v>
      </c>
      <c r="E113" s="303">
        <v>1</v>
      </c>
      <c r="F113" s="304">
        <v>45412.480555555558</v>
      </c>
      <c r="G113" s="303">
        <v>1</v>
      </c>
      <c r="H113" s="303">
        <v>51.374099999999999</v>
      </c>
      <c r="I113" s="303">
        <v>11.1663</v>
      </c>
      <c r="J113" s="303">
        <v>-20.882856</v>
      </c>
      <c r="K113" s="303">
        <v>-20.033287999999999</v>
      </c>
      <c r="L113" s="303">
        <v>866.06500000000005</v>
      </c>
      <c r="M113" s="303">
        <v>96.500018999999995</v>
      </c>
      <c r="N113" s="303">
        <v>11318.585870000001</v>
      </c>
      <c r="O113" s="303">
        <v>11318.585870000001</v>
      </c>
      <c r="P113" s="305">
        <v>1999.908056</v>
      </c>
      <c r="Q113" s="299">
        <f t="shared" si="0"/>
        <v>1999.908056</v>
      </c>
      <c r="R113" s="300" t="s">
        <v>230</v>
      </c>
      <c r="S113" s="300" t="s">
        <v>12</v>
      </c>
      <c r="T113" s="305" t="s">
        <v>530</v>
      </c>
      <c r="U113" s="306">
        <v>15</v>
      </c>
      <c r="V113" s="305">
        <v>5</v>
      </c>
      <c r="W113" s="303">
        <v>0.7</v>
      </c>
      <c r="X113" s="303">
        <v>0.7</v>
      </c>
      <c r="Y113" s="303">
        <v>0.7</v>
      </c>
      <c r="Z113" s="303">
        <v>1700</v>
      </c>
      <c r="AA113" s="303" t="s">
        <v>531</v>
      </c>
      <c r="AB113" s="303">
        <v>0.85</v>
      </c>
      <c r="AC113" s="303" t="s">
        <v>532</v>
      </c>
      <c r="AD113" s="303" t="s">
        <v>533</v>
      </c>
      <c r="AE113" s="303">
        <v>220</v>
      </c>
      <c r="AF113" s="134"/>
      <c r="AG113" s="301"/>
    </row>
    <row r="114" spans="1:33" ht="15.75">
      <c r="A114" s="302" t="s">
        <v>536</v>
      </c>
      <c r="B114" s="303" t="s">
        <v>527</v>
      </c>
      <c r="C114" s="303" t="s">
        <v>528</v>
      </c>
      <c r="D114" s="303" t="s">
        <v>529</v>
      </c>
      <c r="E114" s="303">
        <v>1</v>
      </c>
      <c r="F114" s="304">
        <v>45412.48333333333</v>
      </c>
      <c r="G114" s="303">
        <v>1</v>
      </c>
      <c r="H114" s="303">
        <v>51.374099999999999</v>
      </c>
      <c r="I114" s="303">
        <v>10.4206</v>
      </c>
      <c r="J114" s="303">
        <v>-21.052762000000001</v>
      </c>
      <c r="K114" s="303">
        <v>-20.221212999999999</v>
      </c>
      <c r="L114" s="303">
        <v>865.64499999999998</v>
      </c>
      <c r="M114" s="303">
        <v>95.498709000000005</v>
      </c>
      <c r="N114" s="303">
        <v>11380.09072</v>
      </c>
      <c r="O114" s="303">
        <v>11380.09072</v>
      </c>
      <c r="P114" s="305">
        <v>2010.593574</v>
      </c>
      <c r="Q114" s="299">
        <f t="shared" si="0"/>
        <v>2010.593574</v>
      </c>
      <c r="R114" s="300" t="s">
        <v>230</v>
      </c>
      <c r="S114" s="300" t="s">
        <v>12</v>
      </c>
      <c r="T114" s="305" t="s">
        <v>530</v>
      </c>
      <c r="U114" s="306">
        <v>15</v>
      </c>
      <c r="V114" s="305">
        <v>5</v>
      </c>
      <c r="W114" s="303">
        <v>0.7</v>
      </c>
      <c r="X114" s="303">
        <v>0.7</v>
      </c>
      <c r="Y114" s="303">
        <v>0.7</v>
      </c>
      <c r="Z114" s="303">
        <v>1700</v>
      </c>
      <c r="AA114" s="303" t="s">
        <v>531</v>
      </c>
      <c r="AB114" s="303">
        <v>0.85</v>
      </c>
      <c r="AC114" s="303" t="s">
        <v>532</v>
      </c>
      <c r="AD114" s="303" t="s">
        <v>533</v>
      </c>
      <c r="AE114" s="303">
        <v>220</v>
      </c>
      <c r="AF114" s="134"/>
      <c r="AG114" s="301"/>
    </row>
    <row r="115" spans="1:33" ht="15.75">
      <c r="A115" s="302" t="s">
        <v>537</v>
      </c>
      <c r="B115" s="303" t="s">
        <v>527</v>
      </c>
      <c r="C115" s="303" t="s">
        <v>528</v>
      </c>
      <c r="D115" s="303" t="s">
        <v>529</v>
      </c>
      <c r="E115" s="303">
        <v>1</v>
      </c>
      <c r="F115" s="304">
        <v>45412.508333333331</v>
      </c>
      <c r="G115" s="303">
        <v>1</v>
      </c>
      <c r="H115" s="303">
        <v>51.3675</v>
      </c>
      <c r="I115" s="303">
        <v>10.475099999999999</v>
      </c>
      <c r="J115" s="303">
        <v>-21.161943999999998</v>
      </c>
      <c r="K115" s="303">
        <v>-20.36645</v>
      </c>
      <c r="L115" s="303">
        <v>868.23099999999999</v>
      </c>
      <c r="M115" s="303">
        <v>101.00017200000001</v>
      </c>
      <c r="N115" s="303">
        <v>11327.68629</v>
      </c>
      <c r="O115" s="303">
        <v>11327.68629</v>
      </c>
      <c r="P115" s="305">
        <v>2001.4891130000001</v>
      </c>
      <c r="Q115" s="299">
        <f t="shared" si="0"/>
        <v>2001.4891130000001</v>
      </c>
      <c r="R115" s="300" t="s">
        <v>230</v>
      </c>
      <c r="S115" s="300" t="s">
        <v>12</v>
      </c>
      <c r="T115" s="305" t="s">
        <v>530</v>
      </c>
      <c r="U115" s="306">
        <v>15</v>
      </c>
      <c r="V115" s="305">
        <v>5</v>
      </c>
      <c r="W115" s="303">
        <v>0.7</v>
      </c>
      <c r="X115" s="303">
        <v>0.7</v>
      </c>
      <c r="Y115" s="303">
        <v>0.7</v>
      </c>
      <c r="Z115" s="303">
        <v>1700</v>
      </c>
      <c r="AA115" s="303" t="s">
        <v>531</v>
      </c>
      <c r="AB115" s="303">
        <v>0.85</v>
      </c>
      <c r="AC115" s="303" t="s">
        <v>532</v>
      </c>
      <c r="AD115" s="303" t="s">
        <v>533</v>
      </c>
      <c r="AE115" s="303">
        <v>220</v>
      </c>
      <c r="AF115" s="134"/>
      <c r="AG115" s="301"/>
    </row>
    <row r="116" spans="1:33" ht="15.75">
      <c r="A116" s="302" t="s">
        <v>538</v>
      </c>
      <c r="B116" s="303" t="s">
        <v>527</v>
      </c>
      <c r="C116" s="303" t="s">
        <v>528</v>
      </c>
      <c r="D116" s="303" t="s">
        <v>529</v>
      </c>
      <c r="E116" s="303">
        <v>1</v>
      </c>
      <c r="F116" s="304">
        <v>45412.511805555558</v>
      </c>
      <c r="G116" s="303">
        <v>1</v>
      </c>
      <c r="H116" s="303">
        <v>51.3675</v>
      </c>
      <c r="I116" s="303">
        <v>8.8581599999999998</v>
      </c>
      <c r="J116" s="303">
        <v>-21.235619</v>
      </c>
      <c r="K116" s="303">
        <v>-20.393049999999999</v>
      </c>
      <c r="L116" s="303">
        <v>871.399</v>
      </c>
      <c r="M116" s="303">
        <v>91.500048000000007</v>
      </c>
      <c r="N116" s="303">
        <v>11335.388199999999</v>
      </c>
      <c r="O116" s="303">
        <v>11335.388199999999</v>
      </c>
      <c r="P116" s="305">
        <v>2002.8272010000001</v>
      </c>
      <c r="Q116" s="299">
        <f t="shared" si="0"/>
        <v>2002.8272010000001</v>
      </c>
      <c r="R116" s="300" t="s">
        <v>230</v>
      </c>
      <c r="S116" s="300" t="s">
        <v>12</v>
      </c>
      <c r="T116" s="305" t="s">
        <v>530</v>
      </c>
      <c r="U116" s="306">
        <v>15</v>
      </c>
      <c r="V116" s="305">
        <v>5</v>
      </c>
      <c r="W116" s="303">
        <v>0.7</v>
      </c>
      <c r="X116" s="303">
        <v>0.7</v>
      </c>
      <c r="Y116" s="303">
        <v>0.7</v>
      </c>
      <c r="Z116" s="303">
        <v>1700</v>
      </c>
      <c r="AA116" s="303" t="s">
        <v>531</v>
      </c>
      <c r="AB116" s="303">
        <v>0.85</v>
      </c>
      <c r="AC116" s="303" t="s">
        <v>532</v>
      </c>
      <c r="AD116" s="303" t="s">
        <v>533</v>
      </c>
      <c r="AE116" s="303">
        <v>220</v>
      </c>
      <c r="AF116" s="134"/>
      <c r="AG116" s="301"/>
    </row>
    <row r="117" spans="1:33" ht="15.75">
      <c r="A117" s="302" t="s">
        <v>539</v>
      </c>
      <c r="B117" s="303" t="s">
        <v>527</v>
      </c>
      <c r="C117" s="303" t="s">
        <v>528</v>
      </c>
      <c r="D117" s="303" t="s">
        <v>529</v>
      </c>
      <c r="E117" s="303">
        <v>1</v>
      </c>
      <c r="F117" s="304">
        <v>45412.51458333333</v>
      </c>
      <c r="G117" s="303">
        <v>1</v>
      </c>
      <c r="H117" s="303">
        <v>51.374099999999999</v>
      </c>
      <c r="I117" s="303">
        <v>8.1968200000000007</v>
      </c>
      <c r="J117" s="303">
        <v>-21.199155999999999</v>
      </c>
      <c r="K117" s="303">
        <v>-20.352900000000002</v>
      </c>
      <c r="L117" s="303">
        <v>868.54</v>
      </c>
      <c r="M117" s="303">
        <v>91.998870999999994</v>
      </c>
      <c r="N117" s="303">
        <v>11319.48249</v>
      </c>
      <c r="O117" s="303">
        <v>11319.48249</v>
      </c>
      <c r="P117" s="305">
        <v>2000.0638300000001</v>
      </c>
      <c r="Q117" s="299">
        <f t="shared" si="0"/>
        <v>2000.0638300000001</v>
      </c>
      <c r="R117" s="300" t="s">
        <v>230</v>
      </c>
      <c r="S117" s="300" t="s">
        <v>12</v>
      </c>
      <c r="T117" s="305" t="s">
        <v>530</v>
      </c>
      <c r="U117" s="306">
        <v>15</v>
      </c>
      <c r="V117" s="305">
        <v>5</v>
      </c>
      <c r="W117" s="303">
        <v>0.7</v>
      </c>
      <c r="X117" s="303">
        <v>0.7</v>
      </c>
      <c r="Y117" s="303">
        <v>0.7</v>
      </c>
      <c r="Z117" s="303">
        <v>1700</v>
      </c>
      <c r="AA117" s="303" t="s">
        <v>531</v>
      </c>
      <c r="AB117" s="303">
        <v>0.85</v>
      </c>
      <c r="AC117" s="303" t="s">
        <v>532</v>
      </c>
      <c r="AD117" s="303" t="s">
        <v>533</v>
      </c>
      <c r="AE117" s="303">
        <v>220</v>
      </c>
      <c r="AF117" s="134"/>
      <c r="AG117" s="301"/>
    </row>
    <row r="118" spans="1:33" ht="15.75">
      <c r="A118" s="302" t="s">
        <v>540</v>
      </c>
      <c r="B118" s="303" t="s">
        <v>527</v>
      </c>
      <c r="C118" s="303" t="s">
        <v>528</v>
      </c>
      <c r="D118" s="303" t="s">
        <v>529</v>
      </c>
      <c r="E118" s="303">
        <v>1</v>
      </c>
      <c r="F118" s="304">
        <v>45412.517361111109</v>
      </c>
      <c r="G118" s="303">
        <v>1</v>
      </c>
      <c r="H118" s="303">
        <v>51.370800000000003</v>
      </c>
      <c r="I118" s="303">
        <v>7.9399499999999996</v>
      </c>
      <c r="J118" s="303">
        <v>-21.244644000000001</v>
      </c>
      <c r="K118" s="303">
        <v>-20.408894</v>
      </c>
      <c r="L118" s="303">
        <v>878.99</v>
      </c>
      <c r="M118" s="303">
        <v>99.500900999999999</v>
      </c>
      <c r="N118" s="303">
        <v>11366.37981</v>
      </c>
      <c r="O118" s="303">
        <v>11366.37981</v>
      </c>
      <c r="P118" s="305">
        <v>2008.211515</v>
      </c>
      <c r="Q118" s="299">
        <f t="shared" si="0"/>
        <v>2008.211515</v>
      </c>
      <c r="R118" s="300" t="s">
        <v>230</v>
      </c>
      <c r="S118" s="300" t="s">
        <v>12</v>
      </c>
      <c r="T118" s="305" t="s">
        <v>530</v>
      </c>
      <c r="U118" s="306">
        <v>15</v>
      </c>
      <c r="V118" s="305">
        <v>5</v>
      </c>
      <c r="W118" s="303">
        <v>0.7</v>
      </c>
      <c r="X118" s="303">
        <v>0.7</v>
      </c>
      <c r="Y118" s="303">
        <v>0.7</v>
      </c>
      <c r="Z118" s="303">
        <v>1700</v>
      </c>
      <c r="AA118" s="303" t="s">
        <v>531</v>
      </c>
      <c r="AB118" s="303">
        <v>0.85</v>
      </c>
      <c r="AC118" s="303" t="s">
        <v>532</v>
      </c>
      <c r="AD118" s="303" t="s">
        <v>533</v>
      </c>
      <c r="AE118" s="303">
        <v>220</v>
      </c>
      <c r="AF118" s="134"/>
      <c r="AG118" s="301"/>
    </row>
    <row r="119" spans="1:33" ht="15.75">
      <c r="A119" s="302" t="s">
        <v>541</v>
      </c>
      <c r="B119" s="303" t="s">
        <v>527</v>
      </c>
      <c r="C119" s="303" t="s">
        <v>528</v>
      </c>
      <c r="D119" s="303" t="s">
        <v>529</v>
      </c>
      <c r="E119" s="303">
        <v>1</v>
      </c>
      <c r="F119" s="304">
        <v>45412.522916666669</v>
      </c>
      <c r="G119" s="303">
        <v>1</v>
      </c>
      <c r="H119" s="303">
        <v>51.377400000000002</v>
      </c>
      <c r="I119" s="303">
        <v>7.8423499999999997</v>
      </c>
      <c r="J119" s="303">
        <v>-21.179881000000002</v>
      </c>
      <c r="K119" s="303">
        <v>-20.350830999999999</v>
      </c>
      <c r="L119" s="303">
        <v>866.19799999999998</v>
      </c>
      <c r="M119" s="303">
        <v>87.500600000000006</v>
      </c>
      <c r="N119" s="303">
        <v>11293.86959</v>
      </c>
      <c r="O119" s="303">
        <v>11293.86959</v>
      </c>
      <c r="P119" s="305">
        <v>1995.6139840000001</v>
      </c>
      <c r="Q119" s="299">
        <f t="shared" si="0"/>
        <v>1995.6139840000001</v>
      </c>
      <c r="R119" s="300" t="s">
        <v>230</v>
      </c>
      <c r="S119" s="300" t="s">
        <v>12</v>
      </c>
      <c r="T119" s="305" t="s">
        <v>530</v>
      </c>
      <c r="U119" s="306">
        <v>15</v>
      </c>
      <c r="V119" s="305">
        <v>5</v>
      </c>
      <c r="W119" s="303">
        <v>0.7</v>
      </c>
      <c r="X119" s="303">
        <v>0.7</v>
      </c>
      <c r="Y119" s="303">
        <v>0.7</v>
      </c>
      <c r="Z119" s="303">
        <v>1700</v>
      </c>
      <c r="AA119" s="303" t="s">
        <v>531</v>
      </c>
      <c r="AB119" s="303">
        <v>0.85</v>
      </c>
      <c r="AC119" s="303" t="s">
        <v>532</v>
      </c>
      <c r="AD119" s="303" t="s">
        <v>533</v>
      </c>
      <c r="AE119" s="303">
        <v>220</v>
      </c>
      <c r="AF119" s="134"/>
      <c r="AG119" s="301"/>
    </row>
    <row r="120" spans="1:33" ht="15.75">
      <c r="A120" s="302" t="s">
        <v>657</v>
      </c>
      <c r="B120" s="303" t="s">
        <v>527</v>
      </c>
      <c r="C120" s="303" t="s">
        <v>528</v>
      </c>
      <c r="D120" s="303" t="s">
        <v>529</v>
      </c>
      <c r="E120" s="303">
        <v>1</v>
      </c>
      <c r="F120" s="304">
        <v>45412.525694444441</v>
      </c>
      <c r="G120" s="303">
        <v>1</v>
      </c>
      <c r="H120" s="303">
        <v>51.370800000000003</v>
      </c>
      <c r="I120" s="303">
        <v>7.6779299999999999</v>
      </c>
      <c r="J120" s="303">
        <v>-21.237462000000001</v>
      </c>
      <c r="K120" s="303">
        <v>-20.388462000000001</v>
      </c>
      <c r="L120" s="303">
        <v>871.61199999999997</v>
      </c>
      <c r="M120" s="303">
        <v>86.499469000000005</v>
      </c>
      <c r="N120" s="303">
        <v>11349.87139</v>
      </c>
      <c r="O120" s="303">
        <v>11349.87139</v>
      </c>
      <c r="P120" s="305">
        <v>2005.343431</v>
      </c>
      <c r="Q120" s="299">
        <f t="shared" si="0"/>
        <v>2005.343431</v>
      </c>
      <c r="R120" s="300" t="s">
        <v>230</v>
      </c>
      <c r="S120" s="300" t="s">
        <v>12</v>
      </c>
      <c r="T120" s="305" t="s">
        <v>530</v>
      </c>
      <c r="U120" s="306">
        <v>15</v>
      </c>
      <c r="V120" s="305">
        <v>5</v>
      </c>
      <c r="W120" s="303">
        <v>0.7</v>
      </c>
      <c r="X120" s="303">
        <v>0.7</v>
      </c>
      <c r="Y120" s="303">
        <v>0.7</v>
      </c>
      <c r="Z120" s="303">
        <v>1700</v>
      </c>
      <c r="AA120" s="303" t="s">
        <v>531</v>
      </c>
      <c r="AB120" s="303">
        <v>0.85</v>
      </c>
      <c r="AC120" s="303" t="s">
        <v>532</v>
      </c>
      <c r="AD120" s="303" t="s">
        <v>533</v>
      </c>
      <c r="AE120" s="303">
        <v>220</v>
      </c>
      <c r="AF120" s="134"/>
      <c r="AG120" s="301"/>
    </row>
    <row r="121" spans="1:33" ht="15.75">
      <c r="A121" s="302" t="s">
        <v>557</v>
      </c>
      <c r="B121" s="303" t="s">
        <v>527</v>
      </c>
      <c r="C121" s="303" t="s">
        <v>528</v>
      </c>
      <c r="D121" s="303" t="s">
        <v>529</v>
      </c>
      <c r="E121" s="303">
        <v>1</v>
      </c>
      <c r="F121" s="304">
        <v>45412.52847222222</v>
      </c>
      <c r="G121" s="303">
        <v>1</v>
      </c>
      <c r="H121" s="303">
        <v>51.374099999999999</v>
      </c>
      <c r="I121" s="303">
        <v>7.59795</v>
      </c>
      <c r="J121" s="303">
        <v>-21.306543999999999</v>
      </c>
      <c r="K121" s="303">
        <v>-20.477830999999998</v>
      </c>
      <c r="L121" s="303">
        <v>880.846</v>
      </c>
      <c r="M121" s="303">
        <v>98.001597000000004</v>
      </c>
      <c r="N121" s="303">
        <v>11355.44203</v>
      </c>
      <c r="O121" s="303">
        <v>11355.44203</v>
      </c>
      <c r="P121" s="305">
        <v>2006.3112430000001</v>
      </c>
      <c r="Q121" s="299">
        <f t="shared" si="0"/>
        <v>2006.3112430000001</v>
      </c>
      <c r="R121" s="300" t="s">
        <v>230</v>
      </c>
      <c r="S121" s="300" t="s">
        <v>12</v>
      </c>
      <c r="T121" s="305" t="s">
        <v>530</v>
      </c>
      <c r="U121" s="306">
        <v>15</v>
      </c>
      <c r="V121" s="305">
        <v>5</v>
      </c>
      <c r="W121" s="303">
        <v>0.7</v>
      </c>
      <c r="X121" s="303">
        <v>0.7</v>
      </c>
      <c r="Y121" s="303">
        <v>0.7</v>
      </c>
      <c r="Z121" s="303">
        <v>1700</v>
      </c>
      <c r="AA121" s="303" t="s">
        <v>531</v>
      </c>
      <c r="AB121" s="303">
        <v>0.85</v>
      </c>
      <c r="AC121" s="303" t="s">
        <v>532</v>
      </c>
      <c r="AD121" s="303" t="s">
        <v>533</v>
      </c>
      <c r="AE121" s="303">
        <v>220</v>
      </c>
      <c r="AF121" s="134"/>
      <c r="AG121" s="301"/>
    </row>
    <row r="122" spans="1:33" ht="15.75">
      <c r="A122" s="302" t="s">
        <v>560</v>
      </c>
      <c r="B122" s="303" t="s">
        <v>527</v>
      </c>
      <c r="C122" s="303" t="s">
        <v>528</v>
      </c>
      <c r="D122" s="303" t="s">
        <v>529</v>
      </c>
      <c r="E122" s="303">
        <v>1</v>
      </c>
      <c r="F122" s="304">
        <v>45412.531944444447</v>
      </c>
      <c r="G122" s="303">
        <v>1</v>
      </c>
      <c r="H122" s="303">
        <v>51.3675</v>
      </c>
      <c r="I122" s="303">
        <v>7.5032800000000002</v>
      </c>
      <c r="J122" s="303">
        <v>-21.28105</v>
      </c>
      <c r="K122" s="303">
        <v>-20.461544</v>
      </c>
      <c r="L122" s="303">
        <v>876.42200000000003</v>
      </c>
      <c r="M122" s="303">
        <v>92.498980000000003</v>
      </c>
      <c r="N122" s="303">
        <v>11362.45234</v>
      </c>
      <c r="O122" s="303">
        <v>11362.45234</v>
      </c>
      <c r="P122" s="305">
        <v>2007.5291769999999</v>
      </c>
      <c r="Q122" s="299">
        <f t="shared" si="0"/>
        <v>2007.5291769999999</v>
      </c>
      <c r="R122" s="300" t="s">
        <v>230</v>
      </c>
      <c r="S122" s="300" t="s">
        <v>12</v>
      </c>
      <c r="T122" s="305" t="s">
        <v>530</v>
      </c>
      <c r="U122" s="306">
        <v>15</v>
      </c>
      <c r="V122" s="305">
        <v>5</v>
      </c>
      <c r="W122" s="303">
        <v>0.7</v>
      </c>
      <c r="X122" s="303">
        <v>0.7</v>
      </c>
      <c r="Y122" s="303">
        <v>0.7</v>
      </c>
      <c r="Z122" s="303">
        <v>1700</v>
      </c>
      <c r="AA122" s="303" t="s">
        <v>531</v>
      </c>
      <c r="AB122" s="303">
        <v>0.85</v>
      </c>
      <c r="AC122" s="303" t="s">
        <v>532</v>
      </c>
      <c r="AD122" s="303" t="s">
        <v>533</v>
      </c>
      <c r="AE122" s="303">
        <v>220</v>
      </c>
      <c r="AF122" s="134"/>
      <c r="AG122" s="301"/>
    </row>
    <row r="123" spans="1:33" ht="15.75">
      <c r="A123" s="302" t="s">
        <v>564</v>
      </c>
      <c r="B123" s="303" t="s">
        <v>527</v>
      </c>
      <c r="C123" s="303" t="s">
        <v>528</v>
      </c>
      <c r="D123" s="303" t="s">
        <v>529</v>
      </c>
      <c r="E123" s="303">
        <v>1</v>
      </c>
      <c r="F123" s="304">
        <v>45412.534722222219</v>
      </c>
      <c r="G123" s="303">
        <v>1</v>
      </c>
      <c r="H123" s="303">
        <v>51.370800000000003</v>
      </c>
      <c r="I123" s="303">
        <v>7.5446299999999997</v>
      </c>
      <c r="J123" s="303">
        <v>-21.198062</v>
      </c>
      <c r="K123" s="303">
        <v>-20.349824999999999</v>
      </c>
      <c r="L123" s="303">
        <v>865.673</v>
      </c>
      <c r="M123" s="303">
        <v>90.000078999999999</v>
      </c>
      <c r="N123" s="303">
        <v>11348.09714</v>
      </c>
      <c r="O123" s="303">
        <v>11348.09714</v>
      </c>
      <c r="P123" s="305">
        <v>2005.035183</v>
      </c>
      <c r="Q123" s="299">
        <f t="shared" si="0"/>
        <v>2005.035183</v>
      </c>
      <c r="R123" s="300" t="s">
        <v>230</v>
      </c>
      <c r="S123" s="300" t="s">
        <v>12</v>
      </c>
      <c r="T123" s="305" t="s">
        <v>530</v>
      </c>
      <c r="U123" s="306">
        <v>15</v>
      </c>
      <c r="V123" s="305">
        <v>5</v>
      </c>
      <c r="W123" s="303">
        <v>0.7</v>
      </c>
      <c r="X123" s="303">
        <v>0.7</v>
      </c>
      <c r="Y123" s="303">
        <v>0.7</v>
      </c>
      <c r="Z123" s="303">
        <v>1700</v>
      </c>
      <c r="AA123" s="303" t="s">
        <v>531</v>
      </c>
      <c r="AB123" s="303">
        <v>0.85</v>
      </c>
      <c r="AC123" s="303" t="s">
        <v>532</v>
      </c>
      <c r="AD123" s="303" t="s">
        <v>533</v>
      </c>
      <c r="AE123" s="303">
        <v>220</v>
      </c>
      <c r="AF123" s="134"/>
      <c r="AG123" s="301"/>
    </row>
    <row r="124" spans="1:33" ht="15.75">
      <c r="A124" s="302" t="s">
        <v>658</v>
      </c>
      <c r="B124" s="303" t="s">
        <v>543</v>
      </c>
      <c r="C124" s="303" t="s">
        <v>659</v>
      </c>
      <c r="D124" s="303" t="s">
        <v>529</v>
      </c>
      <c r="E124" s="303">
        <v>1.2</v>
      </c>
      <c r="F124" s="304">
        <v>45412.543055555558</v>
      </c>
      <c r="G124" s="303">
        <v>1</v>
      </c>
      <c r="H124" s="303">
        <v>51.370800000000003</v>
      </c>
      <c r="I124" s="303">
        <v>7.6368999999999998</v>
      </c>
      <c r="J124" s="303">
        <v>-21.298375</v>
      </c>
      <c r="K124" s="303">
        <v>-20.457588000000001</v>
      </c>
      <c r="L124" s="303">
        <v>960.74800000000005</v>
      </c>
      <c r="M124" s="303">
        <v>95.999251999999998</v>
      </c>
      <c r="N124" s="303">
        <v>13912.15437</v>
      </c>
      <c r="O124" s="303">
        <v>0</v>
      </c>
      <c r="P124" s="305">
        <v>2070.35</v>
      </c>
      <c r="Q124" s="299">
        <f t="shared" si="0"/>
        <v>2070.35</v>
      </c>
      <c r="R124" s="300" t="s">
        <v>230</v>
      </c>
      <c r="S124" s="300" t="s">
        <v>12</v>
      </c>
      <c r="T124" s="305" t="s">
        <v>583</v>
      </c>
      <c r="U124" s="306">
        <v>15</v>
      </c>
      <c r="V124" s="305">
        <v>5</v>
      </c>
      <c r="W124" s="303">
        <v>0.7</v>
      </c>
      <c r="X124" s="303">
        <v>0.7</v>
      </c>
      <c r="Y124" s="303">
        <v>0.7</v>
      </c>
      <c r="Z124" s="303">
        <v>1700</v>
      </c>
      <c r="AA124" s="303" t="s">
        <v>531</v>
      </c>
      <c r="AB124" s="303">
        <v>0.85</v>
      </c>
      <c r="AC124" s="303" t="s">
        <v>532</v>
      </c>
      <c r="AD124" s="303" t="s">
        <v>533</v>
      </c>
      <c r="AE124" s="303">
        <v>220</v>
      </c>
      <c r="AF124" s="134"/>
      <c r="AG124" s="301"/>
    </row>
    <row r="125" spans="1:33" ht="15.75">
      <c r="A125" s="302" t="s">
        <v>660</v>
      </c>
      <c r="B125" s="303" t="s">
        <v>543</v>
      </c>
      <c r="C125" s="303" t="s">
        <v>659</v>
      </c>
      <c r="D125" s="303" t="s">
        <v>529</v>
      </c>
      <c r="E125" s="303">
        <v>1.2</v>
      </c>
      <c r="F125" s="304">
        <v>45412.54583333333</v>
      </c>
      <c r="G125" s="303">
        <v>1</v>
      </c>
      <c r="H125" s="303">
        <v>51.370800000000003</v>
      </c>
      <c r="I125" s="303">
        <v>7.4595200000000004</v>
      </c>
      <c r="J125" s="303">
        <v>-21.300487</v>
      </c>
      <c r="K125" s="303">
        <v>-20.46285</v>
      </c>
      <c r="L125" s="303">
        <v>947.06700000000001</v>
      </c>
      <c r="M125" s="303">
        <v>94.001007000000001</v>
      </c>
      <c r="N125" s="303">
        <v>14036.89631</v>
      </c>
      <c r="O125" s="303">
        <v>0</v>
      </c>
      <c r="P125" s="305">
        <v>2070.35</v>
      </c>
      <c r="Q125" s="299">
        <f t="shared" si="0"/>
        <v>2070.35</v>
      </c>
      <c r="R125" s="300" t="s">
        <v>230</v>
      </c>
      <c r="S125" s="300" t="s">
        <v>12</v>
      </c>
      <c r="T125" s="305" t="s">
        <v>583</v>
      </c>
      <c r="U125" s="306">
        <v>15</v>
      </c>
      <c r="V125" s="305">
        <v>5</v>
      </c>
      <c r="W125" s="303">
        <v>0.7</v>
      </c>
      <c r="X125" s="303">
        <v>0.7</v>
      </c>
      <c r="Y125" s="303">
        <v>0.7</v>
      </c>
      <c r="Z125" s="303">
        <v>1700</v>
      </c>
      <c r="AA125" s="303" t="s">
        <v>531</v>
      </c>
      <c r="AB125" s="303">
        <v>0.85</v>
      </c>
      <c r="AC125" s="303" t="s">
        <v>532</v>
      </c>
      <c r="AD125" s="303" t="s">
        <v>533</v>
      </c>
      <c r="AE125" s="303">
        <v>220</v>
      </c>
      <c r="AF125" s="134"/>
      <c r="AG125" s="134"/>
    </row>
    <row r="126" spans="1:33" ht="15.75">
      <c r="A126" s="302" t="s">
        <v>661</v>
      </c>
      <c r="B126" s="303" t="s">
        <v>543</v>
      </c>
      <c r="C126" s="303" t="s">
        <v>659</v>
      </c>
      <c r="D126" s="303" t="s">
        <v>529</v>
      </c>
      <c r="E126" s="303">
        <v>1.2</v>
      </c>
      <c r="F126" s="304">
        <v>45412.549305555556</v>
      </c>
      <c r="G126" s="303">
        <v>1</v>
      </c>
      <c r="H126" s="303">
        <v>51.370800000000003</v>
      </c>
      <c r="I126" s="303">
        <v>7.3733599999999999</v>
      </c>
      <c r="J126" s="303">
        <v>-21.348637</v>
      </c>
      <c r="K126" s="303">
        <v>-20.510269000000001</v>
      </c>
      <c r="L126" s="303">
        <v>959.65700000000004</v>
      </c>
      <c r="M126" s="303">
        <v>107.499461</v>
      </c>
      <c r="N126" s="303">
        <v>14076.07638</v>
      </c>
      <c r="O126" s="303">
        <v>0</v>
      </c>
      <c r="P126" s="305">
        <v>2070.35</v>
      </c>
      <c r="Q126" s="299">
        <f t="shared" si="0"/>
        <v>2070.35</v>
      </c>
      <c r="R126" s="300" t="s">
        <v>230</v>
      </c>
      <c r="S126" s="300" t="s">
        <v>12</v>
      </c>
      <c r="T126" s="305" t="s">
        <v>583</v>
      </c>
      <c r="U126" s="306">
        <v>15</v>
      </c>
      <c r="V126" s="305">
        <v>5</v>
      </c>
      <c r="W126" s="303">
        <v>0.7</v>
      </c>
      <c r="X126" s="303">
        <v>0.7</v>
      </c>
      <c r="Y126" s="303">
        <v>0.7</v>
      </c>
      <c r="Z126" s="303">
        <v>1700</v>
      </c>
      <c r="AA126" s="303" t="s">
        <v>531</v>
      </c>
      <c r="AB126" s="303">
        <v>0.85</v>
      </c>
      <c r="AC126" s="303" t="s">
        <v>532</v>
      </c>
      <c r="AD126" s="303" t="s">
        <v>533</v>
      </c>
      <c r="AE126" s="303">
        <v>220</v>
      </c>
      <c r="AF126" s="134"/>
      <c r="AG126" s="134"/>
    </row>
    <row r="127" spans="1:33" ht="15.75">
      <c r="A127" s="302" t="s">
        <v>662</v>
      </c>
      <c r="B127" s="303" t="s">
        <v>543</v>
      </c>
      <c r="C127" s="303" t="s">
        <v>659</v>
      </c>
      <c r="D127" s="303" t="s">
        <v>529</v>
      </c>
      <c r="E127" s="303">
        <v>1.2</v>
      </c>
      <c r="F127" s="304">
        <v>45412.552777777775</v>
      </c>
      <c r="G127" s="303">
        <v>1</v>
      </c>
      <c r="H127" s="303">
        <v>51.374099999999999</v>
      </c>
      <c r="I127" s="303">
        <v>7.3299300000000001</v>
      </c>
      <c r="J127" s="303">
        <v>-21.250513000000002</v>
      </c>
      <c r="K127" s="303">
        <v>-20.404506000000001</v>
      </c>
      <c r="L127" s="303">
        <v>956.56700000000001</v>
      </c>
      <c r="M127" s="303">
        <v>98.000544000000005</v>
      </c>
      <c r="N127" s="303">
        <v>14018.215690000001</v>
      </c>
      <c r="O127" s="303">
        <v>0</v>
      </c>
      <c r="P127" s="305">
        <v>2070.35</v>
      </c>
      <c r="Q127" s="299">
        <f t="shared" si="0"/>
        <v>2070.35</v>
      </c>
      <c r="R127" s="300" t="s">
        <v>230</v>
      </c>
      <c r="S127" s="300" t="s">
        <v>12</v>
      </c>
      <c r="T127" s="305" t="s">
        <v>583</v>
      </c>
      <c r="U127" s="306">
        <v>15</v>
      </c>
      <c r="V127" s="305">
        <v>5</v>
      </c>
      <c r="W127" s="303">
        <v>0.7</v>
      </c>
      <c r="X127" s="303">
        <v>0.7</v>
      </c>
      <c r="Y127" s="303">
        <v>0.7</v>
      </c>
      <c r="Z127" s="303">
        <v>1700</v>
      </c>
      <c r="AA127" s="303" t="s">
        <v>531</v>
      </c>
      <c r="AB127" s="303">
        <v>0.85</v>
      </c>
      <c r="AC127" s="303" t="s">
        <v>532</v>
      </c>
      <c r="AD127" s="303" t="s">
        <v>533</v>
      </c>
      <c r="AE127" s="303">
        <v>220</v>
      </c>
      <c r="AF127" s="134"/>
      <c r="AG127" s="134"/>
    </row>
    <row r="128" spans="1:33" ht="15.75">
      <c r="A128" s="302" t="s">
        <v>663</v>
      </c>
      <c r="B128" s="303" t="s">
        <v>543</v>
      </c>
      <c r="C128" s="303" t="s">
        <v>659</v>
      </c>
      <c r="D128" s="303" t="s">
        <v>529</v>
      </c>
      <c r="E128" s="303">
        <v>1.2</v>
      </c>
      <c r="F128" s="304">
        <v>45412.555555555555</v>
      </c>
      <c r="G128" s="303">
        <v>1</v>
      </c>
      <c r="H128" s="303">
        <v>51.374099999999999</v>
      </c>
      <c r="I128" s="303">
        <v>7.2700199999999997</v>
      </c>
      <c r="J128" s="303">
        <v>-21.281813</v>
      </c>
      <c r="K128" s="303">
        <v>-20.452055999999999</v>
      </c>
      <c r="L128" s="303">
        <v>941.98299999999995</v>
      </c>
      <c r="M128" s="303">
        <v>105.999279</v>
      </c>
      <c r="N128" s="303">
        <v>13931.229170000001</v>
      </c>
      <c r="O128" s="303">
        <v>0</v>
      </c>
      <c r="P128" s="305">
        <v>2070.35</v>
      </c>
      <c r="Q128" s="299">
        <f t="shared" si="0"/>
        <v>2070.35</v>
      </c>
      <c r="R128" s="300" t="s">
        <v>230</v>
      </c>
      <c r="S128" s="300" t="s">
        <v>12</v>
      </c>
      <c r="T128" s="305" t="s">
        <v>583</v>
      </c>
      <c r="U128" s="306">
        <v>15</v>
      </c>
      <c r="V128" s="305">
        <v>5</v>
      </c>
      <c r="W128" s="303">
        <v>0.7</v>
      </c>
      <c r="X128" s="303">
        <v>0.7</v>
      </c>
      <c r="Y128" s="303">
        <v>0.7</v>
      </c>
      <c r="Z128" s="303">
        <v>1700</v>
      </c>
      <c r="AA128" s="303" t="s">
        <v>531</v>
      </c>
      <c r="AB128" s="303">
        <v>0.85</v>
      </c>
      <c r="AC128" s="303" t="s">
        <v>532</v>
      </c>
      <c r="AD128" s="303" t="s">
        <v>533</v>
      </c>
      <c r="AE128" s="303">
        <v>220</v>
      </c>
      <c r="AF128" s="134"/>
      <c r="AG128" s="134"/>
    </row>
    <row r="129" spans="1:33" ht="15.75">
      <c r="A129" s="302" t="s">
        <v>664</v>
      </c>
      <c r="B129" s="303" t="s">
        <v>543</v>
      </c>
      <c r="C129" s="303" t="s">
        <v>659</v>
      </c>
      <c r="D129" s="303" t="s">
        <v>529</v>
      </c>
      <c r="E129" s="303">
        <v>1.2</v>
      </c>
      <c r="F129" s="304">
        <v>45412.559027777781</v>
      </c>
      <c r="G129" s="303">
        <v>2</v>
      </c>
      <c r="H129" s="303">
        <v>51.370800000000003</v>
      </c>
      <c r="I129" s="303">
        <v>7.2425300000000004</v>
      </c>
      <c r="J129" s="303">
        <v>-21.266331000000001</v>
      </c>
      <c r="K129" s="303">
        <v>-20.433593999999999</v>
      </c>
      <c r="L129" s="303">
        <v>970.59299999999996</v>
      </c>
      <c r="M129" s="303">
        <v>98.999594000000002</v>
      </c>
      <c r="N129" s="303">
        <v>14072.07382</v>
      </c>
      <c r="O129" s="303">
        <v>14076.12436</v>
      </c>
      <c r="P129" s="305">
        <v>2070.35</v>
      </c>
      <c r="Q129" s="299">
        <f t="shared" si="0"/>
        <v>2070.35</v>
      </c>
      <c r="R129" s="300" t="s">
        <v>230</v>
      </c>
      <c r="S129" s="300" t="s">
        <v>12</v>
      </c>
      <c r="T129" s="305" t="s">
        <v>530</v>
      </c>
      <c r="U129" s="306">
        <v>15</v>
      </c>
      <c r="V129" s="305">
        <v>5</v>
      </c>
      <c r="W129" s="303">
        <v>0.7</v>
      </c>
      <c r="X129" s="303">
        <v>0.7</v>
      </c>
      <c r="Y129" s="303">
        <v>0.7</v>
      </c>
      <c r="Z129" s="303">
        <v>1700</v>
      </c>
      <c r="AA129" s="303" t="s">
        <v>531</v>
      </c>
      <c r="AB129" s="303">
        <v>0.85</v>
      </c>
      <c r="AC129" s="303" t="s">
        <v>532</v>
      </c>
      <c r="AD129" s="303" t="s">
        <v>533</v>
      </c>
      <c r="AE129" s="303">
        <v>220</v>
      </c>
      <c r="AF129" s="134"/>
      <c r="AG129" s="134"/>
    </row>
    <row r="130" spans="1:33" ht="15.75">
      <c r="A130" s="302" t="s">
        <v>665</v>
      </c>
      <c r="B130" s="303" t="s">
        <v>543</v>
      </c>
      <c r="C130" s="303" t="s">
        <v>659</v>
      </c>
      <c r="D130" s="303" t="s">
        <v>529</v>
      </c>
      <c r="E130" s="303">
        <v>1.2</v>
      </c>
      <c r="F130" s="304">
        <v>45412.5625</v>
      </c>
      <c r="G130" s="303">
        <v>2</v>
      </c>
      <c r="H130" s="303">
        <v>51.370800000000003</v>
      </c>
      <c r="I130" s="303">
        <v>7.26654</v>
      </c>
      <c r="J130" s="303">
        <v>-21.315237</v>
      </c>
      <c r="K130" s="303">
        <v>-20.475956</v>
      </c>
      <c r="L130" s="303">
        <v>954.952</v>
      </c>
      <c r="M130" s="303">
        <v>105.500562</v>
      </c>
      <c r="N130" s="303">
        <v>14086.87775</v>
      </c>
      <c r="O130" s="303">
        <v>14076.12436</v>
      </c>
      <c r="P130" s="305">
        <v>2070.35</v>
      </c>
      <c r="Q130" s="299">
        <f t="shared" si="0"/>
        <v>2070.35</v>
      </c>
      <c r="R130" s="300" t="s">
        <v>230</v>
      </c>
      <c r="S130" s="300" t="s">
        <v>12</v>
      </c>
      <c r="T130" s="305" t="s">
        <v>530</v>
      </c>
      <c r="U130" s="306">
        <v>15</v>
      </c>
      <c r="V130" s="305">
        <v>5</v>
      </c>
      <c r="W130" s="303">
        <v>0.7</v>
      </c>
      <c r="X130" s="303">
        <v>0.7</v>
      </c>
      <c r="Y130" s="303">
        <v>0.7</v>
      </c>
      <c r="Z130" s="303">
        <v>1700</v>
      </c>
      <c r="AA130" s="303" t="s">
        <v>531</v>
      </c>
      <c r="AB130" s="303">
        <v>0.85</v>
      </c>
      <c r="AC130" s="303" t="s">
        <v>532</v>
      </c>
      <c r="AD130" s="303" t="s">
        <v>533</v>
      </c>
      <c r="AE130" s="303">
        <v>220</v>
      </c>
      <c r="AF130" s="134"/>
      <c r="AG130" s="134"/>
    </row>
    <row r="131" spans="1:33" ht="15.75">
      <c r="A131" s="302" t="s">
        <v>666</v>
      </c>
      <c r="B131" s="303" t="s">
        <v>543</v>
      </c>
      <c r="C131" s="303" t="s">
        <v>659</v>
      </c>
      <c r="D131" s="303" t="s">
        <v>529</v>
      </c>
      <c r="E131" s="303">
        <v>1.2</v>
      </c>
      <c r="F131" s="304">
        <v>45412.565972222219</v>
      </c>
      <c r="G131" s="303">
        <v>2</v>
      </c>
      <c r="H131" s="303">
        <v>51.380699999999997</v>
      </c>
      <c r="I131" s="303">
        <v>7.2269800000000002</v>
      </c>
      <c r="J131" s="303">
        <v>-21.254587000000001</v>
      </c>
      <c r="K131" s="303">
        <v>-20.407662999999999</v>
      </c>
      <c r="L131" s="303">
        <v>960.96</v>
      </c>
      <c r="M131" s="303">
        <v>99.498354000000006</v>
      </c>
      <c r="N131" s="303">
        <v>14018.52101</v>
      </c>
      <c r="O131" s="303">
        <v>14076.12436</v>
      </c>
      <c r="P131" s="305">
        <v>2070.35</v>
      </c>
      <c r="Q131" s="299">
        <f t="shared" si="0"/>
        <v>2070.35</v>
      </c>
      <c r="R131" s="300" t="s">
        <v>230</v>
      </c>
      <c r="S131" s="300" t="s">
        <v>12</v>
      </c>
      <c r="T131" s="305" t="s">
        <v>545</v>
      </c>
      <c r="U131" s="306">
        <v>15</v>
      </c>
      <c r="V131" s="305">
        <v>5</v>
      </c>
      <c r="W131" s="303">
        <v>0.7</v>
      </c>
      <c r="X131" s="303">
        <v>0.7</v>
      </c>
      <c r="Y131" s="303">
        <v>0.7</v>
      </c>
      <c r="Z131" s="303">
        <v>1700</v>
      </c>
      <c r="AA131" s="303" t="s">
        <v>531</v>
      </c>
      <c r="AB131" s="303">
        <v>0.85</v>
      </c>
      <c r="AC131" s="303" t="s">
        <v>532</v>
      </c>
      <c r="AD131" s="303" t="s">
        <v>533</v>
      </c>
      <c r="AE131" s="303">
        <v>220</v>
      </c>
      <c r="AF131" s="134"/>
      <c r="AG131" s="134"/>
    </row>
    <row r="132" spans="1:33" ht="15.75">
      <c r="A132" s="302" t="s">
        <v>667</v>
      </c>
      <c r="B132" s="303" t="s">
        <v>543</v>
      </c>
      <c r="C132" s="303" t="s">
        <v>659</v>
      </c>
      <c r="D132" s="303" t="s">
        <v>529</v>
      </c>
      <c r="E132" s="303">
        <v>1.2</v>
      </c>
      <c r="F132" s="304">
        <v>45412.568749999999</v>
      </c>
      <c r="G132" s="303">
        <v>2</v>
      </c>
      <c r="H132" s="303">
        <v>51.374099999999999</v>
      </c>
      <c r="I132" s="303">
        <v>7.1884300000000003</v>
      </c>
      <c r="J132" s="303">
        <v>-21.375437999999999</v>
      </c>
      <c r="K132" s="303">
        <v>-20.532005999999999</v>
      </c>
      <c r="L132" s="303">
        <v>955.56799999999998</v>
      </c>
      <c r="M132" s="303">
        <v>97.499809999999997</v>
      </c>
      <c r="N132" s="303">
        <v>14069.42152</v>
      </c>
      <c r="O132" s="303">
        <v>14076.12436</v>
      </c>
      <c r="P132" s="305">
        <v>2070.35</v>
      </c>
      <c r="Q132" s="299">
        <f t="shared" si="0"/>
        <v>2070.35</v>
      </c>
      <c r="R132" s="300" t="s">
        <v>230</v>
      </c>
      <c r="S132" s="300" t="s">
        <v>12</v>
      </c>
      <c r="T132" s="305" t="s">
        <v>530</v>
      </c>
      <c r="U132" s="306">
        <v>15</v>
      </c>
      <c r="V132" s="305">
        <v>5</v>
      </c>
      <c r="W132" s="303">
        <v>0.7</v>
      </c>
      <c r="X132" s="303">
        <v>0.7</v>
      </c>
      <c r="Y132" s="303">
        <v>0.7</v>
      </c>
      <c r="Z132" s="303">
        <v>1700</v>
      </c>
      <c r="AA132" s="303" t="s">
        <v>531</v>
      </c>
      <c r="AB132" s="303">
        <v>0.85</v>
      </c>
      <c r="AC132" s="303" t="s">
        <v>532</v>
      </c>
      <c r="AD132" s="303" t="s">
        <v>533</v>
      </c>
      <c r="AE132" s="303">
        <v>220</v>
      </c>
      <c r="AF132" s="134"/>
      <c r="AG132" s="134"/>
    </row>
    <row r="133" spans="1:33" ht="15.75">
      <c r="A133" s="302" t="s">
        <v>668</v>
      </c>
      <c r="B133" s="303" t="s">
        <v>550</v>
      </c>
      <c r="C133" s="303" t="s">
        <v>659</v>
      </c>
      <c r="D133" s="303" t="s">
        <v>529</v>
      </c>
      <c r="E133" s="303">
        <v>1.5</v>
      </c>
      <c r="F133" s="304">
        <v>45412.572222222225</v>
      </c>
      <c r="G133" s="303">
        <v>1</v>
      </c>
      <c r="H133" s="303">
        <v>51.370800000000003</v>
      </c>
      <c r="I133" s="303">
        <v>7.2051999999999996</v>
      </c>
      <c r="J133" s="303">
        <v>-21.361218999999998</v>
      </c>
      <c r="K133" s="303">
        <v>-20.517755999999999</v>
      </c>
      <c r="L133" s="303">
        <v>976.98599999999999</v>
      </c>
      <c r="M133" s="303">
        <v>110.00039700000001</v>
      </c>
      <c r="N133" s="303">
        <v>17584.692760000002</v>
      </c>
      <c r="O133" s="303">
        <v>0</v>
      </c>
      <c r="P133" s="305">
        <v>2070.35</v>
      </c>
      <c r="Q133" s="299">
        <f t="shared" si="0"/>
        <v>2070.35</v>
      </c>
      <c r="R133" s="300" t="s">
        <v>230</v>
      </c>
      <c r="S133" s="300" t="s">
        <v>12</v>
      </c>
      <c r="T133" s="305" t="s">
        <v>583</v>
      </c>
      <c r="U133" s="306">
        <v>15</v>
      </c>
      <c r="V133" s="305">
        <v>5</v>
      </c>
      <c r="W133" s="303">
        <v>0.7</v>
      </c>
      <c r="X133" s="303">
        <v>0.7</v>
      </c>
      <c r="Y133" s="303">
        <v>0.7</v>
      </c>
      <c r="Z133" s="303">
        <v>1700</v>
      </c>
      <c r="AA133" s="303" t="s">
        <v>531</v>
      </c>
      <c r="AB133" s="303">
        <v>0.85</v>
      </c>
      <c r="AC133" s="303" t="s">
        <v>532</v>
      </c>
      <c r="AD133" s="303" t="s">
        <v>533</v>
      </c>
      <c r="AE133" s="303">
        <v>220</v>
      </c>
      <c r="AF133" s="134"/>
      <c r="AG133" s="134"/>
    </row>
    <row r="134" spans="1:33" ht="15.75">
      <c r="A134" s="302" t="s">
        <v>669</v>
      </c>
      <c r="B134" s="303" t="s">
        <v>550</v>
      </c>
      <c r="C134" s="303" t="s">
        <v>659</v>
      </c>
      <c r="D134" s="303" t="s">
        <v>529</v>
      </c>
      <c r="E134" s="303">
        <v>1.5</v>
      </c>
      <c r="F134" s="304">
        <v>45412.575694444444</v>
      </c>
      <c r="G134" s="303">
        <v>1</v>
      </c>
      <c r="H134" s="303">
        <v>51.3675</v>
      </c>
      <c r="I134" s="303">
        <v>7.2068899999999996</v>
      </c>
      <c r="J134" s="303">
        <v>-21.288356</v>
      </c>
      <c r="K134" s="303">
        <v>-20.444125</v>
      </c>
      <c r="L134" s="303">
        <v>985.745</v>
      </c>
      <c r="M134" s="303">
        <v>107.50159499999999</v>
      </c>
      <c r="N134" s="303">
        <v>17594.324619999999</v>
      </c>
      <c r="O134" s="303">
        <v>0</v>
      </c>
      <c r="P134" s="305">
        <v>2070.35</v>
      </c>
      <c r="Q134" s="299">
        <f t="shared" si="0"/>
        <v>2070.35</v>
      </c>
      <c r="R134" s="300" t="s">
        <v>230</v>
      </c>
      <c r="S134" s="300" t="s">
        <v>12</v>
      </c>
      <c r="T134" s="305" t="s">
        <v>583</v>
      </c>
      <c r="U134" s="306">
        <v>15</v>
      </c>
      <c r="V134" s="305">
        <v>5</v>
      </c>
      <c r="W134" s="303">
        <v>0.7</v>
      </c>
      <c r="X134" s="303">
        <v>0.7</v>
      </c>
      <c r="Y134" s="303">
        <v>0.7</v>
      </c>
      <c r="Z134" s="303">
        <v>1700</v>
      </c>
      <c r="AA134" s="303" t="s">
        <v>531</v>
      </c>
      <c r="AB134" s="303">
        <v>0.85</v>
      </c>
      <c r="AC134" s="303" t="s">
        <v>532</v>
      </c>
      <c r="AD134" s="303" t="s">
        <v>533</v>
      </c>
      <c r="AE134" s="303">
        <v>220</v>
      </c>
      <c r="AF134" s="134"/>
      <c r="AG134" s="134"/>
    </row>
    <row r="135" spans="1:33" ht="15.75">
      <c r="A135" s="302" t="s">
        <v>670</v>
      </c>
      <c r="B135" s="303" t="s">
        <v>550</v>
      </c>
      <c r="C135" s="303" t="s">
        <v>659</v>
      </c>
      <c r="D135" s="303" t="s">
        <v>529</v>
      </c>
      <c r="E135" s="303">
        <v>1.5</v>
      </c>
      <c r="F135" s="304">
        <v>45412.57916666667</v>
      </c>
      <c r="G135" s="303">
        <v>1</v>
      </c>
      <c r="H135" s="303">
        <v>51.374099999999999</v>
      </c>
      <c r="I135" s="303">
        <v>7.1846199999999998</v>
      </c>
      <c r="J135" s="303">
        <v>-21.326830999999999</v>
      </c>
      <c r="K135" s="303">
        <v>-20.476931</v>
      </c>
      <c r="L135" s="303">
        <v>991.51300000000003</v>
      </c>
      <c r="M135" s="303">
        <v>110.999803</v>
      </c>
      <c r="N135" s="303">
        <v>17637.575390000002</v>
      </c>
      <c r="O135" s="303">
        <v>0</v>
      </c>
      <c r="P135" s="305">
        <v>2070.35</v>
      </c>
      <c r="Q135" s="299">
        <f t="shared" si="0"/>
        <v>2070.35</v>
      </c>
      <c r="R135" s="300" t="s">
        <v>230</v>
      </c>
      <c r="S135" s="300" t="s">
        <v>12</v>
      </c>
      <c r="T135" s="305" t="s">
        <v>583</v>
      </c>
      <c r="U135" s="306">
        <v>15</v>
      </c>
      <c r="V135" s="305">
        <v>5</v>
      </c>
      <c r="W135" s="303">
        <v>0.7</v>
      </c>
      <c r="X135" s="303">
        <v>0.7</v>
      </c>
      <c r="Y135" s="303">
        <v>0.7</v>
      </c>
      <c r="Z135" s="303">
        <v>1700</v>
      </c>
      <c r="AA135" s="303" t="s">
        <v>531</v>
      </c>
      <c r="AB135" s="303">
        <v>0.85</v>
      </c>
      <c r="AC135" s="303" t="s">
        <v>532</v>
      </c>
      <c r="AD135" s="303" t="s">
        <v>533</v>
      </c>
      <c r="AE135" s="303">
        <v>220</v>
      </c>
      <c r="AF135" s="134"/>
      <c r="AG135" s="134"/>
    </row>
    <row r="136" spans="1:33" ht="15.75">
      <c r="A136" s="302" t="s">
        <v>671</v>
      </c>
      <c r="B136" s="303" t="s">
        <v>550</v>
      </c>
      <c r="C136" s="303" t="s">
        <v>659</v>
      </c>
      <c r="D136" s="303" t="s">
        <v>529</v>
      </c>
      <c r="E136" s="303">
        <v>1.5</v>
      </c>
      <c r="F136" s="304">
        <v>45412.582638888889</v>
      </c>
      <c r="G136" s="303">
        <v>1</v>
      </c>
      <c r="H136" s="303">
        <v>51.374099999999999</v>
      </c>
      <c r="I136" s="303">
        <v>7.1543200000000002</v>
      </c>
      <c r="J136" s="303">
        <v>-21.177712</v>
      </c>
      <c r="K136" s="303">
        <v>-20.345794000000001</v>
      </c>
      <c r="L136" s="303">
        <v>977.29399999999998</v>
      </c>
      <c r="M136" s="303">
        <v>107.000038</v>
      </c>
      <c r="N136" s="303">
        <v>17555.177820000001</v>
      </c>
      <c r="O136" s="303">
        <v>0</v>
      </c>
      <c r="P136" s="305">
        <v>2070.35</v>
      </c>
      <c r="Q136" s="299">
        <f t="shared" si="0"/>
        <v>2070.35</v>
      </c>
      <c r="R136" s="300" t="s">
        <v>230</v>
      </c>
      <c r="S136" s="300" t="s">
        <v>12</v>
      </c>
      <c r="T136" s="305" t="s">
        <v>583</v>
      </c>
      <c r="U136" s="306">
        <v>15</v>
      </c>
      <c r="V136" s="305">
        <v>5</v>
      </c>
      <c r="W136" s="303">
        <v>0.7</v>
      </c>
      <c r="X136" s="303">
        <v>0.7</v>
      </c>
      <c r="Y136" s="303">
        <v>0.7</v>
      </c>
      <c r="Z136" s="303">
        <v>1700</v>
      </c>
      <c r="AA136" s="303" t="s">
        <v>531</v>
      </c>
      <c r="AB136" s="303">
        <v>0.85</v>
      </c>
      <c r="AC136" s="303" t="s">
        <v>532</v>
      </c>
      <c r="AD136" s="303" t="s">
        <v>533</v>
      </c>
      <c r="AE136" s="303">
        <v>220</v>
      </c>
      <c r="AF136" s="134"/>
      <c r="AG136" s="134"/>
    </row>
    <row r="137" spans="1:33" ht="15.75">
      <c r="A137" s="302" t="s">
        <v>672</v>
      </c>
      <c r="B137" s="303" t="s">
        <v>550</v>
      </c>
      <c r="C137" s="303" t="s">
        <v>659</v>
      </c>
      <c r="D137" s="303" t="s">
        <v>529</v>
      </c>
      <c r="E137" s="303">
        <v>1.5</v>
      </c>
      <c r="F137" s="304">
        <v>45412.586111111108</v>
      </c>
      <c r="G137" s="303">
        <v>1</v>
      </c>
      <c r="H137" s="303">
        <v>51.370800000000003</v>
      </c>
      <c r="I137" s="303">
        <v>7.1066000000000003</v>
      </c>
      <c r="J137" s="303">
        <v>-21.411069000000001</v>
      </c>
      <c r="K137" s="303">
        <v>-20.5624</v>
      </c>
      <c r="L137" s="303">
        <v>979.86599999999999</v>
      </c>
      <c r="M137" s="303">
        <v>116.500371</v>
      </c>
      <c r="N137" s="303">
        <v>17633.90841</v>
      </c>
      <c r="O137" s="303">
        <v>0</v>
      </c>
      <c r="P137" s="305">
        <v>2070.35</v>
      </c>
      <c r="Q137" s="299">
        <f t="shared" si="0"/>
        <v>2070.35</v>
      </c>
      <c r="R137" s="300" t="s">
        <v>230</v>
      </c>
      <c r="S137" s="300" t="s">
        <v>12</v>
      </c>
      <c r="T137" s="305" t="s">
        <v>583</v>
      </c>
      <c r="U137" s="306">
        <v>15</v>
      </c>
      <c r="V137" s="305">
        <v>5</v>
      </c>
      <c r="W137" s="303">
        <v>0.7</v>
      </c>
      <c r="X137" s="303">
        <v>0.7</v>
      </c>
      <c r="Y137" s="303">
        <v>0.7</v>
      </c>
      <c r="Z137" s="303">
        <v>1700</v>
      </c>
      <c r="AA137" s="303" t="s">
        <v>531</v>
      </c>
      <c r="AB137" s="303">
        <v>0.85</v>
      </c>
      <c r="AC137" s="303" t="s">
        <v>532</v>
      </c>
      <c r="AD137" s="303" t="s">
        <v>533</v>
      </c>
      <c r="AE137" s="303">
        <v>220</v>
      </c>
      <c r="AF137" s="134"/>
      <c r="AG137" s="134"/>
    </row>
    <row r="138" spans="1:33" ht="15.75">
      <c r="A138" s="302" t="s">
        <v>673</v>
      </c>
      <c r="B138" s="303" t="s">
        <v>550</v>
      </c>
      <c r="C138" s="303" t="s">
        <v>659</v>
      </c>
      <c r="D138" s="303" t="s">
        <v>529</v>
      </c>
      <c r="E138" s="303">
        <v>1.5</v>
      </c>
      <c r="F138" s="312">
        <v>45412.589583333334</v>
      </c>
      <c r="G138" s="303">
        <v>2</v>
      </c>
      <c r="H138" s="303">
        <v>51.370800000000003</v>
      </c>
      <c r="I138" s="303">
        <v>7.0748499999999996</v>
      </c>
      <c r="J138" s="303">
        <v>-21.338819000000001</v>
      </c>
      <c r="K138" s="303">
        <v>-20.510719000000002</v>
      </c>
      <c r="L138" s="303">
        <v>978.69100000000003</v>
      </c>
      <c r="M138" s="303">
        <v>119.99983</v>
      </c>
      <c r="N138" s="303">
        <v>17615.949430000001</v>
      </c>
      <c r="O138" s="303">
        <v>17618.88394</v>
      </c>
      <c r="P138" s="305">
        <v>2070.35</v>
      </c>
      <c r="Q138" s="299">
        <f t="shared" si="0"/>
        <v>2070.35</v>
      </c>
      <c r="R138" s="300" t="s">
        <v>230</v>
      </c>
      <c r="S138" s="300" t="s">
        <v>12</v>
      </c>
      <c r="T138" s="305" t="s">
        <v>530</v>
      </c>
      <c r="U138" s="305">
        <v>15</v>
      </c>
      <c r="V138" s="305">
        <v>5</v>
      </c>
      <c r="W138" s="303">
        <v>0.7</v>
      </c>
      <c r="X138" s="303">
        <v>0.7</v>
      </c>
      <c r="Y138" s="303">
        <v>0.7</v>
      </c>
      <c r="Z138" s="303">
        <v>1700</v>
      </c>
      <c r="AA138" s="303" t="s">
        <v>531</v>
      </c>
      <c r="AB138" s="303">
        <v>0.85</v>
      </c>
      <c r="AC138" s="303" t="s">
        <v>532</v>
      </c>
      <c r="AD138" s="303" t="s">
        <v>533</v>
      </c>
      <c r="AE138" s="303">
        <v>220</v>
      </c>
      <c r="AF138" s="134"/>
      <c r="AG138" s="134"/>
    </row>
    <row r="139" spans="1:33" ht="15.75">
      <c r="A139" s="302" t="s">
        <v>674</v>
      </c>
      <c r="B139" s="303" t="s">
        <v>550</v>
      </c>
      <c r="C139" s="303" t="s">
        <v>659</v>
      </c>
      <c r="D139" s="303" t="s">
        <v>529</v>
      </c>
      <c r="E139" s="303">
        <v>1.5</v>
      </c>
      <c r="F139" s="312">
        <v>45412.593055555553</v>
      </c>
      <c r="G139" s="303">
        <v>2</v>
      </c>
      <c r="H139" s="303">
        <v>51.374099999999999</v>
      </c>
      <c r="I139" s="303">
        <v>7.0487799999999998</v>
      </c>
      <c r="J139" s="303">
        <v>-21.264144000000002</v>
      </c>
      <c r="K139" s="303">
        <v>-20.428775000000002</v>
      </c>
      <c r="L139" s="303">
        <v>986.45799999999997</v>
      </c>
      <c r="M139" s="303">
        <v>123.50032400000001</v>
      </c>
      <c r="N139" s="303">
        <v>17564.787049999999</v>
      </c>
      <c r="O139" s="303">
        <v>17618.88394</v>
      </c>
      <c r="P139" s="305">
        <v>2070.35</v>
      </c>
      <c r="Q139" s="299">
        <f t="shared" si="0"/>
        <v>2070.35</v>
      </c>
      <c r="R139" s="300" t="s">
        <v>230</v>
      </c>
      <c r="S139" s="300" t="s">
        <v>12</v>
      </c>
      <c r="T139" s="305" t="s">
        <v>545</v>
      </c>
      <c r="U139" s="305">
        <v>15</v>
      </c>
      <c r="V139" s="305">
        <v>5</v>
      </c>
      <c r="W139" s="303">
        <v>0.7</v>
      </c>
      <c r="X139" s="303">
        <v>0.7</v>
      </c>
      <c r="Y139" s="303">
        <v>0.7</v>
      </c>
      <c r="Z139" s="303">
        <v>1700</v>
      </c>
      <c r="AA139" s="303" t="s">
        <v>531</v>
      </c>
      <c r="AB139" s="303">
        <v>0.85</v>
      </c>
      <c r="AC139" s="303" t="s">
        <v>532</v>
      </c>
      <c r="AD139" s="303" t="s">
        <v>533</v>
      </c>
      <c r="AE139" s="303">
        <v>220</v>
      </c>
      <c r="AF139" s="134"/>
      <c r="AG139" s="301"/>
    </row>
    <row r="140" spans="1:33" ht="15.75">
      <c r="A140" s="302" t="s">
        <v>675</v>
      </c>
      <c r="B140" s="303" t="s">
        <v>550</v>
      </c>
      <c r="C140" s="303" t="s">
        <v>659</v>
      </c>
      <c r="D140" s="303" t="s">
        <v>529</v>
      </c>
      <c r="E140" s="303">
        <v>1.5</v>
      </c>
      <c r="F140" s="312">
        <v>45412.59652777778</v>
      </c>
      <c r="G140" s="303">
        <v>2</v>
      </c>
      <c r="H140" s="303">
        <v>51.374099999999999</v>
      </c>
      <c r="I140" s="303">
        <v>7.0545200000000001</v>
      </c>
      <c r="J140" s="303">
        <v>-21.281094</v>
      </c>
      <c r="K140" s="303">
        <v>-20.461575</v>
      </c>
      <c r="L140" s="303">
        <v>991.822</v>
      </c>
      <c r="M140" s="303">
        <v>113.00041</v>
      </c>
      <c r="N140" s="303">
        <v>17624.35713</v>
      </c>
      <c r="O140" s="303">
        <v>17618.88394</v>
      </c>
      <c r="P140" s="305">
        <v>2070.35</v>
      </c>
      <c r="Q140" s="299">
        <f t="shared" si="0"/>
        <v>2070.35</v>
      </c>
      <c r="R140" s="300" t="s">
        <v>230</v>
      </c>
      <c r="S140" s="300" t="s">
        <v>12</v>
      </c>
      <c r="T140" s="305" t="s">
        <v>530</v>
      </c>
      <c r="U140" s="305">
        <v>15</v>
      </c>
      <c r="V140" s="305">
        <v>5</v>
      </c>
      <c r="W140" s="303">
        <v>0.7</v>
      </c>
      <c r="X140" s="303">
        <v>0.7</v>
      </c>
      <c r="Y140" s="303">
        <v>0.7</v>
      </c>
      <c r="Z140" s="303">
        <v>1700</v>
      </c>
      <c r="AA140" s="303" t="s">
        <v>531</v>
      </c>
      <c r="AB140" s="303">
        <v>0.85</v>
      </c>
      <c r="AC140" s="303" t="s">
        <v>532</v>
      </c>
      <c r="AD140" s="303" t="s">
        <v>533</v>
      </c>
      <c r="AE140" s="303">
        <v>220</v>
      </c>
      <c r="AF140" s="134"/>
      <c r="AG140" s="301"/>
    </row>
    <row r="141" spans="1:33" ht="15.75">
      <c r="A141" s="302" t="s">
        <v>676</v>
      </c>
      <c r="B141" s="303" t="s">
        <v>550</v>
      </c>
      <c r="C141" s="303" t="s">
        <v>659</v>
      </c>
      <c r="D141" s="303" t="s">
        <v>529</v>
      </c>
      <c r="E141" s="303">
        <v>1.5</v>
      </c>
      <c r="F141" s="312">
        <v>45412.6</v>
      </c>
      <c r="G141" s="303">
        <v>2</v>
      </c>
      <c r="H141" s="303">
        <v>51.370800000000003</v>
      </c>
      <c r="I141" s="303">
        <v>7.00793</v>
      </c>
      <c r="J141" s="303">
        <v>-21.244188000000001</v>
      </c>
      <c r="K141" s="303">
        <v>-20.394375</v>
      </c>
      <c r="L141" s="303">
        <v>990.601</v>
      </c>
      <c r="M141" s="303">
        <v>112.500328</v>
      </c>
      <c r="N141" s="303">
        <v>17616.345270000002</v>
      </c>
      <c r="O141" s="303">
        <v>17618.88394</v>
      </c>
      <c r="P141" s="305">
        <v>2070.35</v>
      </c>
      <c r="Q141" s="299">
        <f t="shared" si="0"/>
        <v>2070.35</v>
      </c>
      <c r="R141" s="300" t="s">
        <v>230</v>
      </c>
      <c r="S141" s="300" t="s">
        <v>12</v>
      </c>
      <c r="T141" s="305" t="s">
        <v>530</v>
      </c>
      <c r="U141" s="305">
        <v>15</v>
      </c>
      <c r="V141" s="305">
        <v>5</v>
      </c>
      <c r="W141" s="303">
        <v>0.7</v>
      </c>
      <c r="X141" s="303">
        <v>0.7</v>
      </c>
      <c r="Y141" s="303">
        <v>0.7</v>
      </c>
      <c r="Z141" s="303">
        <v>1700</v>
      </c>
      <c r="AA141" s="303" t="s">
        <v>531</v>
      </c>
      <c r="AB141" s="303">
        <v>0.85</v>
      </c>
      <c r="AC141" s="303" t="s">
        <v>532</v>
      </c>
      <c r="AD141" s="303" t="s">
        <v>533</v>
      </c>
      <c r="AE141" s="303">
        <v>220</v>
      </c>
      <c r="AF141" s="134"/>
      <c r="AG141" s="301"/>
    </row>
    <row r="142" spans="1:33" ht="15.75">
      <c r="A142" s="302" t="s">
        <v>677</v>
      </c>
      <c r="B142" s="303" t="s">
        <v>554</v>
      </c>
      <c r="C142" s="303" t="s">
        <v>659</v>
      </c>
      <c r="D142" s="303" t="s">
        <v>529</v>
      </c>
      <c r="E142" s="303">
        <v>1.8</v>
      </c>
      <c r="F142" s="312">
        <v>45412.603472222225</v>
      </c>
      <c r="G142" s="303">
        <v>1</v>
      </c>
      <c r="H142" s="303">
        <v>51.370800000000003</v>
      </c>
      <c r="I142" s="303">
        <v>7.0223500000000003</v>
      </c>
      <c r="J142" s="303">
        <v>-21.28135</v>
      </c>
      <c r="K142" s="303">
        <v>-20.437175</v>
      </c>
      <c r="L142" s="303">
        <v>979.43100000000004</v>
      </c>
      <c r="M142" s="303">
        <v>126.00017</v>
      </c>
      <c r="N142" s="303">
        <v>21145.958419999999</v>
      </c>
      <c r="O142" s="303">
        <v>21138.643380000001</v>
      </c>
      <c r="P142" s="305">
        <v>2070.35</v>
      </c>
      <c r="Q142" s="299">
        <f t="shared" si="0"/>
        <v>2070.35</v>
      </c>
      <c r="R142" s="300" t="s">
        <v>230</v>
      </c>
      <c r="S142" s="300" t="s">
        <v>12</v>
      </c>
      <c r="T142" s="305" t="s">
        <v>530</v>
      </c>
      <c r="U142" s="305">
        <v>15</v>
      </c>
      <c r="V142" s="305">
        <v>5</v>
      </c>
      <c r="W142" s="303">
        <v>0.7</v>
      </c>
      <c r="X142" s="303">
        <v>0.7</v>
      </c>
      <c r="Y142" s="303">
        <v>0.7</v>
      </c>
      <c r="Z142" s="303">
        <v>1700</v>
      </c>
      <c r="AA142" s="303" t="s">
        <v>531</v>
      </c>
      <c r="AB142" s="303">
        <v>0.85</v>
      </c>
      <c r="AC142" s="303" t="s">
        <v>532</v>
      </c>
      <c r="AD142" s="303" t="s">
        <v>533</v>
      </c>
      <c r="AE142" s="303">
        <v>220</v>
      </c>
      <c r="AF142" s="134"/>
      <c r="AG142" s="301"/>
    </row>
    <row r="143" spans="1:33" ht="15.75">
      <c r="A143" s="302" t="s">
        <v>678</v>
      </c>
      <c r="B143" s="303" t="s">
        <v>554</v>
      </c>
      <c r="C143" s="303" t="s">
        <v>659</v>
      </c>
      <c r="D143" s="303" t="s">
        <v>529</v>
      </c>
      <c r="E143" s="303">
        <v>1.8</v>
      </c>
      <c r="F143" s="312">
        <v>45412.607638888891</v>
      </c>
      <c r="G143" s="303">
        <v>1</v>
      </c>
      <c r="H143" s="303">
        <v>51.370800000000003</v>
      </c>
      <c r="I143" s="303">
        <v>7.0102200000000003</v>
      </c>
      <c r="J143" s="303">
        <v>-21.251349999999999</v>
      </c>
      <c r="K143" s="303">
        <v>-20.404294</v>
      </c>
      <c r="L143" s="303">
        <v>995.30600000000004</v>
      </c>
      <c r="M143" s="303">
        <v>128.49965700000001</v>
      </c>
      <c r="N143" s="303">
        <v>21120.461380000001</v>
      </c>
      <c r="O143" s="303">
        <v>21138.643380000001</v>
      </c>
      <c r="P143" s="305">
        <v>2070.35</v>
      </c>
      <c r="Q143" s="299">
        <f t="shared" si="0"/>
        <v>2070.35</v>
      </c>
      <c r="R143" s="300" t="s">
        <v>230</v>
      </c>
      <c r="S143" s="300" t="s">
        <v>12</v>
      </c>
      <c r="T143" s="305" t="s">
        <v>530</v>
      </c>
      <c r="U143" s="305">
        <v>15</v>
      </c>
      <c r="V143" s="305">
        <v>5</v>
      </c>
      <c r="W143" s="303">
        <v>0.7</v>
      </c>
      <c r="X143" s="303">
        <v>0.7</v>
      </c>
      <c r="Y143" s="303">
        <v>0.7</v>
      </c>
      <c r="Z143" s="303">
        <v>1700</v>
      </c>
      <c r="AA143" s="303" t="s">
        <v>531</v>
      </c>
      <c r="AB143" s="303">
        <v>0.85</v>
      </c>
      <c r="AC143" s="303" t="s">
        <v>532</v>
      </c>
      <c r="AD143" s="303" t="s">
        <v>533</v>
      </c>
      <c r="AE143" s="303">
        <v>220</v>
      </c>
      <c r="AF143" s="134"/>
      <c r="AG143" s="301"/>
    </row>
    <row r="144" spans="1:33" ht="15.75">
      <c r="A144" s="302" t="s">
        <v>679</v>
      </c>
      <c r="B144" s="303" t="s">
        <v>554</v>
      </c>
      <c r="C144" s="303" t="s">
        <v>659</v>
      </c>
      <c r="D144" s="303" t="s">
        <v>529</v>
      </c>
      <c r="E144" s="303">
        <v>1.8</v>
      </c>
      <c r="F144" s="312">
        <v>45412.611111111109</v>
      </c>
      <c r="G144" s="303">
        <v>1</v>
      </c>
      <c r="H144" s="303">
        <v>51.370800000000003</v>
      </c>
      <c r="I144" s="303">
        <v>6.9751500000000002</v>
      </c>
      <c r="J144" s="303">
        <v>-21.235731000000001</v>
      </c>
      <c r="K144" s="303">
        <v>-20.393236999999999</v>
      </c>
      <c r="L144" s="303">
        <v>1004.46</v>
      </c>
      <c r="M144" s="303">
        <v>128.00053500000001</v>
      </c>
      <c r="N144" s="303">
        <v>21149.51035</v>
      </c>
      <c r="O144" s="303">
        <v>21138.643380000001</v>
      </c>
      <c r="P144" s="305">
        <v>2070.35</v>
      </c>
      <c r="Q144" s="299">
        <f t="shared" si="0"/>
        <v>2070.35</v>
      </c>
      <c r="R144" s="300" t="s">
        <v>230</v>
      </c>
      <c r="S144" s="300" t="s">
        <v>12</v>
      </c>
      <c r="T144" s="305" t="s">
        <v>530</v>
      </c>
      <c r="U144" s="305">
        <v>15</v>
      </c>
      <c r="V144" s="305">
        <v>5</v>
      </c>
      <c r="W144" s="303">
        <v>0.7</v>
      </c>
      <c r="X144" s="303">
        <v>0.7</v>
      </c>
      <c r="Y144" s="303">
        <v>0.7</v>
      </c>
      <c r="Z144" s="303">
        <v>1700</v>
      </c>
      <c r="AA144" s="303" t="s">
        <v>531</v>
      </c>
      <c r="AB144" s="303">
        <v>0.85</v>
      </c>
      <c r="AC144" s="303" t="s">
        <v>532</v>
      </c>
      <c r="AD144" s="303" t="s">
        <v>533</v>
      </c>
      <c r="AE144" s="303">
        <v>220</v>
      </c>
      <c r="AF144" s="134"/>
      <c r="AG144" s="301"/>
    </row>
    <row r="145" spans="1:33" ht="15.75">
      <c r="A145" s="308" t="s">
        <v>574</v>
      </c>
      <c r="B145" s="309">
        <v>2</v>
      </c>
      <c r="C145" s="309" t="s">
        <v>659</v>
      </c>
      <c r="D145" s="309" t="s">
        <v>529</v>
      </c>
      <c r="E145" s="309">
        <v>1.5</v>
      </c>
      <c r="F145" s="313">
        <v>45412.614583333336</v>
      </c>
      <c r="G145" s="309">
        <v>1</v>
      </c>
      <c r="H145" s="309">
        <v>51.3675</v>
      </c>
      <c r="I145" s="309">
        <v>6.9343399999999997</v>
      </c>
      <c r="J145" s="309">
        <v>-21.159137999999999</v>
      </c>
      <c r="K145" s="309">
        <v>-20.315843999999998</v>
      </c>
      <c r="L145" s="309">
        <v>969.26199999999994</v>
      </c>
      <c r="M145" s="309">
        <v>109.00181000000001</v>
      </c>
      <c r="N145" s="309">
        <v>17623.780770000001</v>
      </c>
      <c r="O145" s="309">
        <v>17627.27923</v>
      </c>
      <c r="P145" s="311">
        <v>2071.337634</v>
      </c>
      <c r="Q145" s="299">
        <f t="shared" si="0"/>
        <v>2071.337634</v>
      </c>
      <c r="R145" s="300" t="s">
        <v>230</v>
      </c>
      <c r="S145" s="300" t="s">
        <v>12</v>
      </c>
      <c r="T145" s="305" t="s">
        <v>530</v>
      </c>
      <c r="U145" s="305">
        <v>15</v>
      </c>
      <c r="V145" s="305">
        <v>5</v>
      </c>
      <c r="W145" s="303">
        <v>0.7</v>
      </c>
      <c r="X145" s="303">
        <v>0.7</v>
      </c>
      <c r="Y145" s="303">
        <v>0.7</v>
      </c>
      <c r="Z145" s="303">
        <v>1700</v>
      </c>
      <c r="AA145" s="303" t="s">
        <v>531</v>
      </c>
      <c r="AB145" s="303">
        <v>0.85</v>
      </c>
      <c r="AC145" s="303" t="s">
        <v>532</v>
      </c>
      <c r="AD145" s="303" t="s">
        <v>533</v>
      </c>
      <c r="AE145" s="303">
        <v>220</v>
      </c>
      <c r="AF145" s="134"/>
      <c r="AG145" s="301"/>
    </row>
    <row r="146" spans="1:33" ht="15.75">
      <c r="A146" s="308" t="s">
        <v>576</v>
      </c>
      <c r="B146" s="309">
        <v>2</v>
      </c>
      <c r="C146" s="309" t="s">
        <v>659</v>
      </c>
      <c r="D146" s="309" t="s">
        <v>529</v>
      </c>
      <c r="E146" s="309">
        <v>1.5</v>
      </c>
      <c r="F146" s="313">
        <v>45412.618055555555</v>
      </c>
      <c r="G146" s="309">
        <v>1</v>
      </c>
      <c r="H146" s="309">
        <v>51.370800000000003</v>
      </c>
      <c r="I146" s="309">
        <v>6.9887100000000002</v>
      </c>
      <c r="J146" s="309">
        <v>-21.262975000000001</v>
      </c>
      <c r="K146" s="309">
        <v>-20.413906000000001</v>
      </c>
      <c r="L146" s="309">
        <v>979.64200000000005</v>
      </c>
      <c r="M146" s="309">
        <v>116.998729</v>
      </c>
      <c r="N146" s="309">
        <v>17586.077280000001</v>
      </c>
      <c r="O146" s="309">
        <v>17627.27923</v>
      </c>
      <c r="P146" s="311">
        <v>2071.337634</v>
      </c>
      <c r="Q146" s="299">
        <f t="shared" si="0"/>
        <v>2071.337634</v>
      </c>
      <c r="R146" s="300" t="s">
        <v>230</v>
      </c>
      <c r="S146" s="300" t="s">
        <v>12</v>
      </c>
      <c r="T146" s="305" t="s">
        <v>545</v>
      </c>
      <c r="U146" s="305">
        <v>15</v>
      </c>
      <c r="V146" s="305">
        <v>5</v>
      </c>
      <c r="W146" s="303">
        <v>0.7</v>
      </c>
      <c r="X146" s="303">
        <v>0.7</v>
      </c>
      <c r="Y146" s="303">
        <v>0.7</v>
      </c>
      <c r="Z146" s="303">
        <v>1700</v>
      </c>
      <c r="AA146" s="303" t="s">
        <v>531</v>
      </c>
      <c r="AB146" s="303">
        <v>0.85</v>
      </c>
      <c r="AC146" s="303" t="s">
        <v>532</v>
      </c>
      <c r="AD146" s="303" t="s">
        <v>533</v>
      </c>
      <c r="AE146" s="303">
        <v>220</v>
      </c>
      <c r="AF146" s="134"/>
      <c r="AG146" s="301"/>
    </row>
    <row r="147" spans="1:33" ht="15.75">
      <c r="A147" s="308" t="s">
        <v>577</v>
      </c>
      <c r="B147" s="309">
        <v>2</v>
      </c>
      <c r="C147" s="309" t="s">
        <v>659</v>
      </c>
      <c r="D147" s="309" t="s">
        <v>529</v>
      </c>
      <c r="E147" s="309">
        <v>1.5</v>
      </c>
      <c r="F147" s="313">
        <v>45412.621527777781</v>
      </c>
      <c r="G147" s="309">
        <v>1</v>
      </c>
      <c r="H147" s="309">
        <v>51.374099999999999</v>
      </c>
      <c r="I147" s="309">
        <v>7.0113200000000004</v>
      </c>
      <c r="J147" s="309">
        <v>-21.259744000000001</v>
      </c>
      <c r="K147" s="309">
        <v>-20.413250000000001</v>
      </c>
      <c r="L147" s="309">
        <v>1001.83</v>
      </c>
      <c r="M147" s="309">
        <v>121.000164</v>
      </c>
      <c r="N147" s="309">
        <v>17628.993299999998</v>
      </c>
      <c r="O147" s="309">
        <v>17627.27923</v>
      </c>
      <c r="P147" s="311">
        <v>2071.337634</v>
      </c>
      <c r="Q147" s="299">
        <f t="shared" si="0"/>
        <v>2071.337634</v>
      </c>
      <c r="R147" s="300" t="s">
        <v>230</v>
      </c>
      <c r="S147" s="300" t="s">
        <v>12</v>
      </c>
      <c r="T147" s="305" t="s">
        <v>530</v>
      </c>
      <c r="U147" s="305">
        <v>15</v>
      </c>
      <c r="V147" s="305">
        <v>5</v>
      </c>
      <c r="W147" s="303">
        <v>0.7</v>
      </c>
      <c r="X147" s="303">
        <v>0.7</v>
      </c>
      <c r="Y147" s="303">
        <v>0.7</v>
      </c>
      <c r="Z147" s="303">
        <v>1700</v>
      </c>
      <c r="AA147" s="303" t="s">
        <v>531</v>
      </c>
      <c r="AB147" s="303">
        <v>0.85</v>
      </c>
      <c r="AC147" s="303" t="s">
        <v>532</v>
      </c>
      <c r="AD147" s="303" t="s">
        <v>533</v>
      </c>
      <c r="AE147" s="303">
        <v>220</v>
      </c>
      <c r="AF147" s="134"/>
      <c r="AG147" s="301"/>
    </row>
    <row r="148" spans="1:33" ht="15.75">
      <c r="A148" s="308" t="s">
        <v>578</v>
      </c>
      <c r="B148" s="309">
        <v>2</v>
      </c>
      <c r="C148" s="309" t="s">
        <v>659</v>
      </c>
      <c r="D148" s="309" t="s">
        <v>529</v>
      </c>
      <c r="E148" s="309">
        <v>1.5</v>
      </c>
      <c r="F148" s="313">
        <v>45412.625</v>
      </c>
      <c r="G148" s="309">
        <v>1</v>
      </c>
      <c r="H148" s="309">
        <v>51.374099999999999</v>
      </c>
      <c r="I148" s="309">
        <v>7.0572800000000004</v>
      </c>
      <c r="J148" s="309">
        <v>-21.259468999999999</v>
      </c>
      <c r="K148" s="309">
        <v>-20.423269000000001</v>
      </c>
      <c r="L148" s="309">
        <v>971.53399999999999</v>
      </c>
      <c r="M148" s="309">
        <v>117.49905699999999</v>
      </c>
      <c r="N148" s="309">
        <v>17629.063610000001</v>
      </c>
      <c r="O148" s="309">
        <v>17627.27923</v>
      </c>
      <c r="P148" s="311">
        <v>2071.337634</v>
      </c>
      <c r="Q148" s="299">
        <f t="shared" si="0"/>
        <v>2071.337634</v>
      </c>
      <c r="R148" s="300" t="s">
        <v>230</v>
      </c>
      <c r="S148" s="300" t="s">
        <v>12</v>
      </c>
      <c r="T148" s="305" t="s">
        <v>530</v>
      </c>
      <c r="U148" s="305">
        <v>15</v>
      </c>
      <c r="V148" s="305">
        <v>5</v>
      </c>
      <c r="W148" s="303">
        <v>0.7</v>
      </c>
      <c r="X148" s="303">
        <v>0.7</v>
      </c>
      <c r="Y148" s="303">
        <v>0.7</v>
      </c>
      <c r="Z148" s="303">
        <v>1700</v>
      </c>
      <c r="AA148" s="303" t="s">
        <v>531</v>
      </c>
      <c r="AB148" s="303">
        <v>0.85</v>
      </c>
      <c r="AC148" s="303" t="s">
        <v>532</v>
      </c>
      <c r="AD148" s="303" t="s">
        <v>533</v>
      </c>
      <c r="AE148" s="303">
        <v>220</v>
      </c>
      <c r="AF148" s="134"/>
      <c r="AG148" s="301"/>
    </row>
    <row r="149" spans="1:33" ht="15.75">
      <c r="A149" s="302" t="s">
        <v>580</v>
      </c>
      <c r="B149" s="303">
        <v>3</v>
      </c>
      <c r="C149" s="303">
        <v>157</v>
      </c>
      <c r="D149" s="303" t="s">
        <v>561</v>
      </c>
      <c r="E149" s="303">
        <v>1.5</v>
      </c>
      <c r="F149" s="312">
        <v>45412.629166666666</v>
      </c>
      <c r="G149" s="303">
        <v>1</v>
      </c>
      <c r="H149" s="303">
        <v>51.374099999999999</v>
      </c>
      <c r="I149" s="303">
        <v>7.0652900000000001</v>
      </c>
      <c r="J149" s="303">
        <v>-21.247205999999998</v>
      </c>
      <c r="K149" s="303">
        <v>-20.409419</v>
      </c>
      <c r="L149" s="303">
        <v>976.40499999999997</v>
      </c>
      <c r="M149" s="303">
        <v>111.501221</v>
      </c>
      <c r="N149" s="303">
        <v>17619.156080000001</v>
      </c>
      <c r="O149" s="303">
        <v>17661.55415</v>
      </c>
      <c r="P149" s="305">
        <v>2075.3697900000002</v>
      </c>
      <c r="Q149" s="299">
        <f t="shared" si="0"/>
        <v>2075.3697900000002</v>
      </c>
      <c r="R149" s="300" t="s">
        <v>230</v>
      </c>
      <c r="S149" s="300" t="s">
        <v>12</v>
      </c>
      <c r="T149" s="305" t="s">
        <v>545</v>
      </c>
      <c r="U149" s="305">
        <v>15</v>
      </c>
      <c r="V149" s="305">
        <v>5</v>
      </c>
      <c r="W149" s="303">
        <v>0.7</v>
      </c>
      <c r="X149" s="303">
        <v>0.7</v>
      </c>
      <c r="Y149" s="303">
        <v>0.7</v>
      </c>
      <c r="Z149" s="303">
        <v>1700</v>
      </c>
      <c r="AA149" s="303" t="s">
        <v>531</v>
      </c>
      <c r="AB149" s="303">
        <v>0.85</v>
      </c>
      <c r="AC149" s="303" t="s">
        <v>532</v>
      </c>
      <c r="AD149" s="303" t="s">
        <v>533</v>
      </c>
      <c r="AE149" s="303">
        <v>220</v>
      </c>
      <c r="AF149" s="134"/>
      <c r="AG149" s="301"/>
    </row>
    <row r="150" spans="1:33" ht="15.75">
      <c r="A150" s="302" t="s">
        <v>584</v>
      </c>
      <c r="B150" s="303">
        <v>3</v>
      </c>
      <c r="C150" s="303">
        <v>157</v>
      </c>
      <c r="D150" s="303" t="s">
        <v>561</v>
      </c>
      <c r="E150" s="303">
        <v>1.5</v>
      </c>
      <c r="F150" s="312">
        <v>45412.632638888892</v>
      </c>
      <c r="G150" s="303">
        <v>1</v>
      </c>
      <c r="H150" s="303">
        <v>51.374099999999999</v>
      </c>
      <c r="I150" s="303">
        <v>7.1133800000000003</v>
      </c>
      <c r="J150" s="303">
        <v>-21.209486999999999</v>
      </c>
      <c r="K150" s="303">
        <v>-20.361999999999998</v>
      </c>
      <c r="L150" s="303">
        <v>964.23199999999997</v>
      </c>
      <c r="M150" s="303">
        <v>111.99945099999999</v>
      </c>
      <c r="N150" s="303">
        <v>17662.049370000001</v>
      </c>
      <c r="O150" s="303">
        <v>17661.55415</v>
      </c>
      <c r="P150" s="305">
        <v>2075.3697900000002</v>
      </c>
      <c r="Q150" s="299">
        <f t="shared" si="0"/>
        <v>2075.3697900000002</v>
      </c>
      <c r="R150" s="300" t="s">
        <v>230</v>
      </c>
      <c r="S150" s="300" t="s">
        <v>12</v>
      </c>
      <c r="T150" s="305" t="s">
        <v>530</v>
      </c>
      <c r="U150" s="305">
        <v>15</v>
      </c>
      <c r="V150" s="305">
        <v>5</v>
      </c>
      <c r="W150" s="303">
        <v>0.7</v>
      </c>
      <c r="X150" s="303">
        <v>0.7</v>
      </c>
      <c r="Y150" s="303">
        <v>0.7</v>
      </c>
      <c r="Z150" s="303">
        <v>1700</v>
      </c>
      <c r="AA150" s="303" t="s">
        <v>531</v>
      </c>
      <c r="AB150" s="303">
        <v>0.85</v>
      </c>
      <c r="AC150" s="303" t="s">
        <v>532</v>
      </c>
      <c r="AD150" s="303" t="s">
        <v>533</v>
      </c>
      <c r="AE150" s="303">
        <v>220</v>
      </c>
      <c r="AF150" s="134"/>
      <c r="AG150" s="301"/>
    </row>
    <row r="151" spans="1:33" ht="15.75">
      <c r="A151" s="302" t="s">
        <v>585</v>
      </c>
      <c r="B151" s="303">
        <v>3</v>
      </c>
      <c r="C151" s="303">
        <v>157</v>
      </c>
      <c r="D151" s="303" t="s">
        <v>561</v>
      </c>
      <c r="E151" s="303">
        <v>1.5</v>
      </c>
      <c r="F151" s="312">
        <v>45412.636111111111</v>
      </c>
      <c r="G151" s="303">
        <v>1</v>
      </c>
      <c r="H151" s="303">
        <v>51.370800000000003</v>
      </c>
      <c r="I151" s="303">
        <v>7.1190600000000002</v>
      </c>
      <c r="J151" s="303">
        <v>-21.271730999999999</v>
      </c>
      <c r="K151" s="303">
        <v>-20.438488</v>
      </c>
      <c r="L151" s="303">
        <v>978.15200000000004</v>
      </c>
      <c r="M151" s="303">
        <v>123.00015500000001</v>
      </c>
      <c r="N151" s="303">
        <v>17611.330389999999</v>
      </c>
      <c r="O151" s="303">
        <v>17661.55415</v>
      </c>
      <c r="P151" s="305">
        <v>2075.3697900000002</v>
      </c>
      <c r="Q151" s="299">
        <f t="shared" si="0"/>
        <v>2075.3697900000002</v>
      </c>
      <c r="R151" s="300" t="s">
        <v>230</v>
      </c>
      <c r="S151" s="300" t="s">
        <v>12</v>
      </c>
      <c r="T151" s="305" t="s">
        <v>545</v>
      </c>
      <c r="U151" s="305">
        <v>15</v>
      </c>
      <c r="V151" s="305">
        <v>5</v>
      </c>
      <c r="W151" s="303">
        <v>0.7</v>
      </c>
      <c r="X151" s="303">
        <v>0.7</v>
      </c>
      <c r="Y151" s="303">
        <v>0.7</v>
      </c>
      <c r="Z151" s="303">
        <v>1700</v>
      </c>
      <c r="AA151" s="303" t="s">
        <v>531</v>
      </c>
      <c r="AB151" s="303">
        <v>0.85</v>
      </c>
      <c r="AC151" s="303" t="s">
        <v>532</v>
      </c>
      <c r="AD151" s="303" t="s">
        <v>533</v>
      </c>
      <c r="AE151" s="303">
        <v>220</v>
      </c>
      <c r="AF151" s="134"/>
      <c r="AG151" s="301"/>
    </row>
    <row r="152" spans="1:33" ht="15.75">
      <c r="A152" s="302" t="s">
        <v>586</v>
      </c>
      <c r="B152" s="303">
        <v>3</v>
      </c>
      <c r="C152" s="303">
        <v>157</v>
      </c>
      <c r="D152" s="303" t="s">
        <v>561</v>
      </c>
      <c r="E152" s="303">
        <v>1.5</v>
      </c>
      <c r="F152" s="312">
        <v>45412.63958333333</v>
      </c>
      <c r="G152" s="303">
        <v>1</v>
      </c>
      <c r="H152" s="303">
        <v>51.377400000000002</v>
      </c>
      <c r="I152" s="303">
        <v>7.1562900000000003</v>
      </c>
      <c r="J152" s="303">
        <v>-21.255030999999999</v>
      </c>
      <c r="K152" s="303">
        <v>-20.415762000000001</v>
      </c>
      <c r="L152" s="303">
        <v>996.79200000000003</v>
      </c>
      <c r="M152" s="303">
        <v>109.99978400000001</v>
      </c>
      <c r="N152" s="303">
        <v>17659.324110000001</v>
      </c>
      <c r="O152" s="303">
        <v>17661.55415</v>
      </c>
      <c r="P152" s="305">
        <v>2075.3697900000002</v>
      </c>
      <c r="Q152" s="299">
        <f t="shared" si="0"/>
        <v>2075.3697900000002</v>
      </c>
      <c r="R152" s="300" t="s">
        <v>230</v>
      </c>
      <c r="S152" s="300" t="s">
        <v>12</v>
      </c>
      <c r="T152" s="305" t="s">
        <v>530</v>
      </c>
      <c r="U152" s="305">
        <v>15</v>
      </c>
      <c r="V152" s="305">
        <v>5</v>
      </c>
      <c r="W152" s="303">
        <v>0.7</v>
      </c>
      <c r="X152" s="303">
        <v>0.7</v>
      </c>
      <c r="Y152" s="303">
        <v>0.7</v>
      </c>
      <c r="Z152" s="303">
        <v>1700</v>
      </c>
      <c r="AA152" s="303" t="s">
        <v>531</v>
      </c>
      <c r="AB152" s="303">
        <v>0.85</v>
      </c>
      <c r="AC152" s="303" t="s">
        <v>532</v>
      </c>
      <c r="AD152" s="303" t="s">
        <v>533</v>
      </c>
      <c r="AE152" s="303">
        <v>220</v>
      </c>
      <c r="AF152" s="134"/>
      <c r="AG152" s="301"/>
    </row>
    <row r="153" spans="1:33" ht="15.75">
      <c r="A153" s="302" t="s">
        <v>587</v>
      </c>
      <c r="B153" s="303">
        <v>3</v>
      </c>
      <c r="C153" s="303">
        <v>157</v>
      </c>
      <c r="D153" s="303" t="s">
        <v>561</v>
      </c>
      <c r="E153" s="303">
        <v>1.5</v>
      </c>
      <c r="F153" s="312">
        <v>45412.643055555556</v>
      </c>
      <c r="G153" s="303">
        <v>1</v>
      </c>
      <c r="H153" s="303">
        <v>51.370800000000003</v>
      </c>
      <c r="I153" s="303">
        <v>7.1201499999999998</v>
      </c>
      <c r="J153" s="303">
        <v>-21.305775000000001</v>
      </c>
      <c r="K153" s="303">
        <v>-20.459875</v>
      </c>
      <c r="L153" s="303">
        <v>960.36199999999997</v>
      </c>
      <c r="M153" s="303">
        <v>118.49859499999999</v>
      </c>
      <c r="N153" s="303">
        <v>17663.288990000001</v>
      </c>
      <c r="O153" s="303">
        <v>17661.55415</v>
      </c>
      <c r="P153" s="305">
        <v>2075.3697900000002</v>
      </c>
      <c r="Q153" s="299">
        <f t="shared" si="0"/>
        <v>2075.3697900000002</v>
      </c>
      <c r="R153" s="300" t="s">
        <v>230</v>
      </c>
      <c r="S153" s="300" t="s">
        <v>12</v>
      </c>
      <c r="T153" s="305" t="s">
        <v>530</v>
      </c>
      <c r="U153" s="305">
        <v>15</v>
      </c>
      <c r="V153" s="305">
        <v>5</v>
      </c>
      <c r="W153" s="303">
        <v>0.7</v>
      </c>
      <c r="X153" s="303">
        <v>0.7</v>
      </c>
      <c r="Y153" s="303">
        <v>0.7</v>
      </c>
      <c r="Z153" s="303">
        <v>1700</v>
      </c>
      <c r="AA153" s="303" t="s">
        <v>531</v>
      </c>
      <c r="AB153" s="303">
        <v>0.85</v>
      </c>
      <c r="AC153" s="303" t="s">
        <v>532</v>
      </c>
      <c r="AD153" s="303" t="s">
        <v>533</v>
      </c>
      <c r="AE153" s="303">
        <v>220</v>
      </c>
      <c r="AF153" s="134"/>
      <c r="AG153" s="301"/>
    </row>
    <row r="154" spans="1:33" ht="15.75">
      <c r="A154" s="302" t="s">
        <v>593</v>
      </c>
      <c r="B154" s="303">
        <v>4</v>
      </c>
      <c r="C154" s="303">
        <v>158</v>
      </c>
      <c r="D154" s="303" t="s">
        <v>565</v>
      </c>
      <c r="E154" s="303">
        <v>1.5</v>
      </c>
      <c r="F154" s="312">
        <v>45412.647222222222</v>
      </c>
      <c r="G154" s="303">
        <v>1</v>
      </c>
      <c r="H154" s="303">
        <v>51.370800000000003</v>
      </c>
      <c r="I154" s="303">
        <v>7.0748100000000003</v>
      </c>
      <c r="J154" s="303">
        <v>-21.257344</v>
      </c>
      <c r="K154" s="303">
        <v>-20.429344</v>
      </c>
      <c r="L154" s="303">
        <v>985.16099999999994</v>
      </c>
      <c r="M154" s="303">
        <v>112.00085300000001</v>
      </c>
      <c r="N154" s="303">
        <v>17674.079580000001</v>
      </c>
      <c r="O154" s="303">
        <v>17677.702239999999</v>
      </c>
      <c r="P154" s="305">
        <v>2077.2694759999999</v>
      </c>
      <c r="Q154" s="299">
        <f t="shared" si="0"/>
        <v>2077.2694759999999</v>
      </c>
      <c r="R154" s="300" t="s">
        <v>230</v>
      </c>
      <c r="S154" s="300" t="s">
        <v>12</v>
      </c>
      <c r="T154" s="305" t="s">
        <v>530</v>
      </c>
      <c r="U154" s="305">
        <v>15</v>
      </c>
      <c r="V154" s="305">
        <v>5</v>
      </c>
      <c r="W154" s="303">
        <v>0.7</v>
      </c>
      <c r="X154" s="303">
        <v>0.7</v>
      </c>
      <c r="Y154" s="303">
        <v>0.7</v>
      </c>
      <c r="Z154" s="303">
        <v>1700</v>
      </c>
      <c r="AA154" s="303" t="s">
        <v>531</v>
      </c>
      <c r="AB154" s="303">
        <v>0.85</v>
      </c>
      <c r="AC154" s="303" t="s">
        <v>532</v>
      </c>
      <c r="AD154" s="303" t="s">
        <v>533</v>
      </c>
      <c r="AE154" s="303">
        <v>220</v>
      </c>
      <c r="AF154" s="134"/>
      <c r="AG154" s="301"/>
    </row>
    <row r="155" spans="1:33" ht="15.75">
      <c r="A155" s="302" t="s">
        <v>595</v>
      </c>
      <c r="B155" s="303">
        <v>4</v>
      </c>
      <c r="C155" s="303">
        <v>158</v>
      </c>
      <c r="D155" s="303" t="s">
        <v>565</v>
      </c>
      <c r="E155" s="303">
        <v>1.5</v>
      </c>
      <c r="F155" s="312">
        <v>45412.650694444441</v>
      </c>
      <c r="G155" s="303">
        <v>1</v>
      </c>
      <c r="H155" s="303">
        <v>51.374099999999999</v>
      </c>
      <c r="I155" s="303">
        <v>7.1760099999999998</v>
      </c>
      <c r="J155" s="303">
        <v>-21.325194</v>
      </c>
      <c r="K155" s="303">
        <v>-20.475843999999999</v>
      </c>
      <c r="L155" s="303">
        <v>974.49400000000003</v>
      </c>
      <c r="M155" s="303">
        <v>120.499672</v>
      </c>
      <c r="N155" s="303">
        <v>17674.347610000001</v>
      </c>
      <c r="O155" s="303">
        <v>17677.702239999999</v>
      </c>
      <c r="P155" s="305">
        <v>2077.2694759999999</v>
      </c>
      <c r="Q155" s="299">
        <f t="shared" si="0"/>
        <v>2077.2694759999999</v>
      </c>
      <c r="R155" s="300" t="s">
        <v>230</v>
      </c>
      <c r="S155" s="300" t="s">
        <v>12</v>
      </c>
      <c r="T155" s="305" t="s">
        <v>530</v>
      </c>
      <c r="U155" s="305">
        <v>15</v>
      </c>
      <c r="V155" s="305">
        <v>5</v>
      </c>
      <c r="W155" s="303">
        <v>0.7</v>
      </c>
      <c r="X155" s="303">
        <v>0.7</v>
      </c>
      <c r="Y155" s="303">
        <v>0.7</v>
      </c>
      <c r="Z155" s="303">
        <v>1700</v>
      </c>
      <c r="AA155" s="303" t="s">
        <v>531</v>
      </c>
      <c r="AB155" s="303">
        <v>0.85</v>
      </c>
      <c r="AC155" s="303" t="s">
        <v>532</v>
      </c>
      <c r="AD155" s="303" t="s">
        <v>533</v>
      </c>
      <c r="AE155" s="303">
        <v>220</v>
      </c>
      <c r="AF155" s="134"/>
      <c r="AG155" s="301"/>
    </row>
    <row r="156" spans="1:33" ht="15.75">
      <c r="A156" s="302" t="s">
        <v>596</v>
      </c>
      <c r="B156" s="303">
        <v>4</v>
      </c>
      <c r="C156" s="303">
        <v>158</v>
      </c>
      <c r="D156" s="303" t="s">
        <v>565</v>
      </c>
      <c r="E156" s="303">
        <v>1.5</v>
      </c>
      <c r="F156" s="312">
        <v>45412.654166666667</v>
      </c>
      <c r="G156" s="303">
        <v>1</v>
      </c>
      <c r="H156" s="303">
        <v>51.374099999999999</v>
      </c>
      <c r="I156" s="303">
        <v>7.1578099999999996</v>
      </c>
      <c r="J156" s="303">
        <v>-21.279361999999999</v>
      </c>
      <c r="K156" s="303">
        <v>-20.432988000000002</v>
      </c>
      <c r="L156" s="303">
        <v>999.33299999999997</v>
      </c>
      <c r="M156" s="303">
        <v>114.999667</v>
      </c>
      <c r="N156" s="303">
        <v>17684.679520000002</v>
      </c>
      <c r="O156" s="303">
        <v>17677.702239999999</v>
      </c>
      <c r="P156" s="305">
        <v>2077.2694759999999</v>
      </c>
      <c r="Q156" s="299">
        <f t="shared" si="0"/>
        <v>2077.2694759999999</v>
      </c>
      <c r="R156" s="300" t="s">
        <v>230</v>
      </c>
      <c r="S156" s="300" t="s">
        <v>12</v>
      </c>
      <c r="T156" s="305" t="s">
        <v>530</v>
      </c>
      <c r="U156" s="305">
        <v>15</v>
      </c>
      <c r="V156" s="305">
        <v>5</v>
      </c>
      <c r="W156" s="303">
        <v>0.7</v>
      </c>
      <c r="X156" s="303">
        <v>0.7</v>
      </c>
      <c r="Y156" s="303">
        <v>0.7</v>
      </c>
      <c r="Z156" s="303">
        <v>1700</v>
      </c>
      <c r="AA156" s="303" t="s">
        <v>531</v>
      </c>
      <c r="AB156" s="303">
        <v>0.85</v>
      </c>
      <c r="AC156" s="303" t="s">
        <v>532</v>
      </c>
      <c r="AD156" s="303" t="s">
        <v>533</v>
      </c>
      <c r="AE156" s="303">
        <v>220</v>
      </c>
      <c r="AF156" s="134"/>
      <c r="AG156" s="307"/>
    </row>
    <row r="157" spans="1:33" ht="15.75">
      <c r="A157" s="302" t="s">
        <v>597</v>
      </c>
      <c r="B157" s="303">
        <v>5</v>
      </c>
      <c r="C157" s="303">
        <v>144</v>
      </c>
      <c r="D157" s="303" t="s">
        <v>570</v>
      </c>
      <c r="E157" s="303">
        <v>1.5</v>
      </c>
      <c r="F157" s="312">
        <v>45412.658333333333</v>
      </c>
      <c r="G157" s="303">
        <v>1</v>
      </c>
      <c r="H157" s="303">
        <v>51.370800000000003</v>
      </c>
      <c r="I157" s="303">
        <v>7.0231300000000001</v>
      </c>
      <c r="J157" s="303">
        <v>-21.357669000000001</v>
      </c>
      <c r="K157" s="303">
        <v>-20.515319000000002</v>
      </c>
      <c r="L157" s="303">
        <v>959.53300000000002</v>
      </c>
      <c r="M157" s="303">
        <v>114.999071</v>
      </c>
      <c r="N157" s="303">
        <v>17415.0262</v>
      </c>
      <c r="O157" s="303">
        <v>0</v>
      </c>
      <c r="P157" s="305">
        <v>0</v>
      </c>
      <c r="Q157" s="299">
        <f t="shared" si="0"/>
        <v>0</v>
      </c>
      <c r="R157" s="300" t="s">
        <v>230</v>
      </c>
      <c r="S157" s="300" t="s">
        <v>582</v>
      </c>
      <c r="T157" s="305" t="s">
        <v>583</v>
      </c>
      <c r="U157" s="305">
        <v>15</v>
      </c>
      <c r="V157" s="305">
        <v>5</v>
      </c>
      <c r="W157" s="303">
        <v>0.7</v>
      </c>
      <c r="X157" s="303">
        <v>0.7</v>
      </c>
      <c r="Y157" s="303">
        <v>0.7</v>
      </c>
      <c r="Z157" s="303">
        <v>1700</v>
      </c>
      <c r="AA157" s="303" t="s">
        <v>531</v>
      </c>
      <c r="AB157" s="303">
        <v>0.85</v>
      </c>
      <c r="AC157" s="303" t="s">
        <v>532</v>
      </c>
      <c r="AD157" s="303" t="s">
        <v>533</v>
      </c>
      <c r="AE157" s="303">
        <v>220</v>
      </c>
      <c r="AF157" s="134"/>
      <c r="AG157" s="307"/>
    </row>
    <row r="158" spans="1:33" ht="15.75">
      <c r="A158" s="302" t="s">
        <v>599</v>
      </c>
      <c r="B158" s="303">
        <v>5</v>
      </c>
      <c r="C158" s="303">
        <v>144</v>
      </c>
      <c r="D158" s="303" t="s">
        <v>570</v>
      </c>
      <c r="E158" s="303">
        <v>1.5</v>
      </c>
      <c r="F158" s="312">
        <v>45412.661805555559</v>
      </c>
      <c r="G158" s="303">
        <v>1</v>
      </c>
      <c r="H158" s="303">
        <v>51.374099999999999</v>
      </c>
      <c r="I158" s="303">
        <v>7.02081</v>
      </c>
      <c r="J158" s="303">
        <v>-21.296061999999999</v>
      </c>
      <c r="K158" s="303">
        <v>-20.461531000000001</v>
      </c>
      <c r="L158" s="303">
        <v>979.48800000000006</v>
      </c>
      <c r="M158" s="303">
        <v>118.000552</v>
      </c>
      <c r="N158" s="303">
        <v>17504.5026</v>
      </c>
      <c r="O158" s="303">
        <v>0</v>
      </c>
      <c r="P158" s="305">
        <v>0</v>
      </c>
      <c r="Q158" s="299">
        <f t="shared" si="0"/>
        <v>0</v>
      </c>
      <c r="R158" s="300" t="s">
        <v>230</v>
      </c>
      <c r="S158" s="300" t="s">
        <v>582</v>
      </c>
      <c r="T158" s="305" t="s">
        <v>583</v>
      </c>
      <c r="U158" s="305">
        <v>15</v>
      </c>
      <c r="V158" s="305">
        <v>5</v>
      </c>
      <c r="W158" s="303">
        <v>0.7</v>
      </c>
      <c r="X158" s="303">
        <v>0.7</v>
      </c>
      <c r="Y158" s="303">
        <v>0.7</v>
      </c>
      <c r="Z158" s="303">
        <v>1700</v>
      </c>
      <c r="AA158" s="303" t="s">
        <v>531</v>
      </c>
      <c r="AB158" s="303">
        <v>0.85</v>
      </c>
      <c r="AC158" s="303" t="s">
        <v>532</v>
      </c>
      <c r="AD158" s="303" t="s">
        <v>533</v>
      </c>
      <c r="AE158" s="303">
        <v>220</v>
      </c>
      <c r="AF158" s="134"/>
      <c r="AG158" s="307"/>
    </row>
    <row r="159" spans="1:33" ht="15.75">
      <c r="A159" s="302" t="s">
        <v>600</v>
      </c>
      <c r="B159" s="303">
        <v>5</v>
      </c>
      <c r="C159" s="303">
        <v>144</v>
      </c>
      <c r="D159" s="303" t="s">
        <v>570</v>
      </c>
      <c r="E159" s="303">
        <v>1.5</v>
      </c>
      <c r="F159" s="312">
        <v>45412.665277777778</v>
      </c>
      <c r="G159" s="303">
        <v>1</v>
      </c>
      <c r="H159" s="303">
        <v>51.370800000000003</v>
      </c>
      <c r="I159" s="303">
        <v>7.0201599999999997</v>
      </c>
      <c r="J159" s="303">
        <v>-21.352975000000001</v>
      </c>
      <c r="K159" s="303">
        <v>-20.515694</v>
      </c>
      <c r="L159" s="303">
        <v>973.13400000000001</v>
      </c>
      <c r="M159" s="303">
        <v>121.500423</v>
      </c>
      <c r="N159" s="303">
        <v>17367.502690000001</v>
      </c>
      <c r="O159" s="303">
        <v>0</v>
      </c>
      <c r="P159" s="305">
        <v>0</v>
      </c>
      <c r="Q159" s="299">
        <f t="shared" si="0"/>
        <v>0</v>
      </c>
      <c r="R159" s="300" t="s">
        <v>230</v>
      </c>
      <c r="S159" s="300" t="s">
        <v>582</v>
      </c>
      <c r="T159" s="305" t="s">
        <v>583</v>
      </c>
      <c r="U159" s="305">
        <v>15</v>
      </c>
      <c r="V159" s="305">
        <v>5</v>
      </c>
      <c r="W159" s="303">
        <v>0.7</v>
      </c>
      <c r="X159" s="303">
        <v>0.7</v>
      </c>
      <c r="Y159" s="303">
        <v>0.7</v>
      </c>
      <c r="Z159" s="303">
        <v>1700</v>
      </c>
      <c r="AA159" s="303" t="s">
        <v>531</v>
      </c>
      <c r="AB159" s="303">
        <v>0.85</v>
      </c>
      <c r="AC159" s="303" t="s">
        <v>532</v>
      </c>
      <c r="AD159" s="303" t="s">
        <v>533</v>
      </c>
      <c r="AE159" s="303">
        <v>220</v>
      </c>
      <c r="AF159" s="134"/>
      <c r="AG159" s="301"/>
    </row>
    <row r="160" spans="1:33" ht="15.75">
      <c r="A160" s="302" t="s">
        <v>601</v>
      </c>
      <c r="B160" s="303">
        <v>5</v>
      </c>
      <c r="C160" s="303">
        <v>144</v>
      </c>
      <c r="D160" s="303" t="s">
        <v>570</v>
      </c>
      <c r="E160" s="303">
        <v>1.5</v>
      </c>
      <c r="F160" s="312">
        <v>45412.668749999997</v>
      </c>
      <c r="G160" s="303">
        <v>1</v>
      </c>
      <c r="H160" s="303">
        <v>51.377400000000002</v>
      </c>
      <c r="I160" s="303">
        <v>7.0688399999999998</v>
      </c>
      <c r="J160" s="303">
        <v>-21.312380999999998</v>
      </c>
      <c r="K160" s="303">
        <v>-20.478538</v>
      </c>
      <c r="L160" s="303">
        <v>961.14499999999998</v>
      </c>
      <c r="M160" s="303">
        <v>120.000394</v>
      </c>
      <c r="N160" s="303">
        <v>17388.555850000001</v>
      </c>
      <c r="O160" s="303">
        <v>0</v>
      </c>
      <c r="P160" s="305">
        <v>0</v>
      </c>
      <c r="Q160" s="299">
        <f t="shared" si="0"/>
        <v>0</v>
      </c>
      <c r="R160" s="300" t="s">
        <v>230</v>
      </c>
      <c r="S160" s="300" t="s">
        <v>582</v>
      </c>
      <c r="T160" s="305" t="s">
        <v>583</v>
      </c>
      <c r="U160" s="305">
        <v>15</v>
      </c>
      <c r="V160" s="305">
        <v>5</v>
      </c>
      <c r="W160" s="303">
        <v>0.7</v>
      </c>
      <c r="X160" s="303">
        <v>0.7</v>
      </c>
      <c r="Y160" s="303">
        <v>0.7</v>
      </c>
      <c r="Z160" s="303">
        <v>1700</v>
      </c>
      <c r="AA160" s="303" t="s">
        <v>531</v>
      </c>
      <c r="AB160" s="303">
        <v>0.85</v>
      </c>
      <c r="AC160" s="303" t="s">
        <v>532</v>
      </c>
      <c r="AD160" s="303" t="s">
        <v>533</v>
      </c>
      <c r="AE160" s="303">
        <v>220</v>
      </c>
      <c r="AF160" s="134"/>
      <c r="AG160" s="301"/>
    </row>
    <row r="161" spans="1:33" ht="15.75">
      <c r="A161" s="302" t="s">
        <v>680</v>
      </c>
      <c r="B161" s="303">
        <v>5</v>
      </c>
      <c r="C161" s="303">
        <v>144</v>
      </c>
      <c r="D161" s="303" t="s">
        <v>570</v>
      </c>
      <c r="E161" s="303">
        <v>1.5</v>
      </c>
      <c r="F161" s="312">
        <v>45412.672222222223</v>
      </c>
      <c r="G161" s="303">
        <v>1</v>
      </c>
      <c r="H161" s="303">
        <v>51.374099999999999</v>
      </c>
      <c r="I161" s="303">
        <v>7.0045700000000002</v>
      </c>
      <c r="J161" s="303">
        <v>-21.303650000000001</v>
      </c>
      <c r="K161" s="303">
        <v>-20.458656000000001</v>
      </c>
      <c r="L161" s="303">
        <v>955.64700000000005</v>
      </c>
      <c r="M161" s="303">
        <v>118.998501</v>
      </c>
      <c r="N161" s="303">
        <v>17349.719249999998</v>
      </c>
      <c r="O161" s="303">
        <v>0</v>
      </c>
      <c r="P161" s="305">
        <v>0</v>
      </c>
      <c r="Q161" s="299">
        <f t="shared" si="0"/>
        <v>0</v>
      </c>
      <c r="R161" s="300" t="s">
        <v>230</v>
      </c>
      <c r="S161" s="300" t="s">
        <v>582</v>
      </c>
      <c r="T161" s="305" t="s">
        <v>583</v>
      </c>
      <c r="U161" s="305">
        <v>15</v>
      </c>
      <c r="V161" s="305">
        <v>5</v>
      </c>
      <c r="W161" s="303">
        <v>0.7</v>
      </c>
      <c r="X161" s="303">
        <v>0.7</v>
      </c>
      <c r="Y161" s="303">
        <v>0.7</v>
      </c>
      <c r="Z161" s="303">
        <v>1700</v>
      </c>
      <c r="AA161" s="303" t="s">
        <v>531</v>
      </c>
      <c r="AB161" s="303">
        <v>0.85</v>
      </c>
      <c r="AC161" s="303" t="s">
        <v>532</v>
      </c>
      <c r="AD161" s="303" t="s">
        <v>533</v>
      </c>
      <c r="AE161" s="303">
        <v>220</v>
      </c>
      <c r="AF161" s="134"/>
      <c r="AG161" s="301"/>
    </row>
    <row r="162" spans="1:33" ht="15.75">
      <c r="A162" s="302" t="s">
        <v>681</v>
      </c>
      <c r="B162" s="303">
        <v>5</v>
      </c>
      <c r="C162" s="303">
        <v>144</v>
      </c>
      <c r="D162" s="303" t="s">
        <v>570</v>
      </c>
      <c r="E162" s="303">
        <v>1.5</v>
      </c>
      <c r="F162" s="312">
        <v>45412.676388888889</v>
      </c>
      <c r="G162" s="303">
        <v>2</v>
      </c>
      <c r="H162" s="303">
        <v>51.377400000000002</v>
      </c>
      <c r="I162" s="303">
        <v>6.9791400000000001</v>
      </c>
      <c r="J162" s="303">
        <v>-21.326419000000001</v>
      </c>
      <c r="K162" s="303">
        <v>-20.477231</v>
      </c>
      <c r="L162" s="303">
        <v>983.84100000000001</v>
      </c>
      <c r="M162" s="303">
        <v>123.500044</v>
      </c>
      <c r="N162" s="303">
        <v>17416.972010000001</v>
      </c>
      <c r="O162" s="303">
        <v>17426.483560000001</v>
      </c>
      <c r="P162" s="305">
        <v>2047.8626630000001</v>
      </c>
      <c r="Q162" s="299">
        <f t="shared" si="0"/>
        <v>2047.8626630000001</v>
      </c>
      <c r="R162" s="300" t="s">
        <v>230</v>
      </c>
      <c r="S162" s="300" t="s">
        <v>12</v>
      </c>
      <c r="T162" s="305" t="s">
        <v>530</v>
      </c>
      <c r="U162" s="305">
        <v>15</v>
      </c>
      <c r="V162" s="305">
        <v>5</v>
      </c>
      <c r="W162" s="303">
        <v>0.7</v>
      </c>
      <c r="X162" s="303">
        <v>0.7</v>
      </c>
      <c r="Y162" s="303">
        <v>0.7</v>
      </c>
      <c r="Z162" s="303">
        <v>1700</v>
      </c>
      <c r="AA162" s="303" t="s">
        <v>531</v>
      </c>
      <c r="AB162" s="303">
        <v>0.85</v>
      </c>
      <c r="AC162" s="303" t="s">
        <v>532</v>
      </c>
      <c r="AD162" s="303" t="s">
        <v>533</v>
      </c>
      <c r="AE162" s="303">
        <v>220</v>
      </c>
      <c r="AF162" s="134"/>
      <c r="AG162" s="301"/>
    </row>
    <row r="163" spans="1:33" ht="15.75">
      <c r="A163" s="302" t="s">
        <v>682</v>
      </c>
      <c r="B163" s="303">
        <v>5</v>
      </c>
      <c r="C163" s="303">
        <v>144</v>
      </c>
      <c r="D163" s="303" t="s">
        <v>570</v>
      </c>
      <c r="E163" s="303">
        <v>1.5</v>
      </c>
      <c r="F163" s="312">
        <v>45412.679861111108</v>
      </c>
      <c r="G163" s="303">
        <v>2</v>
      </c>
      <c r="H163" s="303">
        <v>51.370800000000003</v>
      </c>
      <c r="I163" s="303">
        <v>6.9897099999999996</v>
      </c>
      <c r="J163" s="303">
        <v>-21.316880999999999</v>
      </c>
      <c r="K163" s="303">
        <v>-20.498125000000002</v>
      </c>
      <c r="L163" s="303">
        <v>966.13499999999999</v>
      </c>
      <c r="M163" s="303">
        <v>117.999413</v>
      </c>
      <c r="N163" s="303">
        <v>17422.24236</v>
      </c>
      <c r="O163" s="303">
        <v>17426.483560000001</v>
      </c>
      <c r="P163" s="305">
        <v>2047.8626630000001</v>
      </c>
      <c r="Q163" s="299">
        <f t="shared" si="0"/>
        <v>2047.8626630000001</v>
      </c>
      <c r="R163" s="300" t="s">
        <v>230</v>
      </c>
      <c r="S163" s="300" t="s">
        <v>12</v>
      </c>
      <c r="T163" s="305" t="s">
        <v>530</v>
      </c>
      <c r="U163" s="305">
        <v>15</v>
      </c>
      <c r="V163" s="305">
        <v>5</v>
      </c>
      <c r="W163" s="303">
        <v>0.7</v>
      </c>
      <c r="X163" s="303">
        <v>0.7</v>
      </c>
      <c r="Y163" s="303">
        <v>0.7</v>
      </c>
      <c r="Z163" s="303">
        <v>1700</v>
      </c>
      <c r="AA163" s="303" t="s">
        <v>531</v>
      </c>
      <c r="AB163" s="303">
        <v>0.85</v>
      </c>
      <c r="AC163" s="303" t="s">
        <v>532</v>
      </c>
      <c r="AD163" s="303" t="s">
        <v>533</v>
      </c>
      <c r="AE163" s="303">
        <v>220</v>
      </c>
      <c r="AF163" s="134"/>
      <c r="AG163" s="301"/>
    </row>
    <row r="164" spans="1:33" ht="15.75">
      <c r="A164" s="302" t="s">
        <v>683</v>
      </c>
      <c r="B164" s="303">
        <v>5</v>
      </c>
      <c r="C164" s="303">
        <v>144</v>
      </c>
      <c r="D164" s="303" t="s">
        <v>570</v>
      </c>
      <c r="E164" s="303">
        <v>1.5</v>
      </c>
      <c r="F164" s="312">
        <v>45412.683333333334</v>
      </c>
      <c r="G164" s="303">
        <v>2</v>
      </c>
      <c r="H164" s="303">
        <v>51.374099999999999</v>
      </c>
      <c r="I164" s="303">
        <v>7.0228299999999999</v>
      </c>
      <c r="J164" s="303">
        <v>-21.268875000000001</v>
      </c>
      <c r="K164" s="303">
        <v>-20.420456000000001</v>
      </c>
      <c r="L164" s="303">
        <v>982.505</v>
      </c>
      <c r="M164" s="303">
        <v>119.999546</v>
      </c>
      <c r="N164" s="303">
        <v>17440.2363</v>
      </c>
      <c r="O164" s="303">
        <v>17426.483560000001</v>
      </c>
      <c r="P164" s="305">
        <v>2047.8626630000001</v>
      </c>
      <c r="Q164" s="299">
        <f t="shared" si="0"/>
        <v>2047.8626630000001</v>
      </c>
      <c r="R164" s="300" t="s">
        <v>230</v>
      </c>
      <c r="S164" s="300" t="s">
        <v>12</v>
      </c>
      <c r="T164" s="305" t="s">
        <v>530</v>
      </c>
      <c r="U164" s="305">
        <v>15</v>
      </c>
      <c r="V164" s="305">
        <v>5</v>
      </c>
      <c r="W164" s="303">
        <v>0.7</v>
      </c>
      <c r="X164" s="303">
        <v>0.7</v>
      </c>
      <c r="Y164" s="303">
        <v>0.7</v>
      </c>
      <c r="Z164" s="303">
        <v>1700</v>
      </c>
      <c r="AA164" s="303" t="s">
        <v>531</v>
      </c>
      <c r="AB164" s="303">
        <v>0.85</v>
      </c>
      <c r="AC164" s="303" t="s">
        <v>532</v>
      </c>
      <c r="AD164" s="303" t="s">
        <v>533</v>
      </c>
      <c r="AE164" s="303">
        <v>220</v>
      </c>
      <c r="AF164" s="134"/>
      <c r="AG164" s="301"/>
    </row>
    <row r="165" spans="1:33" ht="15.75">
      <c r="A165" s="302" t="s">
        <v>602</v>
      </c>
      <c r="B165" s="303">
        <v>6</v>
      </c>
      <c r="C165" s="303">
        <v>145</v>
      </c>
      <c r="D165" s="303" t="s">
        <v>575</v>
      </c>
      <c r="E165" s="303">
        <v>1.5</v>
      </c>
      <c r="F165" s="312">
        <v>45412.6875</v>
      </c>
      <c r="G165" s="303">
        <v>1</v>
      </c>
      <c r="H165" s="303">
        <v>51.377400000000002</v>
      </c>
      <c r="I165" s="303">
        <v>7.0396700000000001</v>
      </c>
      <c r="J165" s="303">
        <v>-21.325324999999999</v>
      </c>
      <c r="K165" s="303">
        <v>-20.493831</v>
      </c>
      <c r="L165" s="303">
        <v>966.96600000000001</v>
      </c>
      <c r="M165" s="303">
        <v>115.998711</v>
      </c>
      <c r="N165" s="303">
        <v>17454.113160000001</v>
      </c>
      <c r="O165" s="303">
        <v>17392.661929999998</v>
      </c>
      <c r="P165" s="305">
        <v>2043.9096649999999</v>
      </c>
      <c r="Q165" s="299">
        <f t="shared" si="0"/>
        <v>2043.9096649999999</v>
      </c>
      <c r="R165" s="300" t="s">
        <v>230</v>
      </c>
      <c r="S165" s="300" t="s">
        <v>12</v>
      </c>
      <c r="T165" s="305" t="s">
        <v>545</v>
      </c>
      <c r="U165" s="305">
        <v>15</v>
      </c>
      <c r="V165" s="305">
        <v>5</v>
      </c>
      <c r="W165" s="303">
        <v>0.7</v>
      </c>
      <c r="X165" s="303">
        <v>0.7</v>
      </c>
      <c r="Y165" s="303">
        <v>0.7</v>
      </c>
      <c r="Z165" s="303">
        <v>1700</v>
      </c>
      <c r="AA165" s="303" t="s">
        <v>531</v>
      </c>
      <c r="AB165" s="303">
        <v>0.85</v>
      </c>
      <c r="AC165" s="303" t="s">
        <v>532</v>
      </c>
      <c r="AD165" s="303" t="s">
        <v>533</v>
      </c>
      <c r="AE165" s="303">
        <v>220</v>
      </c>
      <c r="AF165" s="134"/>
      <c r="AG165" s="301"/>
    </row>
    <row r="166" spans="1:33" ht="15.75">
      <c r="A166" s="302" t="s">
        <v>604</v>
      </c>
      <c r="B166" s="303">
        <v>6</v>
      </c>
      <c r="C166" s="303">
        <v>145</v>
      </c>
      <c r="D166" s="303" t="s">
        <v>575</v>
      </c>
      <c r="E166" s="303">
        <v>1.5</v>
      </c>
      <c r="F166" s="312">
        <v>45412.690972222219</v>
      </c>
      <c r="G166" s="303">
        <v>1</v>
      </c>
      <c r="H166" s="303">
        <v>51.374099999999999</v>
      </c>
      <c r="I166" s="303">
        <v>7.0392599999999996</v>
      </c>
      <c r="J166" s="303">
        <v>-21.367163000000001</v>
      </c>
      <c r="K166" s="303">
        <v>-20.526555999999999</v>
      </c>
      <c r="L166" s="303">
        <v>970.173</v>
      </c>
      <c r="M166" s="303">
        <v>124.99910800000001</v>
      </c>
      <c r="N166" s="303">
        <v>17493.286680000001</v>
      </c>
      <c r="O166" s="303">
        <v>17392.661929999998</v>
      </c>
      <c r="P166" s="305">
        <v>2043.9096649999999</v>
      </c>
      <c r="Q166" s="299">
        <f t="shared" si="0"/>
        <v>2043.9096649999999</v>
      </c>
      <c r="R166" s="300" t="s">
        <v>230</v>
      </c>
      <c r="S166" s="300" t="s">
        <v>12</v>
      </c>
      <c r="T166" s="305" t="s">
        <v>545</v>
      </c>
      <c r="U166" s="305">
        <v>15</v>
      </c>
      <c r="V166" s="305">
        <v>5</v>
      </c>
      <c r="W166" s="303">
        <v>0.7</v>
      </c>
      <c r="X166" s="303">
        <v>0.7</v>
      </c>
      <c r="Y166" s="303">
        <v>0.7</v>
      </c>
      <c r="Z166" s="303">
        <v>1700</v>
      </c>
      <c r="AA166" s="303" t="s">
        <v>531</v>
      </c>
      <c r="AB166" s="303">
        <v>0.85</v>
      </c>
      <c r="AC166" s="303" t="s">
        <v>532</v>
      </c>
      <c r="AD166" s="303" t="s">
        <v>533</v>
      </c>
      <c r="AE166" s="303">
        <v>220</v>
      </c>
      <c r="AF166" s="134"/>
      <c r="AG166" s="301"/>
    </row>
    <row r="167" spans="1:33" ht="15.75">
      <c r="A167" s="302" t="s">
        <v>605</v>
      </c>
      <c r="B167" s="303">
        <v>6</v>
      </c>
      <c r="C167" s="303">
        <v>145</v>
      </c>
      <c r="D167" s="303" t="s">
        <v>575</v>
      </c>
      <c r="E167" s="303">
        <v>1.5</v>
      </c>
      <c r="F167" s="312">
        <v>45412.694444444445</v>
      </c>
      <c r="G167" s="303">
        <v>1</v>
      </c>
      <c r="H167" s="303">
        <v>51.370800000000003</v>
      </c>
      <c r="I167" s="303">
        <v>7.0326000000000004</v>
      </c>
      <c r="J167" s="303">
        <v>-21.307580999999999</v>
      </c>
      <c r="K167" s="303">
        <v>-20.459087</v>
      </c>
      <c r="L167" s="303">
        <v>983.59400000000005</v>
      </c>
      <c r="M167" s="303">
        <v>123.50057200000001</v>
      </c>
      <c r="N167" s="303">
        <v>17397.840520000002</v>
      </c>
      <c r="O167" s="303">
        <v>17392.661929999998</v>
      </c>
      <c r="P167" s="305">
        <v>2043.9096649999999</v>
      </c>
      <c r="Q167" s="299">
        <f t="shared" si="0"/>
        <v>2043.9096649999999</v>
      </c>
      <c r="R167" s="300" t="s">
        <v>230</v>
      </c>
      <c r="S167" s="300" t="s">
        <v>12</v>
      </c>
      <c r="T167" s="305" t="s">
        <v>530</v>
      </c>
      <c r="U167" s="305">
        <v>15</v>
      </c>
      <c r="V167" s="305">
        <v>5</v>
      </c>
      <c r="W167" s="303">
        <v>0.7</v>
      </c>
      <c r="X167" s="303">
        <v>0.7</v>
      </c>
      <c r="Y167" s="303">
        <v>0.7</v>
      </c>
      <c r="Z167" s="303">
        <v>1700</v>
      </c>
      <c r="AA167" s="303" t="s">
        <v>531</v>
      </c>
      <c r="AB167" s="303">
        <v>0.85</v>
      </c>
      <c r="AC167" s="303" t="s">
        <v>532</v>
      </c>
      <c r="AD167" s="303" t="s">
        <v>533</v>
      </c>
      <c r="AE167" s="303">
        <v>220</v>
      </c>
      <c r="AF167" s="134"/>
      <c r="AG167" s="301"/>
    </row>
    <row r="168" spans="1:33" ht="15.75">
      <c r="A168" s="302" t="s">
        <v>684</v>
      </c>
      <c r="B168" s="303">
        <v>6</v>
      </c>
      <c r="C168" s="303">
        <v>145</v>
      </c>
      <c r="D168" s="303" t="s">
        <v>575</v>
      </c>
      <c r="E168" s="303">
        <v>1.5</v>
      </c>
      <c r="F168" s="312">
        <v>45412.697916666664</v>
      </c>
      <c r="G168" s="303">
        <v>1</v>
      </c>
      <c r="H168" s="303">
        <v>51.374099999999999</v>
      </c>
      <c r="I168" s="303">
        <v>7.0493499999999996</v>
      </c>
      <c r="J168" s="303">
        <v>-21.374549999999999</v>
      </c>
      <c r="K168" s="303">
        <v>-20.541755999999999</v>
      </c>
      <c r="L168" s="303">
        <v>951.173</v>
      </c>
      <c r="M168" s="303">
        <v>125.00004300000001</v>
      </c>
      <c r="N168" s="303">
        <v>17373.463390000001</v>
      </c>
      <c r="O168" s="303">
        <v>17392.661929999998</v>
      </c>
      <c r="P168" s="305">
        <v>2043.9096649999999</v>
      </c>
      <c r="Q168" s="299">
        <f t="shared" si="0"/>
        <v>2043.9096649999999</v>
      </c>
      <c r="R168" s="300" t="s">
        <v>230</v>
      </c>
      <c r="S168" s="300" t="s">
        <v>12</v>
      </c>
      <c r="T168" s="305" t="s">
        <v>530</v>
      </c>
      <c r="U168" s="305">
        <v>15</v>
      </c>
      <c r="V168" s="305">
        <v>5</v>
      </c>
      <c r="W168" s="303">
        <v>0.7</v>
      </c>
      <c r="X168" s="303">
        <v>0.7</v>
      </c>
      <c r="Y168" s="303">
        <v>0.7</v>
      </c>
      <c r="Z168" s="303">
        <v>1700</v>
      </c>
      <c r="AA168" s="303" t="s">
        <v>531</v>
      </c>
      <c r="AB168" s="303">
        <v>0.85</v>
      </c>
      <c r="AC168" s="303" t="s">
        <v>532</v>
      </c>
      <c r="AD168" s="303" t="s">
        <v>533</v>
      </c>
      <c r="AE168" s="303">
        <v>220</v>
      </c>
      <c r="AF168" s="134"/>
      <c r="AG168" s="301"/>
    </row>
    <row r="169" spans="1:33" ht="15.75">
      <c r="A169" s="302" t="s">
        <v>685</v>
      </c>
      <c r="B169" s="303">
        <v>6</v>
      </c>
      <c r="C169" s="303">
        <v>145</v>
      </c>
      <c r="D169" s="303" t="s">
        <v>575</v>
      </c>
      <c r="E169" s="303">
        <v>1.5</v>
      </c>
      <c r="F169" s="312">
        <v>45412.701388888891</v>
      </c>
      <c r="G169" s="303">
        <v>1</v>
      </c>
      <c r="H169" s="303">
        <v>51.374099999999999</v>
      </c>
      <c r="I169" s="303">
        <v>7.0219699999999996</v>
      </c>
      <c r="J169" s="303">
        <v>-21.387756</v>
      </c>
      <c r="K169" s="303">
        <v>-20.553850000000001</v>
      </c>
      <c r="L169" s="303">
        <v>975.78700000000003</v>
      </c>
      <c r="M169" s="303">
        <v>123.99937</v>
      </c>
      <c r="N169" s="303">
        <v>17406.68189</v>
      </c>
      <c r="O169" s="303">
        <v>17392.661929999998</v>
      </c>
      <c r="P169" s="305">
        <v>2043.9096649999999</v>
      </c>
      <c r="Q169" s="299">
        <f t="shared" si="0"/>
        <v>2043.9096649999999</v>
      </c>
      <c r="R169" s="300" t="s">
        <v>230</v>
      </c>
      <c r="S169" s="300" t="s">
        <v>12</v>
      </c>
      <c r="T169" s="305" t="s">
        <v>530</v>
      </c>
      <c r="U169" s="305">
        <v>15</v>
      </c>
      <c r="V169" s="305">
        <v>5</v>
      </c>
      <c r="W169" s="303">
        <v>0.7</v>
      </c>
      <c r="X169" s="303">
        <v>0.7</v>
      </c>
      <c r="Y169" s="303">
        <v>0.7</v>
      </c>
      <c r="Z169" s="303">
        <v>1700</v>
      </c>
      <c r="AA169" s="303" t="s">
        <v>531</v>
      </c>
      <c r="AB169" s="303">
        <v>0.85</v>
      </c>
      <c r="AC169" s="303" t="s">
        <v>532</v>
      </c>
      <c r="AD169" s="303" t="s">
        <v>533</v>
      </c>
      <c r="AE169" s="303">
        <v>220</v>
      </c>
      <c r="AF169" s="134"/>
      <c r="AG169" s="301"/>
    </row>
    <row r="170" spans="1:33" ht="15.75">
      <c r="A170" s="302" t="s">
        <v>606</v>
      </c>
      <c r="B170" s="303">
        <v>7</v>
      </c>
      <c r="C170" s="303">
        <v>131</v>
      </c>
      <c r="D170" s="303" t="s">
        <v>581</v>
      </c>
      <c r="E170" s="303">
        <v>1.5</v>
      </c>
      <c r="F170" s="312">
        <v>45412.705555555556</v>
      </c>
      <c r="G170" s="303">
        <v>1</v>
      </c>
      <c r="H170" s="303">
        <v>51.3675</v>
      </c>
      <c r="I170" s="303">
        <v>7.0732699999999999</v>
      </c>
      <c r="J170" s="303">
        <v>-21.424337999999999</v>
      </c>
      <c r="K170" s="303">
        <v>-20.60155</v>
      </c>
      <c r="L170" s="303">
        <v>981.49300000000005</v>
      </c>
      <c r="M170" s="303">
        <v>123.999302</v>
      </c>
      <c r="N170" s="303">
        <v>17638.22407</v>
      </c>
      <c r="O170" s="303">
        <v>17668.65251</v>
      </c>
      <c r="P170" s="305">
        <v>2076.2048519999998</v>
      </c>
      <c r="Q170" s="299">
        <f t="shared" si="0"/>
        <v>2076.2048519999998</v>
      </c>
      <c r="R170" s="300" t="s">
        <v>230</v>
      </c>
      <c r="S170" s="300" t="s">
        <v>12</v>
      </c>
      <c r="T170" s="305" t="s">
        <v>545</v>
      </c>
      <c r="U170" s="305">
        <v>15</v>
      </c>
      <c r="V170" s="305">
        <v>5</v>
      </c>
      <c r="W170" s="303">
        <v>0.7</v>
      </c>
      <c r="X170" s="303">
        <v>0.7</v>
      </c>
      <c r="Y170" s="303">
        <v>0.7</v>
      </c>
      <c r="Z170" s="303">
        <v>1700</v>
      </c>
      <c r="AA170" s="303" t="s">
        <v>531</v>
      </c>
      <c r="AB170" s="303">
        <v>0.85</v>
      </c>
      <c r="AC170" s="303" t="s">
        <v>532</v>
      </c>
      <c r="AD170" s="303" t="s">
        <v>533</v>
      </c>
      <c r="AE170" s="303">
        <v>220</v>
      </c>
      <c r="AF170" s="134"/>
      <c r="AG170" s="301"/>
    </row>
    <row r="171" spans="1:33" ht="15.75">
      <c r="A171" s="302" t="s">
        <v>607</v>
      </c>
      <c r="B171" s="303">
        <v>7</v>
      </c>
      <c r="C171" s="303">
        <v>131</v>
      </c>
      <c r="D171" s="303" t="s">
        <v>581</v>
      </c>
      <c r="E171" s="303">
        <v>1.5</v>
      </c>
      <c r="F171" s="312">
        <v>45412.709027777775</v>
      </c>
      <c r="G171" s="303">
        <v>1</v>
      </c>
      <c r="H171" s="303">
        <v>51.370800000000003</v>
      </c>
      <c r="I171" s="303">
        <v>7.1949500000000004</v>
      </c>
      <c r="J171" s="303">
        <v>-21.268243999999999</v>
      </c>
      <c r="K171" s="303">
        <v>-20.442263000000001</v>
      </c>
      <c r="L171" s="303">
        <v>969.8</v>
      </c>
      <c r="M171" s="303">
        <v>127.499371</v>
      </c>
      <c r="N171" s="303">
        <v>17581.29925</v>
      </c>
      <c r="O171" s="303">
        <v>17668.65251</v>
      </c>
      <c r="P171" s="305">
        <v>2076.2048519999998</v>
      </c>
      <c r="Q171" s="299">
        <f t="shared" si="0"/>
        <v>2076.2048519999998</v>
      </c>
      <c r="R171" s="300" t="s">
        <v>230</v>
      </c>
      <c r="S171" s="300" t="s">
        <v>12</v>
      </c>
      <c r="T171" s="305" t="s">
        <v>545</v>
      </c>
      <c r="U171" s="305">
        <v>15</v>
      </c>
      <c r="V171" s="305">
        <v>5</v>
      </c>
      <c r="W171" s="303">
        <v>0.7</v>
      </c>
      <c r="X171" s="303">
        <v>0.7</v>
      </c>
      <c r="Y171" s="303">
        <v>0.7</v>
      </c>
      <c r="Z171" s="303">
        <v>1700</v>
      </c>
      <c r="AA171" s="303" t="s">
        <v>531</v>
      </c>
      <c r="AB171" s="303">
        <v>0.85</v>
      </c>
      <c r="AC171" s="303" t="s">
        <v>532</v>
      </c>
      <c r="AD171" s="303" t="s">
        <v>533</v>
      </c>
      <c r="AE171" s="303">
        <v>220</v>
      </c>
      <c r="AF171" s="134"/>
      <c r="AG171" s="301"/>
    </row>
    <row r="172" spans="1:33" ht="15.75">
      <c r="A172" s="302" t="s">
        <v>608</v>
      </c>
      <c r="B172" s="303">
        <v>7</v>
      </c>
      <c r="C172" s="303">
        <v>131</v>
      </c>
      <c r="D172" s="303" t="s">
        <v>581</v>
      </c>
      <c r="E172" s="303">
        <v>1.5</v>
      </c>
      <c r="F172" s="312">
        <v>45412.713194444441</v>
      </c>
      <c r="G172" s="303">
        <v>1</v>
      </c>
      <c r="H172" s="303">
        <v>51.374099999999999</v>
      </c>
      <c r="I172" s="303">
        <v>7.1444099999999997</v>
      </c>
      <c r="J172" s="303">
        <v>-21.396594</v>
      </c>
      <c r="K172" s="303">
        <v>-20.547825</v>
      </c>
      <c r="L172" s="303">
        <v>998.39499999999998</v>
      </c>
      <c r="M172" s="303">
        <v>115.998868</v>
      </c>
      <c r="N172" s="303">
        <v>17673.778129999999</v>
      </c>
      <c r="O172" s="303">
        <v>17668.65251</v>
      </c>
      <c r="P172" s="305">
        <v>2076.2048519999998</v>
      </c>
      <c r="Q172" s="299">
        <f t="shared" si="0"/>
        <v>2076.2048519999998</v>
      </c>
      <c r="R172" s="300" t="s">
        <v>230</v>
      </c>
      <c r="S172" s="300" t="s">
        <v>12</v>
      </c>
      <c r="T172" s="305" t="s">
        <v>530</v>
      </c>
      <c r="U172" s="305">
        <v>15</v>
      </c>
      <c r="V172" s="305">
        <v>5</v>
      </c>
      <c r="W172" s="303">
        <v>0.7</v>
      </c>
      <c r="X172" s="303">
        <v>0.7</v>
      </c>
      <c r="Y172" s="303">
        <v>0.7</v>
      </c>
      <c r="Z172" s="303">
        <v>1700</v>
      </c>
      <c r="AA172" s="303" t="s">
        <v>531</v>
      </c>
      <c r="AB172" s="303">
        <v>0.85</v>
      </c>
      <c r="AC172" s="303" t="s">
        <v>532</v>
      </c>
      <c r="AD172" s="303" t="s">
        <v>533</v>
      </c>
      <c r="AE172" s="303">
        <v>220</v>
      </c>
      <c r="AF172" s="134"/>
      <c r="AG172" s="301"/>
    </row>
    <row r="173" spans="1:33" ht="15.75">
      <c r="A173" s="302" t="s">
        <v>609</v>
      </c>
      <c r="B173" s="303">
        <v>7</v>
      </c>
      <c r="C173" s="303">
        <v>131</v>
      </c>
      <c r="D173" s="303" t="s">
        <v>581</v>
      </c>
      <c r="E173" s="303">
        <v>1.5</v>
      </c>
      <c r="F173" s="312">
        <v>45412.716666666667</v>
      </c>
      <c r="G173" s="303">
        <v>1</v>
      </c>
      <c r="H173" s="303">
        <v>51.374099999999999</v>
      </c>
      <c r="I173" s="303">
        <v>7.1685299999999996</v>
      </c>
      <c r="J173" s="303">
        <v>-21.402594000000001</v>
      </c>
      <c r="K173" s="303">
        <v>-20.556825</v>
      </c>
      <c r="L173" s="303">
        <v>975.96400000000006</v>
      </c>
      <c r="M173" s="303">
        <v>114.50090899999999</v>
      </c>
      <c r="N173" s="303">
        <v>17677.035059999998</v>
      </c>
      <c r="O173" s="303">
        <v>17668.65251</v>
      </c>
      <c r="P173" s="305">
        <v>2076.2048519999998</v>
      </c>
      <c r="Q173" s="299">
        <f t="shared" si="0"/>
        <v>2076.2048519999998</v>
      </c>
      <c r="R173" s="300" t="s">
        <v>230</v>
      </c>
      <c r="S173" s="300" t="s">
        <v>12</v>
      </c>
      <c r="T173" s="305" t="s">
        <v>530</v>
      </c>
      <c r="U173" s="305">
        <v>15</v>
      </c>
      <c r="V173" s="305">
        <v>5</v>
      </c>
      <c r="W173" s="303">
        <v>0.7</v>
      </c>
      <c r="X173" s="303">
        <v>0.7</v>
      </c>
      <c r="Y173" s="303">
        <v>0.7</v>
      </c>
      <c r="Z173" s="303">
        <v>1700</v>
      </c>
      <c r="AA173" s="303" t="s">
        <v>531</v>
      </c>
      <c r="AB173" s="303">
        <v>0.85</v>
      </c>
      <c r="AC173" s="303" t="s">
        <v>532</v>
      </c>
      <c r="AD173" s="303" t="s">
        <v>533</v>
      </c>
      <c r="AE173" s="303">
        <v>220</v>
      </c>
      <c r="AF173" s="134"/>
      <c r="AG173" s="301"/>
    </row>
    <row r="174" spans="1:33" ht="15.75">
      <c r="A174" s="302" t="s">
        <v>686</v>
      </c>
      <c r="B174" s="303">
        <v>7</v>
      </c>
      <c r="C174" s="303">
        <v>131</v>
      </c>
      <c r="D174" s="303" t="s">
        <v>581</v>
      </c>
      <c r="E174" s="303">
        <v>1.5</v>
      </c>
      <c r="F174" s="312">
        <v>45412.720138888886</v>
      </c>
      <c r="G174" s="303">
        <v>1</v>
      </c>
      <c r="H174" s="303">
        <v>51.374099999999999</v>
      </c>
      <c r="I174" s="303">
        <v>7.2210799999999997</v>
      </c>
      <c r="J174" s="303">
        <v>-21.444588</v>
      </c>
      <c r="K174" s="303">
        <v>-20.599212999999999</v>
      </c>
      <c r="L174" s="303">
        <v>990.101</v>
      </c>
      <c r="M174" s="303">
        <v>117.001459</v>
      </c>
      <c r="N174" s="303">
        <v>17655.144339999999</v>
      </c>
      <c r="O174" s="303">
        <v>17668.65251</v>
      </c>
      <c r="P174" s="305">
        <v>2076.2048519999998</v>
      </c>
      <c r="Q174" s="299">
        <f t="shared" si="0"/>
        <v>2076.2048519999998</v>
      </c>
      <c r="R174" s="300" t="s">
        <v>230</v>
      </c>
      <c r="S174" s="300" t="s">
        <v>12</v>
      </c>
      <c r="T174" s="305" t="s">
        <v>530</v>
      </c>
      <c r="U174" s="305">
        <v>15</v>
      </c>
      <c r="V174" s="305">
        <v>5</v>
      </c>
      <c r="W174" s="303">
        <v>0.7</v>
      </c>
      <c r="X174" s="303">
        <v>0.7</v>
      </c>
      <c r="Y174" s="303">
        <v>0.7</v>
      </c>
      <c r="Z174" s="303">
        <v>1700</v>
      </c>
      <c r="AA174" s="303" t="s">
        <v>531</v>
      </c>
      <c r="AB174" s="303">
        <v>0.85</v>
      </c>
      <c r="AC174" s="303" t="s">
        <v>532</v>
      </c>
      <c r="AD174" s="303" t="s">
        <v>533</v>
      </c>
      <c r="AE174" s="303">
        <v>220</v>
      </c>
      <c r="AF174" s="134"/>
      <c r="AG174" s="301"/>
    </row>
    <row r="175" spans="1:33" ht="15.75">
      <c r="A175" s="302" t="s">
        <v>610</v>
      </c>
      <c r="B175" s="303">
        <v>8</v>
      </c>
      <c r="C175" s="303">
        <v>132</v>
      </c>
      <c r="D175" s="303" t="s">
        <v>594</v>
      </c>
      <c r="E175" s="303">
        <v>1.5</v>
      </c>
      <c r="F175" s="312">
        <v>45412.723611111112</v>
      </c>
      <c r="G175" s="303">
        <v>1</v>
      </c>
      <c r="H175" s="303">
        <v>51.370800000000003</v>
      </c>
      <c r="I175" s="303">
        <v>7.4084099999999999</v>
      </c>
      <c r="J175" s="303">
        <v>-21.373861999999999</v>
      </c>
      <c r="K175" s="303">
        <v>-20.536925</v>
      </c>
      <c r="L175" s="303">
        <v>987.44</v>
      </c>
      <c r="M175" s="303">
        <v>110.500823</v>
      </c>
      <c r="N175" s="303">
        <v>17659.475269999999</v>
      </c>
      <c r="O175" s="303">
        <v>0</v>
      </c>
      <c r="P175" s="305">
        <v>0</v>
      </c>
      <c r="Q175" s="299">
        <f t="shared" si="0"/>
        <v>0</v>
      </c>
      <c r="R175" s="300" t="s">
        <v>230</v>
      </c>
      <c r="S175" s="300" t="s">
        <v>582</v>
      </c>
      <c r="T175" s="305" t="s">
        <v>583</v>
      </c>
      <c r="U175" s="305">
        <v>15</v>
      </c>
      <c r="V175" s="305">
        <v>5</v>
      </c>
      <c r="W175" s="303">
        <v>0.7</v>
      </c>
      <c r="X175" s="303">
        <v>0.7</v>
      </c>
      <c r="Y175" s="303">
        <v>0.7</v>
      </c>
      <c r="Z175" s="303">
        <v>1700</v>
      </c>
      <c r="AA175" s="303" t="s">
        <v>531</v>
      </c>
      <c r="AB175" s="303">
        <v>0.85</v>
      </c>
      <c r="AC175" s="303" t="s">
        <v>532</v>
      </c>
      <c r="AD175" s="303" t="s">
        <v>533</v>
      </c>
      <c r="AE175" s="303">
        <v>220</v>
      </c>
      <c r="AF175" s="134"/>
      <c r="AG175" s="301"/>
    </row>
    <row r="176" spans="1:33" ht="15.75">
      <c r="A176" s="302" t="s">
        <v>611</v>
      </c>
      <c r="B176" s="303">
        <v>8</v>
      </c>
      <c r="C176" s="303">
        <v>132</v>
      </c>
      <c r="D176" s="303" t="s">
        <v>594</v>
      </c>
      <c r="E176" s="303">
        <v>1.5</v>
      </c>
      <c r="F176" s="312">
        <v>45412.727083333331</v>
      </c>
      <c r="G176" s="303">
        <v>1</v>
      </c>
      <c r="H176" s="303">
        <v>51.377400000000002</v>
      </c>
      <c r="I176" s="303">
        <v>7.3708499999999999</v>
      </c>
      <c r="J176" s="303">
        <v>-21.444680999999999</v>
      </c>
      <c r="K176" s="303">
        <v>-20.595887000000001</v>
      </c>
      <c r="L176" s="303">
        <v>984.01800000000003</v>
      </c>
      <c r="M176" s="303">
        <v>110.499247</v>
      </c>
      <c r="N176" s="303">
        <v>17660.465840000001</v>
      </c>
      <c r="O176" s="303">
        <v>0</v>
      </c>
      <c r="P176" s="305">
        <v>0</v>
      </c>
      <c r="Q176" s="299">
        <f t="shared" si="0"/>
        <v>0</v>
      </c>
      <c r="R176" s="300" t="s">
        <v>230</v>
      </c>
      <c r="S176" s="300" t="s">
        <v>582</v>
      </c>
      <c r="T176" s="305" t="s">
        <v>583</v>
      </c>
      <c r="U176" s="305">
        <v>15</v>
      </c>
      <c r="V176" s="305">
        <v>5</v>
      </c>
      <c r="W176" s="303">
        <v>0.7</v>
      </c>
      <c r="X176" s="303">
        <v>0.7</v>
      </c>
      <c r="Y176" s="303">
        <v>0.7</v>
      </c>
      <c r="Z176" s="303">
        <v>1700</v>
      </c>
      <c r="AA176" s="303" t="s">
        <v>531</v>
      </c>
      <c r="AB176" s="303">
        <v>0.85</v>
      </c>
      <c r="AC176" s="303" t="s">
        <v>532</v>
      </c>
      <c r="AD176" s="303" t="s">
        <v>533</v>
      </c>
      <c r="AE176" s="303">
        <v>220</v>
      </c>
      <c r="AF176" s="134"/>
      <c r="AG176" s="301"/>
    </row>
    <row r="177" spans="1:33" ht="15.75">
      <c r="A177" s="302" t="s">
        <v>612</v>
      </c>
      <c r="B177" s="303">
        <v>8</v>
      </c>
      <c r="C177" s="303">
        <v>132</v>
      </c>
      <c r="D177" s="303" t="s">
        <v>594</v>
      </c>
      <c r="E177" s="303">
        <v>1.5</v>
      </c>
      <c r="F177" s="312">
        <v>45412.730555555558</v>
      </c>
      <c r="G177" s="303">
        <v>1</v>
      </c>
      <c r="H177" s="303">
        <v>51.374099999999999</v>
      </c>
      <c r="I177" s="303">
        <v>7.2947800000000003</v>
      </c>
      <c r="J177" s="303">
        <v>-21.524369</v>
      </c>
      <c r="K177" s="303">
        <v>-20.685244000000001</v>
      </c>
      <c r="L177" s="303">
        <v>977.971</v>
      </c>
      <c r="M177" s="303">
        <v>131.00052700000001</v>
      </c>
      <c r="N177" s="303">
        <v>17558.672429999999</v>
      </c>
      <c r="O177" s="303">
        <v>0</v>
      </c>
      <c r="P177" s="305">
        <v>0</v>
      </c>
      <c r="Q177" s="299">
        <f t="shared" si="0"/>
        <v>0</v>
      </c>
      <c r="R177" s="300" t="s">
        <v>230</v>
      </c>
      <c r="S177" s="300" t="s">
        <v>582</v>
      </c>
      <c r="T177" s="305" t="s">
        <v>583</v>
      </c>
      <c r="U177" s="305">
        <v>15</v>
      </c>
      <c r="V177" s="305">
        <v>5</v>
      </c>
      <c r="W177" s="303">
        <v>0.7</v>
      </c>
      <c r="X177" s="303">
        <v>0.7</v>
      </c>
      <c r="Y177" s="303">
        <v>0.7</v>
      </c>
      <c r="Z177" s="303">
        <v>1700</v>
      </c>
      <c r="AA177" s="303" t="s">
        <v>531</v>
      </c>
      <c r="AB177" s="303">
        <v>0.85</v>
      </c>
      <c r="AC177" s="303" t="s">
        <v>532</v>
      </c>
      <c r="AD177" s="303" t="s">
        <v>533</v>
      </c>
      <c r="AE177" s="303">
        <v>220</v>
      </c>
      <c r="AF177" s="134"/>
      <c r="AG177" s="301"/>
    </row>
    <row r="178" spans="1:33" ht="15.75">
      <c r="A178" s="302" t="s">
        <v>613</v>
      </c>
      <c r="B178" s="303">
        <v>8</v>
      </c>
      <c r="C178" s="303">
        <v>132</v>
      </c>
      <c r="D178" s="303" t="s">
        <v>594</v>
      </c>
      <c r="E178" s="303">
        <v>1.5</v>
      </c>
      <c r="F178" s="312">
        <v>45412.734722222223</v>
      </c>
      <c r="G178" s="303">
        <v>1</v>
      </c>
      <c r="H178" s="303">
        <v>51.3675</v>
      </c>
      <c r="I178" s="303">
        <v>7.2295999999999996</v>
      </c>
      <c r="J178" s="303">
        <v>-21.433399999999999</v>
      </c>
      <c r="K178" s="303">
        <v>-20.58745</v>
      </c>
      <c r="L178" s="303">
        <v>986.60400000000004</v>
      </c>
      <c r="M178" s="303">
        <v>113.001448</v>
      </c>
      <c r="N178" s="303">
        <v>17529.180909999999</v>
      </c>
      <c r="O178" s="303">
        <v>0</v>
      </c>
      <c r="P178" s="305">
        <v>0</v>
      </c>
      <c r="Q178" s="299">
        <f t="shared" si="0"/>
        <v>0</v>
      </c>
      <c r="R178" s="300" t="s">
        <v>230</v>
      </c>
      <c r="S178" s="300" t="s">
        <v>582</v>
      </c>
      <c r="T178" s="305" t="s">
        <v>583</v>
      </c>
      <c r="U178" s="305">
        <v>15</v>
      </c>
      <c r="V178" s="305">
        <v>5</v>
      </c>
      <c r="W178" s="303">
        <v>0.7</v>
      </c>
      <c r="X178" s="303">
        <v>0.7</v>
      </c>
      <c r="Y178" s="303">
        <v>0.7</v>
      </c>
      <c r="Z178" s="303">
        <v>1700</v>
      </c>
      <c r="AA178" s="303" t="s">
        <v>531</v>
      </c>
      <c r="AB178" s="303">
        <v>0.85</v>
      </c>
      <c r="AC178" s="303" t="s">
        <v>532</v>
      </c>
      <c r="AD178" s="303" t="s">
        <v>533</v>
      </c>
      <c r="AE178" s="303">
        <v>220</v>
      </c>
      <c r="AF178" s="134"/>
      <c r="AG178" s="301"/>
    </row>
    <row r="179" spans="1:33" ht="15.75">
      <c r="A179" s="302" t="s">
        <v>687</v>
      </c>
      <c r="B179" s="303">
        <v>8</v>
      </c>
      <c r="C179" s="303">
        <v>132</v>
      </c>
      <c r="D179" s="303" t="s">
        <v>594</v>
      </c>
      <c r="E179" s="303">
        <v>1.5</v>
      </c>
      <c r="F179" s="312">
        <v>45412.738194444442</v>
      </c>
      <c r="G179" s="303">
        <v>1</v>
      </c>
      <c r="H179" s="303">
        <v>51.380699999999997</v>
      </c>
      <c r="I179" s="303">
        <v>7.2358099999999999</v>
      </c>
      <c r="J179" s="303">
        <v>-21.447481</v>
      </c>
      <c r="K179" s="303">
        <v>-20.599062</v>
      </c>
      <c r="L179" s="303">
        <v>983.81600000000003</v>
      </c>
      <c r="M179" s="303">
        <v>151.000584</v>
      </c>
      <c r="N179" s="303">
        <v>17568.22694</v>
      </c>
      <c r="O179" s="303">
        <v>0</v>
      </c>
      <c r="P179" s="305">
        <v>0</v>
      </c>
      <c r="Q179" s="299">
        <f t="shared" si="0"/>
        <v>0</v>
      </c>
      <c r="R179" s="300" t="s">
        <v>230</v>
      </c>
      <c r="S179" s="300" t="s">
        <v>582</v>
      </c>
      <c r="T179" s="305" t="s">
        <v>583</v>
      </c>
      <c r="U179" s="305">
        <v>15</v>
      </c>
      <c r="V179" s="305">
        <v>5</v>
      </c>
      <c r="W179" s="303">
        <v>0.7</v>
      </c>
      <c r="X179" s="303">
        <v>0.7</v>
      </c>
      <c r="Y179" s="303">
        <v>0.7</v>
      </c>
      <c r="Z179" s="303">
        <v>1700</v>
      </c>
      <c r="AA179" s="303" t="s">
        <v>531</v>
      </c>
      <c r="AB179" s="303">
        <v>0.85</v>
      </c>
      <c r="AC179" s="303" t="s">
        <v>532</v>
      </c>
      <c r="AD179" s="303" t="s">
        <v>533</v>
      </c>
      <c r="AE179" s="303">
        <v>220</v>
      </c>
      <c r="AF179" s="134"/>
      <c r="AG179" s="301"/>
    </row>
    <row r="180" spans="1:33" ht="15.75">
      <c r="A180" s="302" t="s">
        <v>688</v>
      </c>
      <c r="B180" s="303">
        <v>8</v>
      </c>
      <c r="C180" s="303">
        <v>132</v>
      </c>
      <c r="D180" s="303" t="s">
        <v>594</v>
      </c>
      <c r="E180" s="303">
        <v>1.5</v>
      </c>
      <c r="F180" s="312">
        <v>45412.741666666669</v>
      </c>
      <c r="G180" s="303">
        <v>2</v>
      </c>
      <c r="H180" s="303">
        <v>51.377400000000002</v>
      </c>
      <c r="I180" s="303">
        <v>7.3141100000000003</v>
      </c>
      <c r="J180" s="303">
        <v>-21.445931000000002</v>
      </c>
      <c r="K180" s="303">
        <v>-20.632856</v>
      </c>
      <c r="L180" s="303">
        <v>975.63900000000001</v>
      </c>
      <c r="M180" s="303">
        <v>124.501666</v>
      </c>
      <c r="N180" s="303">
        <v>17569.862389999998</v>
      </c>
      <c r="O180" s="303">
        <v>17558.678779999998</v>
      </c>
      <c r="P180" s="305">
        <v>2063.3133520000001</v>
      </c>
      <c r="Q180" s="299">
        <f t="shared" si="0"/>
        <v>2063.3133520000001</v>
      </c>
      <c r="R180" s="300" t="s">
        <v>230</v>
      </c>
      <c r="S180" s="300" t="s">
        <v>12</v>
      </c>
      <c r="T180" s="305" t="s">
        <v>530</v>
      </c>
      <c r="U180" s="305">
        <v>15</v>
      </c>
      <c r="V180" s="305">
        <v>5</v>
      </c>
      <c r="W180" s="303">
        <v>0.7</v>
      </c>
      <c r="X180" s="303">
        <v>0.7</v>
      </c>
      <c r="Y180" s="303">
        <v>0.7</v>
      </c>
      <c r="Z180" s="303">
        <v>1700</v>
      </c>
      <c r="AA180" s="303" t="s">
        <v>531</v>
      </c>
      <c r="AB180" s="303">
        <v>0.85</v>
      </c>
      <c r="AC180" s="303" t="s">
        <v>532</v>
      </c>
      <c r="AD180" s="303" t="s">
        <v>533</v>
      </c>
      <c r="AE180" s="303">
        <v>220</v>
      </c>
      <c r="AF180" s="134"/>
      <c r="AG180" s="301"/>
    </row>
    <row r="181" spans="1:33" ht="15.75">
      <c r="A181" s="302" t="s">
        <v>689</v>
      </c>
      <c r="B181" s="303">
        <v>8</v>
      </c>
      <c r="C181" s="303">
        <v>132</v>
      </c>
      <c r="D181" s="303" t="s">
        <v>594</v>
      </c>
      <c r="E181" s="303">
        <v>1.5</v>
      </c>
      <c r="F181" s="312">
        <v>45412.745138888888</v>
      </c>
      <c r="G181" s="303">
        <v>2</v>
      </c>
      <c r="H181" s="303">
        <v>51.374099999999999</v>
      </c>
      <c r="I181" s="303">
        <v>7.3304799999999997</v>
      </c>
      <c r="J181" s="303">
        <v>-21.483988</v>
      </c>
      <c r="K181" s="303">
        <v>-20.644019</v>
      </c>
      <c r="L181" s="303">
        <v>950.39700000000005</v>
      </c>
      <c r="M181" s="303">
        <v>157.99977899999999</v>
      </c>
      <c r="N181" s="303">
        <v>17473.22824</v>
      </c>
      <c r="O181" s="303">
        <v>17558.678779999998</v>
      </c>
      <c r="P181" s="305">
        <v>2063.3133520000001</v>
      </c>
      <c r="Q181" s="299">
        <f t="shared" si="0"/>
        <v>2063.3133520000001</v>
      </c>
      <c r="R181" s="300" t="s">
        <v>230</v>
      </c>
      <c r="S181" s="300" t="s">
        <v>12</v>
      </c>
      <c r="T181" s="305" t="s">
        <v>545</v>
      </c>
      <c r="U181" s="305">
        <v>15</v>
      </c>
      <c r="V181" s="305">
        <v>5</v>
      </c>
      <c r="W181" s="303">
        <v>0.7</v>
      </c>
      <c r="X181" s="303">
        <v>0.7</v>
      </c>
      <c r="Y181" s="303">
        <v>0.7</v>
      </c>
      <c r="Z181" s="303">
        <v>1700</v>
      </c>
      <c r="AA181" s="303" t="s">
        <v>531</v>
      </c>
      <c r="AB181" s="303">
        <v>0.85</v>
      </c>
      <c r="AC181" s="303" t="s">
        <v>532</v>
      </c>
      <c r="AD181" s="303" t="s">
        <v>533</v>
      </c>
      <c r="AE181" s="303">
        <v>220</v>
      </c>
      <c r="AF181" s="134"/>
      <c r="AG181" s="301"/>
    </row>
    <row r="182" spans="1:33" ht="15.75">
      <c r="A182" s="302" t="s">
        <v>690</v>
      </c>
      <c r="B182" s="303">
        <v>8</v>
      </c>
      <c r="C182" s="303">
        <v>132</v>
      </c>
      <c r="D182" s="303" t="s">
        <v>594</v>
      </c>
      <c r="E182" s="303">
        <v>1.5</v>
      </c>
      <c r="F182" s="312">
        <v>45412.749305555553</v>
      </c>
      <c r="G182" s="303">
        <v>2</v>
      </c>
      <c r="H182" s="303">
        <v>51.374099999999999</v>
      </c>
      <c r="I182" s="303">
        <v>7.2124100000000002</v>
      </c>
      <c r="J182" s="303">
        <v>-21.315018999999999</v>
      </c>
      <c r="K182" s="303">
        <v>-20.476775</v>
      </c>
      <c r="L182" s="303">
        <v>997.03300000000002</v>
      </c>
      <c r="M182" s="303">
        <v>124.498642</v>
      </c>
      <c r="N182" s="303">
        <v>17536.158909999998</v>
      </c>
      <c r="O182" s="303">
        <v>17558.678779999998</v>
      </c>
      <c r="P182" s="305">
        <v>2063.3133520000001</v>
      </c>
      <c r="Q182" s="299">
        <f t="shared" si="0"/>
        <v>2063.3133520000001</v>
      </c>
      <c r="R182" s="300" t="s">
        <v>230</v>
      </c>
      <c r="S182" s="300" t="s">
        <v>12</v>
      </c>
      <c r="T182" s="305" t="s">
        <v>545</v>
      </c>
      <c r="U182" s="305">
        <v>15</v>
      </c>
      <c r="V182" s="305">
        <v>5</v>
      </c>
      <c r="W182" s="303">
        <v>0.7</v>
      </c>
      <c r="X182" s="303">
        <v>0.7</v>
      </c>
      <c r="Y182" s="303">
        <v>0.7</v>
      </c>
      <c r="Z182" s="303">
        <v>1700</v>
      </c>
      <c r="AA182" s="303" t="s">
        <v>531</v>
      </c>
      <c r="AB182" s="303">
        <v>0.85</v>
      </c>
      <c r="AC182" s="303" t="s">
        <v>532</v>
      </c>
      <c r="AD182" s="303" t="s">
        <v>533</v>
      </c>
      <c r="AE182" s="303">
        <v>220</v>
      </c>
      <c r="AF182" s="134"/>
      <c r="AG182" s="301"/>
    </row>
    <row r="183" spans="1:33" ht="15.75">
      <c r="A183" s="302" t="s">
        <v>691</v>
      </c>
      <c r="B183" s="303">
        <v>8</v>
      </c>
      <c r="C183" s="303">
        <v>132</v>
      </c>
      <c r="D183" s="303" t="s">
        <v>594</v>
      </c>
      <c r="E183" s="303">
        <v>1.5</v>
      </c>
      <c r="F183" s="312">
        <v>45412.75277777778</v>
      </c>
      <c r="G183" s="303">
        <v>2</v>
      </c>
      <c r="H183" s="303">
        <v>51.374099999999999</v>
      </c>
      <c r="I183" s="303">
        <v>7.2425699999999997</v>
      </c>
      <c r="J183" s="303">
        <v>-21.436675000000001</v>
      </c>
      <c r="K183" s="303">
        <v>-20.605250000000002</v>
      </c>
      <c r="L183" s="303">
        <v>969.40300000000002</v>
      </c>
      <c r="M183" s="303">
        <v>120.000578</v>
      </c>
      <c r="N183" s="303">
        <v>17561.87716</v>
      </c>
      <c r="O183" s="303">
        <v>17558.678779999998</v>
      </c>
      <c r="P183" s="305">
        <v>2063.3133520000001</v>
      </c>
      <c r="Q183" s="299">
        <f t="shared" si="0"/>
        <v>2063.3133520000001</v>
      </c>
      <c r="R183" s="300" t="s">
        <v>230</v>
      </c>
      <c r="S183" s="300" t="s">
        <v>12</v>
      </c>
      <c r="T183" s="305" t="s">
        <v>530</v>
      </c>
      <c r="U183" s="305">
        <v>15</v>
      </c>
      <c r="V183" s="305">
        <v>5</v>
      </c>
      <c r="W183" s="303">
        <v>0.7</v>
      </c>
      <c r="X183" s="303">
        <v>0.7</v>
      </c>
      <c r="Y183" s="303">
        <v>0.7</v>
      </c>
      <c r="Z183" s="303">
        <v>1700</v>
      </c>
      <c r="AA183" s="303" t="s">
        <v>531</v>
      </c>
      <c r="AB183" s="303">
        <v>0.85</v>
      </c>
      <c r="AC183" s="303" t="s">
        <v>532</v>
      </c>
      <c r="AD183" s="303" t="s">
        <v>533</v>
      </c>
      <c r="AE183" s="303">
        <v>220</v>
      </c>
      <c r="AF183" s="134"/>
      <c r="AG183" s="301"/>
    </row>
    <row r="184" spans="1:33" ht="15.75">
      <c r="A184" s="302" t="s">
        <v>692</v>
      </c>
      <c r="B184" s="303">
        <v>8</v>
      </c>
      <c r="C184" s="303">
        <v>132</v>
      </c>
      <c r="D184" s="303" t="s">
        <v>594</v>
      </c>
      <c r="E184" s="303">
        <v>1.5</v>
      </c>
      <c r="F184" s="312">
        <v>45412.756944444445</v>
      </c>
      <c r="G184" s="303">
        <v>2</v>
      </c>
      <c r="H184" s="303">
        <v>51.370800000000003</v>
      </c>
      <c r="I184" s="303">
        <v>7.2624700000000004</v>
      </c>
      <c r="J184" s="303">
        <v>-21.389168999999999</v>
      </c>
      <c r="K184" s="303">
        <v>-20.545019</v>
      </c>
      <c r="L184" s="303">
        <v>980.14300000000003</v>
      </c>
      <c r="M184" s="303">
        <v>131.000001</v>
      </c>
      <c r="N184" s="303">
        <v>17544.296780000001</v>
      </c>
      <c r="O184" s="303">
        <v>17558.678779999998</v>
      </c>
      <c r="P184" s="305">
        <v>2063.3133520000001</v>
      </c>
      <c r="Q184" s="299">
        <f t="shared" si="0"/>
        <v>2063.3133520000001</v>
      </c>
      <c r="R184" s="300" t="s">
        <v>230</v>
      </c>
      <c r="S184" s="300" t="s">
        <v>12</v>
      </c>
      <c r="T184" s="305" t="s">
        <v>530</v>
      </c>
      <c r="U184" s="305">
        <v>15</v>
      </c>
      <c r="V184" s="305">
        <v>5</v>
      </c>
      <c r="W184" s="303">
        <v>0.7</v>
      </c>
      <c r="X184" s="303">
        <v>0.7</v>
      </c>
      <c r="Y184" s="303">
        <v>0.7</v>
      </c>
      <c r="Z184" s="303">
        <v>1700</v>
      </c>
      <c r="AA184" s="303" t="s">
        <v>531</v>
      </c>
      <c r="AB184" s="303">
        <v>0.85</v>
      </c>
      <c r="AC184" s="303" t="s">
        <v>532</v>
      </c>
      <c r="AD184" s="303" t="s">
        <v>533</v>
      </c>
      <c r="AE184" s="303">
        <v>220</v>
      </c>
      <c r="AF184" s="134"/>
      <c r="AG184" s="301"/>
    </row>
    <row r="185" spans="1:33" ht="15.75">
      <c r="A185" s="302" t="s">
        <v>614</v>
      </c>
      <c r="B185" s="303">
        <v>9</v>
      </c>
      <c r="C185" s="303">
        <v>183</v>
      </c>
      <c r="D185" s="303" t="s">
        <v>598</v>
      </c>
      <c r="E185" s="303">
        <v>1.5</v>
      </c>
      <c r="F185" s="312">
        <v>45412.761111111111</v>
      </c>
      <c r="G185" s="303">
        <v>1</v>
      </c>
      <c r="H185" s="303">
        <v>51.370800000000003</v>
      </c>
      <c r="I185" s="303">
        <v>7.2256299999999998</v>
      </c>
      <c r="J185" s="303">
        <v>-21.300474999999999</v>
      </c>
      <c r="K185" s="303">
        <v>-20.466605999999999</v>
      </c>
      <c r="L185" s="303">
        <v>976.66099999999994</v>
      </c>
      <c r="M185" s="303">
        <v>115.000332</v>
      </c>
      <c r="N185" s="303">
        <v>17365.63463</v>
      </c>
      <c r="O185" s="303">
        <v>17329.069210000001</v>
      </c>
      <c r="P185" s="305">
        <v>2036.477087</v>
      </c>
      <c r="Q185" s="299">
        <f t="shared" si="0"/>
        <v>2036.477087</v>
      </c>
      <c r="R185" s="300" t="s">
        <v>230</v>
      </c>
      <c r="S185" s="300" t="s">
        <v>12</v>
      </c>
      <c r="T185" s="305" t="s">
        <v>545</v>
      </c>
      <c r="U185" s="305">
        <v>15</v>
      </c>
      <c r="V185" s="305">
        <v>5</v>
      </c>
      <c r="W185" s="303">
        <v>0.7</v>
      </c>
      <c r="X185" s="303">
        <v>0.7</v>
      </c>
      <c r="Y185" s="303">
        <v>0.7</v>
      </c>
      <c r="Z185" s="303">
        <v>1700</v>
      </c>
      <c r="AA185" s="303" t="s">
        <v>531</v>
      </c>
      <c r="AB185" s="303">
        <v>0.85</v>
      </c>
      <c r="AC185" s="303" t="s">
        <v>532</v>
      </c>
      <c r="AD185" s="303" t="s">
        <v>533</v>
      </c>
      <c r="AE185" s="303">
        <v>220</v>
      </c>
      <c r="AF185" s="134"/>
      <c r="AG185" s="301"/>
    </row>
    <row r="186" spans="1:33" ht="15.75">
      <c r="A186" s="302" t="s">
        <v>615</v>
      </c>
      <c r="B186" s="303">
        <v>9</v>
      </c>
      <c r="C186" s="303">
        <v>183</v>
      </c>
      <c r="D186" s="303" t="s">
        <v>598</v>
      </c>
      <c r="E186" s="303">
        <v>1.5</v>
      </c>
      <c r="F186" s="312">
        <v>45412.76458333333</v>
      </c>
      <c r="G186" s="303">
        <v>1</v>
      </c>
      <c r="H186" s="303">
        <v>51.370800000000003</v>
      </c>
      <c r="I186" s="303">
        <v>7.0572600000000003</v>
      </c>
      <c r="J186" s="303">
        <v>-21.333288</v>
      </c>
      <c r="K186" s="303">
        <v>-20.494987999999999</v>
      </c>
      <c r="L186" s="303">
        <v>957.26700000000005</v>
      </c>
      <c r="M186" s="303">
        <v>112.50103300000001</v>
      </c>
      <c r="N186" s="303">
        <v>17331.405330000001</v>
      </c>
      <c r="O186" s="303">
        <v>17329.069210000001</v>
      </c>
      <c r="P186" s="305">
        <v>2036.477087</v>
      </c>
      <c r="Q186" s="299">
        <f t="shared" si="0"/>
        <v>2036.477087</v>
      </c>
      <c r="R186" s="300" t="s">
        <v>230</v>
      </c>
      <c r="S186" s="300" t="s">
        <v>12</v>
      </c>
      <c r="T186" s="305" t="s">
        <v>530</v>
      </c>
      <c r="U186" s="305">
        <v>15</v>
      </c>
      <c r="V186" s="305">
        <v>5</v>
      </c>
      <c r="W186" s="303">
        <v>0.7</v>
      </c>
      <c r="X186" s="303">
        <v>0.7</v>
      </c>
      <c r="Y186" s="303">
        <v>0.7</v>
      </c>
      <c r="Z186" s="303">
        <v>1700</v>
      </c>
      <c r="AA186" s="303" t="s">
        <v>531</v>
      </c>
      <c r="AB186" s="303">
        <v>0.85</v>
      </c>
      <c r="AC186" s="303" t="s">
        <v>532</v>
      </c>
      <c r="AD186" s="303" t="s">
        <v>533</v>
      </c>
      <c r="AE186" s="303">
        <v>220</v>
      </c>
      <c r="AF186" s="134"/>
      <c r="AG186" s="301"/>
    </row>
    <row r="187" spans="1:33" ht="15.75">
      <c r="A187" s="302" t="s">
        <v>616</v>
      </c>
      <c r="B187" s="303">
        <v>9</v>
      </c>
      <c r="C187" s="303">
        <v>183</v>
      </c>
      <c r="D187" s="303" t="s">
        <v>598</v>
      </c>
      <c r="E187" s="303">
        <v>1.5</v>
      </c>
      <c r="F187" s="312">
        <v>45412.768055555556</v>
      </c>
      <c r="G187" s="303">
        <v>1</v>
      </c>
      <c r="H187" s="303">
        <v>51.374099999999999</v>
      </c>
      <c r="I187" s="303">
        <v>7.0659299999999998</v>
      </c>
      <c r="J187" s="303">
        <v>-21.331444000000001</v>
      </c>
      <c r="K187" s="303">
        <v>-20.492450000000002</v>
      </c>
      <c r="L187" s="303">
        <v>960.54499999999996</v>
      </c>
      <c r="M187" s="303">
        <v>112.99909700000001</v>
      </c>
      <c r="N187" s="303">
        <v>17245.802210000002</v>
      </c>
      <c r="O187" s="303">
        <v>17329.069210000001</v>
      </c>
      <c r="P187" s="305">
        <v>2036.477087</v>
      </c>
      <c r="Q187" s="299">
        <f t="shared" si="0"/>
        <v>2036.477087</v>
      </c>
      <c r="R187" s="300" t="s">
        <v>230</v>
      </c>
      <c r="S187" s="300" t="s">
        <v>12</v>
      </c>
      <c r="T187" s="305" t="s">
        <v>545</v>
      </c>
      <c r="U187" s="305">
        <v>15</v>
      </c>
      <c r="V187" s="305">
        <v>5</v>
      </c>
      <c r="W187" s="303">
        <v>0.7</v>
      </c>
      <c r="X187" s="303">
        <v>0.7</v>
      </c>
      <c r="Y187" s="303">
        <v>0.7</v>
      </c>
      <c r="Z187" s="303">
        <v>1700</v>
      </c>
      <c r="AA187" s="303" t="s">
        <v>531</v>
      </c>
      <c r="AB187" s="303">
        <v>0.85</v>
      </c>
      <c r="AC187" s="303" t="s">
        <v>532</v>
      </c>
      <c r="AD187" s="303" t="s">
        <v>533</v>
      </c>
      <c r="AE187" s="303">
        <v>220</v>
      </c>
      <c r="AF187" s="134"/>
      <c r="AG187" s="301"/>
    </row>
    <row r="188" spans="1:33" ht="15.75">
      <c r="A188" s="302" t="s">
        <v>693</v>
      </c>
      <c r="B188" s="303">
        <v>9</v>
      </c>
      <c r="C188" s="303">
        <v>183</v>
      </c>
      <c r="D188" s="303" t="s">
        <v>598</v>
      </c>
      <c r="E188" s="303">
        <v>1.5</v>
      </c>
      <c r="F188" s="312">
        <v>45412.771527777775</v>
      </c>
      <c r="G188" s="303">
        <v>1</v>
      </c>
      <c r="H188" s="303">
        <v>51.377400000000002</v>
      </c>
      <c r="I188" s="303">
        <v>7.1297899999999998</v>
      </c>
      <c r="J188" s="303">
        <v>-21.387205999999999</v>
      </c>
      <c r="K188" s="303">
        <v>-20.541888</v>
      </c>
      <c r="L188" s="303">
        <v>962.69200000000001</v>
      </c>
      <c r="M188" s="303">
        <v>114.499779</v>
      </c>
      <c r="N188" s="303">
        <v>17342.013330000002</v>
      </c>
      <c r="O188" s="303">
        <v>17329.069210000001</v>
      </c>
      <c r="P188" s="305">
        <v>2036.477087</v>
      </c>
      <c r="Q188" s="299">
        <f t="shared" si="0"/>
        <v>2036.477087</v>
      </c>
      <c r="R188" s="300" t="s">
        <v>230</v>
      </c>
      <c r="S188" s="300" t="s">
        <v>12</v>
      </c>
      <c r="T188" s="305" t="s">
        <v>530</v>
      </c>
      <c r="U188" s="305">
        <v>15</v>
      </c>
      <c r="V188" s="305">
        <v>5</v>
      </c>
      <c r="W188" s="303">
        <v>0.7</v>
      </c>
      <c r="X188" s="303">
        <v>0.7</v>
      </c>
      <c r="Y188" s="303">
        <v>0.7</v>
      </c>
      <c r="Z188" s="303">
        <v>1700</v>
      </c>
      <c r="AA188" s="303" t="s">
        <v>531</v>
      </c>
      <c r="AB188" s="303">
        <v>0.85</v>
      </c>
      <c r="AC188" s="303" t="s">
        <v>532</v>
      </c>
      <c r="AD188" s="303" t="s">
        <v>533</v>
      </c>
      <c r="AE188" s="303">
        <v>220</v>
      </c>
      <c r="AF188" s="134"/>
      <c r="AG188" s="307"/>
    </row>
    <row r="189" spans="1:33" ht="15.75">
      <c r="A189" s="302" t="s">
        <v>694</v>
      </c>
      <c r="B189" s="303">
        <v>9</v>
      </c>
      <c r="C189" s="303">
        <v>183</v>
      </c>
      <c r="D189" s="303" t="s">
        <v>598</v>
      </c>
      <c r="E189" s="303">
        <v>1.5</v>
      </c>
      <c r="F189" s="312">
        <v>45412.775000000001</v>
      </c>
      <c r="G189" s="303">
        <v>1</v>
      </c>
      <c r="H189" s="303">
        <v>51.370800000000003</v>
      </c>
      <c r="I189" s="303">
        <v>7.1225800000000001</v>
      </c>
      <c r="J189" s="303">
        <v>-21.332412999999999</v>
      </c>
      <c r="K189" s="303">
        <v>-20.483331</v>
      </c>
      <c r="L189" s="303">
        <v>965.29300000000001</v>
      </c>
      <c r="M189" s="303">
        <v>109.50048</v>
      </c>
      <c r="N189" s="303">
        <v>17313.788960000002</v>
      </c>
      <c r="O189" s="303">
        <v>17329.069210000001</v>
      </c>
      <c r="P189" s="305">
        <v>2036.477087</v>
      </c>
      <c r="Q189" s="299">
        <f t="shared" si="0"/>
        <v>2036.477087</v>
      </c>
      <c r="R189" s="300" t="s">
        <v>230</v>
      </c>
      <c r="S189" s="300" t="s">
        <v>12</v>
      </c>
      <c r="T189" s="305" t="s">
        <v>530</v>
      </c>
      <c r="U189" s="305">
        <v>15</v>
      </c>
      <c r="V189" s="305">
        <v>5</v>
      </c>
      <c r="W189" s="303">
        <v>0.7</v>
      </c>
      <c r="X189" s="303">
        <v>0.7</v>
      </c>
      <c r="Y189" s="303">
        <v>0.7</v>
      </c>
      <c r="Z189" s="303">
        <v>1700</v>
      </c>
      <c r="AA189" s="303" t="s">
        <v>531</v>
      </c>
      <c r="AB189" s="303">
        <v>0.85</v>
      </c>
      <c r="AC189" s="303" t="s">
        <v>532</v>
      </c>
      <c r="AD189" s="303" t="s">
        <v>533</v>
      </c>
      <c r="AE189" s="303">
        <v>220</v>
      </c>
      <c r="AF189" s="134"/>
      <c r="AG189" s="307"/>
    </row>
    <row r="190" spans="1:33" ht="15.75">
      <c r="A190" s="302" t="s">
        <v>617</v>
      </c>
      <c r="B190" s="303">
        <v>10</v>
      </c>
      <c r="C190" s="303">
        <v>184</v>
      </c>
      <c r="D190" s="303" t="s">
        <v>603</v>
      </c>
      <c r="E190" s="303">
        <v>1.5</v>
      </c>
      <c r="F190" s="312">
        <v>45412.77847222222</v>
      </c>
      <c r="G190" s="303">
        <v>1</v>
      </c>
      <c r="H190" s="303">
        <v>51.374099999999999</v>
      </c>
      <c r="I190" s="303">
        <v>7.0876999999999999</v>
      </c>
      <c r="J190" s="303">
        <v>-21.435369000000001</v>
      </c>
      <c r="K190" s="303">
        <v>-20.608069</v>
      </c>
      <c r="L190" s="303">
        <v>967.67700000000002</v>
      </c>
      <c r="M190" s="303">
        <v>119.00035</v>
      </c>
      <c r="N190" s="303">
        <v>17325.612209999999</v>
      </c>
      <c r="O190" s="303">
        <v>0</v>
      </c>
      <c r="P190" s="305">
        <v>0</v>
      </c>
      <c r="Q190" s="299">
        <f t="shared" si="0"/>
        <v>0</v>
      </c>
      <c r="R190" s="300" t="s">
        <v>230</v>
      </c>
      <c r="S190" s="300" t="s">
        <v>582</v>
      </c>
      <c r="T190" s="305" t="s">
        <v>583</v>
      </c>
      <c r="U190" s="305">
        <v>15</v>
      </c>
      <c r="V190" s="305">
        <v>5</v>
      </c>
      <c r="W190" s="303">
        <v>0.7</v>
      </c>
      <c r="X190" s="303">
        <v>0.7</v>
      </c>
      <c r="Y190" s="303">
        <v>0.7</v>
      </c>
      <c r="Z190" s="303">
        <v>1700</v>
      </c>
      <c r="AA190" s="303" t="s">
        <v>531</v>
      </c>
      <c r="AB190" s="303">
        <v>0.85</v>
      </c>
      <c r="AC190" s="303" t="s">
        <v>532</v>
      </c>
      <c r="AD190" s="303" t="s">
        <v>533</v>
      </c>
      <c r="AE190" s="303">
        <v>220</v>
      </c>
      <c r="AF190" s="134"/>
      <c r="AG190" s="307"/>
    </row>
    <row r="191" spans="1:33" ht="15.75">
      <c r="A191" s="302" t="s">
        <v>618</v>
      </c>
      <c r="B191" s="303">
        <v>10</v>
      </c>
      <c r="C191" s="303">
        <v>184</v>
      </c>
      <c r="D191" s="303" t="s">
        <v>603</v>
      </c>
      <c r="E191" s="303">
        <v>1.5</v>
      </c>
      <c r="F191" s="312">
        <v>45412.781944444447</v>
      </c>
      <c r="G191" s="303">
        <v>1</v>
      </c>
      <c r="H191" s="303">
        <v>51.374099999999999</v>
      </c>
      <c r="I191" s="303">
        <v>7.1015899999999998</v>
      </c>
      <c r="J191" s="303">
        <v>-21.435700000000001</v>
      </c>
      <c r="K191" s="303">
        <v>-20.605194000000001</v>
      </c>
      <c r="L191" s="303">
        <v>971.43799999999999</v>
      </c>
      <c r="M191" s="303">
        <v>118.49988</v>
      </c>
      <c r="N191" s="303">
        <v>17401.058639999999</v>
      </c>
      <c r="O191" s="303">
        <v>0</v>
      </c>
      <c r="P191" s="305">
        <v>0</v>
      </c>
      <c r="Q191" s="299">
        <f t="shared" si="0"/>
        <v>0</v>
      </c>
      <c r="R191" s="300" t="s">
        <v>230</v>
      </c>
      <c r="S191" s="300" t="s">
        <v>582</v>
      </c>
      <c r="T191" s="305" t="s">
        <v>583</v>
      </c>
      <c r="U191" s="305">
        <v>15</v>
      </c>
      <c r="V191" s="305">
        <v>5</v>
      </c>
      <c r="W191" s="303">
        <v>0.7</v>
      </c>
      <c r="X191" s="303">
        <v>0.7</v>
      </c>
      <c r="Y191" s="303">
        <v>0.7</v>
      </c>
      <c r="Z191" s="303">
        <v>1700</v>
      </c>
      <c r="AA191" s="303" t="s">
        <v>531</v>
      </c>
      <c r="AB191" s="303">
        <v>0.85</v>
      </c>
      <c r="AC191" s="303" t="s">
        <v>532</v>
      </c>
      <c r="AD191" s="303" t="s">
        <v>533</v>
      </c>
      <c r="AE191" s="303">
        <v>220</v>
      </c>
      <c r="AF191" s="134"/>
      <c r="AG191" s="307"/>
    </row>
    <row r="192" spans="1:33" ht="15.75">
      <c r="A192" s="302" t="s">
        <v>619</v>
      </c>
      <c r="B192" s="303">
        <v>10</v>
      </c>
      <c r="C192" s="303">
        <v>184</v>
      </c>
      <c r="D192" s="303" t="s">
        <v>603</v>
      </c>
      <c r="E192" s="303">
        <v>1.5</v>
      </c>
      <c r="F192" s="312">
        <v>45412.786111111112</v>
      </c>
      <c r="G192" s="303">
        <v>1</v>
      </c>
      <c r="H192" s="303">
        <v>51.377400000000002</v>
      </c>
      <c r="I192" s="303">
        <v>7.1757999999999997</v>
      </c>
      <c r="J192" s="303">
        <v>-21.327718999999998</v>
      </c>
      <c r="K192" s="303">
        <v>-20.481081</v>
      </c>
      <c r="L192" s="303">
        <v>967.74400000000003</v>
      </c>
      <c r="M192" s="303">
        <v>114.499196</v>
      </c>
      <c r="N192" s="303">
        <v>17305.837589999999</v>
      </c>
      <c r="O192" s="303">
        <v>0</v>
      </c>
      <c r="P192" s="305">
        <v>0</v>
      </c>
      <c r="Q192" s="299">
        <f t="shared" si="0"/>
        <v>0</v>
      </c>
      <c r="R192" s="300" t="s">
        <v>230</v>
      </c>
      <c r="S192" s="300" t="s">
        <v>582</v>
      </c>
      <c r="T192" s="305" t="s">
        <v>583</v>
      </c>
      <c r="U192" s="305">
        <v>15</v>
      </c>
      <c r="V192" s="305">
        <v>5</v>
      </c>
      <c r="W192" s="303">
        <v>0.7</v>
      </c>
      <c r="X192" s="303">
        <v>0.7</v>
      </c>
      <c r="Y192" s="303">
        <v>0.7</v>
      </c>
      <c r="Z192" s="303">
        <v>1700</v>
      </c>
      <c r="AA192" s="303" t="s">
        <v>531</v>
      </c>
      <c r="AB192" s="303">
        <v>0.85</v>
      </c>
      <c r="AC192" s="303" t="s">
        <v>532</v>
      </c>
      <c r="AD192" s="303" t="s">
        <v>533</v>
      </c>
      <c r="AE192" s="303">
        <v>220</v>
      </c>
      <c r="AF192" s="134"/>
      <c r="AG192" s="301"/>
    </row>
    <row r="193" spans="1:33" ht="15.75">
      <c r="A193" s="302" t="s">
        <v>620</v>
      </c>
      <c r="B193" s="303">
        <v>10</v>
      </c>
      <c r="C193" s="303">
        <v>184</v>
      </c>
      <c r="D193" s="303" t="s">
        <v>603</v>
      </c>
      <c r="E193" s="303">
        <v>1.5</v>
      </c>
      <c r="F193" s="312">
        <v>45412.789583333331</v>
      </c>
      <c r="G193" s="303">
        <v>1</v>
      </c>
      <c r="H193" s="303">
        <v>51.374099999999999</v>
      </c>
      <c r="I193" s="303">
        <v>7.0752199999999998</v>
      </c>
      <c r="J193" s="303">
        <v>-21.420869</v>
      </c>
      <c r="K193" s="303">
        <v>-20.594374999999999</v>
      </c>
      <c r="L193" s="303">
        <v>953.89099999999996</v>
      </c>
      <c r="M193" s="303">
        <v>115.00068</v>
      </c>
      <c r="N193" s="303">
        <v>17280.82098</v>
      </c>
      <c r="O193" s="303">
        <v>0</v>
      </c>
      <c r="P193" s="305">
        <v>0</v>
      </c>
      <c r="Q193" s="299">
        <f t="shared" si="0"/>
        <v>0</v>
      </c>
      <c r="R193" s="300" t="s">
        <v>230</v>
      </c>
      <c r="S193" s="300" t="s">
        <v>582</v>
      </c>
      <c r="T193" s="305" t="s">
        <v>583</v>
      </c>
      <c r="U193" s="305">
        <v>15</v>
      </c>
      <c r="V193" s="305">
        <v>5</v>
      </c>
      <c r="W193" s="303">
        <v>0.7</v>
      </c>
      <c r="X193" s="303">
        <v>0.7</v>
      </c>
      <c r="Y193" s="303">
        <v>0.7</v>
      </c>
      <c r="Z193" s="303">
        <v>1700</v>
      </c>
      <c r="AA193" s="303" t="s">
        <v>531</v>
      </c>
      <c r="AB193" s="303">
        <v>0.85</v>
      </c>
      <c r="AC193" s="303" t="s">
        <v>532</v>
      </c>
      <c r="AD193" s="303" t="s">
        <v>533</v>
      </c>
      <c r="AE193" s="303">
        <v>220</v>
      </c>
      <c r="AF193" s="134"/>
      <c r="AG193" s="301"/>
    </row>
    <row r="194" spans="1:33" ht="15.75">
      <c r="A194" s="302" t="s">
        <v>621</v>
      </c>
      <c r="B194" s="303">
        <v>10</v>
      </c>
      <c r="C194" s="303">
        <v>184</v>
      </c>
      <c r="D194" s="303" t="s">
        <v>603</v>
      </c>
      <c r="E194" s="303">
        <v>1.5</v>
      </c>
      <c r="F194" s="312">
        <v>45412.793055555558</v>
      </c>
      <c r="G194" s="303">
        <v>1</v>
      </c>
      <c r="H194" s="303">
        <v>51.374099999999999</v>
      </c>
      <c r="I194" s="303">
        <v>7.0552299999999999</v>
      </c>
      <c r="J194" s="303">
        <v>-21.422218999999998</v>
      </c>
      <c r="K194" s="303">
        <v>-20.5731</v>
      </c>
      <c r="L194" s="303">
        <v>982.25800000000004</v>
      </c>
      <c r="M194" s="303">
        <v>118.000946</v>
      </c>
      <c r="N194" s="303">
        <v>17395.127420000001</v>
      </c>
      <c r="O194" s="303">
        <v>0</v>
      </c>
      <c r="P194" s="305">
        <v>0</v>
      </c>
      <c r="Q194" s="299">
        <f t="shared" si="0"/>
        <v>0</v>
      </c>
      <c r="R194" s="300" t="s">
        <v>230</v>
      </c>
      <c r="S194" s="300" t="s">
        <v>582</v>
      </c>
      <c r="T194" s="305" t="s">
        <v>583</v>
      </c>
      <c r="U194" s="305">
        <v>15</v>
      </c>
      <c r="V194" s="305">
        <v>5</v>
      </c>
      <c r="W194" s="303">
        <v>0.7</v>
      </c>
      <c r="X194" s="303">
        <v>0.7</v>
      </c>
      <c r="Y194" s="303">
        <v>0.7</v>
      </c>
      <c r="Z194" s="303">
        <v>1700</v>
      </c>
      <c r="AA194" s="303" t="s">
        <v>531</v>
      </c>
      <c r="AB194" s="303">
        <v>0.85</v>
      </c>
      <c r="AC194" s="303" t="s">
        <v>532</v>
      </c>
      <c r="AD194" s="303" t="s">
        <v>533</v>
      </c>
      <c r="AE194" s="303">
        <v>220</v>
      </c>
      <c r="AF194" s="134"/>
      <c r="AG194" s="301"/>
    </row>
    <row r="195" spans="1:33" ht="15.75">
      <c r="A195" s="302" t="s">
        <v>622</v>
      </c>
      <c r="B195" s="303">
        <v>10</v>
      </c>
      <c r="C195" s="303">
        <v>184</v>
      </c>
      <c r="D195" s="303" t="s">
        <v>603</v>
      </c>
      <c r="E195" s="303">
        <v>1.5</v>
      </c>
      <c r="F195" s="312">
        <v>45412.796527777777</v>
      </c>
      <c r="G195" s="303">
        <v>2</v>
      </c>
      <c r="H195" s="303">
        <v>51.370800000000003</v>
      </c>
      <c r="I195" s="303">
        <v>7.0925799999999999</v>
      </c>
      <c r="J195" s="303">
        <v>-21.445644000000001</v>
      </c>
      <c r="K195" s="303">
        <v>-20.596461999999999</v>
      </c>
      <c r="L195" s="303">
        <v>974.89200000000005</v>
      </c>
      <c r="M195" s="303">
        <v>115.999455</v>
      </c>
      <c r="N195" s="303">
        <v>17353.579419999998</v>
      </c>
      <c r="O195" s="303">
        <v>17356.82777</v>
      </c>
      <c r="P195" s="305">
        <v>2039.721446</v>
      </c>
      <c r="Q195" s="299">
        <f t="shared" si="0"/>
        <v>2039.721446</v>
      </c>
      <c r="R195" s="300" t="s">
        <v>230</v>
      </c>
      <c r="S195" s="300" t="s">
        <v>12</v>
      </c>
      <c r="T195" s="305" t="s">
        <v>530</v>
      </c>
      <c r="U195" s="305">
        <v>15</v>
      </c>
      <c r="V195" s="305">
        <v>5</v>
      </c>
      <c r="W195" s="303">
        <v>0.7</v>
      </c>
      <c r="X195" s="303">
        <v>0.7</v>
      </c>
      <c r="Y195" s="303">
        <v>0.7</v>
      </c>
      <c r="Z195" s="303">
        <v>1700</v>
      </c>
      <c r="AA195" s="303" t="s">
        <v>531</v>
      </c>
      <c r="AB195" s="303">
        <v>0.85</v>
      </c>
      <c r="AC195" s="303" t="s">
        <v>532</v>
      </c>
      <c r="AD195" s="303" t="s">
        <v>533</v>
      </c>
      <c r="AE195" s="303">
        <v>220</v>
      </c>
      <c r="AF195" s="134"/>
      <c r="AG195" s="301"/>
    </row>
    <row r="196" spans="1:33" ht="15.75">
      <c r="A196" s="302" t="s">
        <v>623</v>
      </c>
      <c r="B196" s="303">
        <v>10</v>
      </c>
      <c r="C196" s="303">
        <v>184</v>
      </c>
      <c r="D196" s="303" t="s">
        <v>603</v>
      </c>
      <c r="E196" s="303">
        <v>1.5</v>
      </c>
      <c r="F196" s="312">
        <v>45412.800000000003</v>
      </c>
      <c r="G196" s="303">
        <v>2</v>
      </c>
      <c r="H196" s="303">
        <v>51.377400000000002</v>
      </c>
      <c r="I196" s="303">
        <v>7.1354499999999996</v>
      </c>
      <c r="J196" s="303">
        <v>-21.415237999999999</v>
      </c>
      <c r="K196" s="303">
        <v>-20.584161999999999</v>
      </c>
      <c r="L196" s="303">
        <v>964.32600000000002</v>
      </c>
      <c r="M196" s="303">
        <v>114.50063</v>
      </c>
      <c r="N196" s="303">
        <v>17321.277460000001</v>
      </c>
      <c r="O196" s="303">
        <v>17356.82777</v>
      </c>
      <c r="P196" s="305">
        <v>2039.721446</v>
      </c>
      <c r="Q196" s="299">
        <f t="shared" si="0"/>
        <v>2039.721446</v>
      </c>
      <c r="R196" s="300" t="s">
        <v>230</v>
      </c>
      <c r="S196" s="300" t="s">
        <v>12</v>
      </c>
      <c r="T196" s="305" t="s">
        <v>545</v>
      </c>
      <c r="U196" s="305">
        <v>15</v>
      </c>
      <c r="V196" s="305">
        <v>5</v>
      </c>
      <c r="W196" s="303">
        <v>0.7</v>
      </c>
      <c r="X196" s="303">
        <v>0.7</v>
      </c>
      <c r="Y196" s="303">
        <v>0.7</v>
      </c>
      <c r="Z196" s="303">
        <v>1700</v>
      </c>
      <c r="AA196" s="303" t="s">
        <v>531</v>
      </c>
      <c r="AB196" s="303">
        <v>0.85</v>
      </c>
      <c r="AC196" s="303" t="s">
        <v>532</v>
      </c>
      <c r="AD196" s="303" t="s">
        <v>533</v>
      </c>
      <c r="AE196" s="303">
        <v>220</v>
      </c>
      <c r="AF196" s="134"/>
      <c r="AG196" s="301"/>
    </row>
    <row r="197" spans="1:33" ht="15.75">
      <c r="A197" s="302" t="s">
        <v>624</v>
      </c>
      <c r="B197" s="303">
        <v>10</v>
      </c>
      <c r="C197" s="303">
        <v>184</v>
      </c>
      <c r="D197" s="303" t="s">
        <v>603</v>
      </c>
      <c r="E197" s="303">
        <v>1.5</v>
      </c>
      <c r="F197" s="312">
        <v>45412.803472222222</v>
      </c>
      <c r="G197" s="303">
        <v>2</v>
      </c>
      <c r="H197" s="303">
        <v>51.370800000000003</v>
      </c>
      <c r="I197" s="303">
        <v>7.1144600000000002</v>
      </c>
      <c r="J197" s="303">
        <v>-21.489625</v>
      </c>
      <c r="K197" s="303">
        <v>-20.644631</v>
      </c>
      <c r="L197" s="303">
        <v>963.31899999999996</v>
      </c>
      <c r="M197" s="303">
        <v>129.999977</v>
      </c>
      <c r="N197" s="303">
        <v>17305.85959</v>
      </c>
      <c r="O197" s="303">
        <v>17356.82777</v>
      </c>
      <c r="P197" s="305">
        <v>2039.721446</v>
      </c>
      <c r="Q197" s="299">
        <f t="shared" si="0"/>
        <v>2039.721446</v>
      </c>
      <c r="R197" s="300" t="s">
        <v>230</v>
      </c>
      <c r="S197" s="300" t="s">
        <v>12</v>
      </c>
      <c r="T197" s="305" t="s">
        <v>545</v>
      </c>
      <c r="U197" s="305">
        <v>15</v>
      </c>
      <c r="V197" s="305">
        <v>5</v>
      </c>
      <c r="W197" s="303">
        <v>0.7</v>
      </c>
      <c r="X197" s="303">
        <v>0.7</v>
      </c>
      <c r="Y197" s="303">
        <v>0.7</v>
      </c>
      <c r="Z197" s="303">
        <v>1700</v>
      </c>
      <c r="AA197" s="303" t="s">
        <v>531</v>
      </c>
      <c r="AB197" s="303">
        <v>0.85</v>
      </c>
      <c r="AC197" s="303" t="s">
        <v>532</v>
      </c>
      <c r="AD197" s="303" t="s">
        <v>533</v>
      </c>
      <c r="AE197" s="303">
        <v>220</v>
      </c>
      <c r="AF197" s="134"/>
      <c r="AG197" s="301"/>
    </row>
    <row r="198" spans="1:33" ht="15.75">
      <c r="A198" s="302" t="s">
        <v>625</v>
      </c>
      <c r="B198" s="303">
        <v>10</v>
      </c>
      <c r="C198" s="303">
        <v>184</v>
      </c>
      <c r="D198" s="303" t="s">
        <v>603</v>
      </c>
      <c r="E198" s="303">
        <v>1.5</v>
      </c>
      <c r="F198" s="312">
        <v>45412.806944444441</v>
      </c>
      <c r="G198" s="303">
        <v>2</v>
      </c>
      <c r="H198" s="303">
        <v>51.3675</v>
      </c>
      <c r="I198" s="303">
        <v>7.1779400000000004</v>
      </c>
      <c r="J198" s="303">
        <v>-21.539756000000001</v>
      </c>
      <c r="K198" s="303">
        <v>-20.713819000000001</v>
      </c>
      <c r="L198" s="303">
        <v>979.58500000000004</v>
      </c>
      <c r="M198" s="303">
        <v>116.999092</v>
      </c>
      <c r="N198" s="303">
        <v>17368.98645</v>
      </c>
      <c r="O198" s="303">
        <v>17356.82777</v>
      </c>
      <c r="P198" s="305">
        <v>2039.721446</v>
      </c>
      <c r="Q198" s="299">
        <f t="shared" si="0"/>
        <v>2039.721446</v>
      </c>
      <c r="R198" s="300" t="s">
        <v>230</v>
      </c>
      <c r="S198" s="300" t="s">
        <v>12</v>
      </c>
      <c r="T198" s="305" t="s">
        <v>530</v>
      </c>
      <c r="U198" s="305">
        <v>15</v>
      </c>
      <c r="V198" s="305">
        <v>5</v>
      </c>
      <c r="W198" s="303">
        <v>0.7</v>
      </c>
      <c r="X198" s="303">
        <v>0.7</v>
      </c>
      <c r="Y198" s="303">
        <v>0.7</v>
      </c>
      <c r="Z198" s="303">
        <v>1700</v>
      </c>
      <c r="AA198" s="303" t="s">
        <v>531</v>
      </c>
      <c r="AB198" s="303">
        <v>0.85</v>
      </c>
      <c r="AC198" s="303" t="s">
        <v>532</v>
      </c>
      <c r="AD198" s="303" t="s">
        <v>533</v>
      </c>
      <c r="AE198" s="303">
        <v>220</v>
      </c>
      <c r="AF198" s="134"/>
      <c r="AG198" s="301"/>
    </row>
    <row r="199" spans="1:33" ht="15.75">
      <c r="A199" s="302" t="s">
        <v>626</v>
      </c>
      <c r="B199" s="303">
        <v>10</v>
      </c>
      <c r="C199" s="303">
        <v>184</v>
      </c>
      <c r="D199" s="303" t="s">
        <v>603</v>
      </c>
      <c r="E199" s="303">
        <v>1.5</v>
      </c>
      <c r="F199" s="312">
        <v>45412.810416666667</v>
      </c>
      <c r="G199" s="303">
        <v>2</v>
      </c>
      <c r="H199" s="303">
        <v>51.374099999999999</v>
      </c>
      <c r="I199" s="303">
        <v>7.1463099999999997</v>
      </c>
      <c r="J199" s="303">
        <v>-21.550443999999999</v>
      </c>
      <c r="K199" s="303">
        <v>-20.700887999999999</v>
      </c>
      <c r="L199" s="303">
        <v>977.35400000000004</v>
      </c>
      <c r="M199" s="303">
        <v>157.99932100000001</v>
      </c>
      <c r="N199" s="303">
        <v>17347.917420000002</v>
      </c>
      <c r="O199" s="303">
        <v>17356.82777</v>
      </c>
      <c r="P199" s="305">
        <v>2039.721446</v>
      </c>
      <c r="Q199" s="299">
        <f t="shared" si="0"/>
        <v>2039.721446</v>
      </c>
      <c r="R199" s="300" t="s">
        <v>230</v>
      </c>
      <c r="S199" s="300" t="s">
        <v>12</v>
      </c>
      <c r="T199" s="305" t="s">
        <v>530</v>
      </c>
      <c r="U199" s="305">
        <v>15</v>
      </c>
      <c r="V199" s="305">
        <v>5</v>
      </c>
      <c r="W199" s="303">
        <v>0.7</v>
      </c>
      <c r="X199" s="303">
        <v>0.7</v>
      </c>
      <c r="Y199" s="303">
        <v>0.7</v>
      </c>
      <c r="Z199" s="303">
        <v>1700</v>
      </c>
      <c r="AA199" s="303" t="s">
        <v>531</v>
      </c>
      <c r="AB199" s="303">
        <v>0.85</v>
      </c>
      <c r="AC199" s="303" t="s">
        <v>532</v>
      </c>
      <c r="AD199" s="303" t="s">
        <v>533</v>
      </c>
      <c r="AE199" s="303">
        <v>220</v>
      </c>
      <c r="AF199" s="134"/>
      <c r="AG199" s="301"/>
    </row>
    <row r="200" spans="1:33" ht="15.75">
      <c r="A200" s="308" t="s">
        <v>627</v>
      </c>
      <c r="B200" s="309">
        <v>11</v>
      </c>
      <c r="C200" s="309" t="s">
        <v>659</v>
      </c>
      <c r="D200" s="309" t="s">
        <v>529</v>
      </c>
      <c r="E200" s="309">
        <v>1.5</v>
      </c>
      <c r="F200" s="313">
        <v>45412.81527777778</v>
      </c>
      <c r="G200" s="309">
        <v>1</v>
      </c>
      <c r="H200" s="309">
        <v>51.370800000000003</v>
      </c>
      <c r="I200" s="309">
        <v>7.1002599999999996</v>
      </c>
      <c r="J200" s="309">
        <v>-21.483663</v>
      </c>
      <c r="K200" s="309">
        <v>-20.644680999999999</v>
      </c>
      <c r="L200" s="309">
        <v>983.16800000000001</v>
      </c>
      <c r="M200" s="309">
        <v>118.49988999999999</v>
      </c>
      <c r="N200" s="309">
        <v>17589.80284</v>
      </c>
      <c r="O200" s="309">
        <v>17578.3632</v>
      </c>
      <c r="P200" s="311">
        <v>2065.614024</v>
      </c>
      <c r="Q200" s="299">
        <f t="shared" si="0"/>
        <v>2065.614024</v>
      </c>
      <c r="R200" s="300" t="s">
        <v>230</v>
      </c>
      <c r="S200" s="300" t="s">
        <v>12</v>
      </c>
      <c r="T200" s="311" t="s">
        <v>530</v>
      </c>
      <c r="U200" s="305">
        <v>15</v>
      </c>
      <c r="V200" s="305">
        <v>5</v>
      </c>
      <c r="W200" s="303">
        <v>0.7</v>
      </c>
      <c r="X200" s="303">
        <v>0.7</v>
      </c>
      <c r="Y200" s="303">
        <v>0.7</v>
      </c>
      <c r="Z200" s="303">
        <v>1700</v>
      </c>
      <c r="AA200" s="303" t="s">
        <v>531</v>
      </c>
      <c r="AB200" s="303">
        <v>0.85</v>
      </c>
      <c r="AC200" s="303" t="s">
        <v>532</v>
      </c>
      <c r="AD200" s="303" t="s">
        <v>533</v>
      </c>
      <c r="AE200" s="303">
        <v>220</v>
      </c>
      <c r="AF200" s="134"/>
      <c r="AG200" s="301"/>
    </row>
    <row r="201" spans="1:33" ht="15.75">
      <c r="A201" s="308" t="s">
        <v>628</v>
      </c>
      <c r="B201" s="309">
        <v>11</v>
      </c>
      <c r="C201" s="309" t="s">
        <v>659</v>
      </c>
      <c r="D201" s="309" t="s">
        <v>529</v>
      </c>
      <c r="E201" s="309">
        <v>1.5</v>
      </c>
      <c r="F201" s="313">
        <v>45412.818749999999</v>
      </c>
      <c r="G201" s="309">
        <v>1</v>
      </c>
      <c r="H201" s="309">
        <v>51.374099999999999</v>
      </c>
      <c r="I201" s="309">
        <v>7.13361</v>
      </c>
      <c r="J201" s="309">
        <v>-21.500461999999999</v>
      </c>
      <c r="K201" s="309">
        <v>-20.657069</v>
      </c>
      <c r="L201" s="309">
        <v>977.54300000000001</v>
      </c>
      <c r="M201" s="309">
        <v>114.50152799999999</v>
      </c>
      <c r="N201" s="309">
        <v>17570.887040000001</v>
      </c>
      <c r="O201" s="309">
        <v>17578.3632</v>
      </c>
      <c r="P201" s="311">
        <v>2065.614024</v>
      </c>
      <c r="Q201" s="299">
        <f t="shared" si="0"/>
        <v>2065.614024</v>
      </c>
      <c r="R201" s="300" t="s">
        <v>230</v>
      </c>
      <c r="S201" s="300" t="s">
        <v>12</v>
      </c>
      <c r="T201" s="311" t="s">
        <v>530</v>
      </c>
      <c r="U201" s="305">
        <v>15</v>
      </c>
      <c r="V201" s="305">
        <v>5</v>
      </c>
      <c r="W201" s="303">
        <v>0.7</v>
      </c>
      <c r="X201" s="303">
        <v>0.7</v>
      </c>
      <c r="Y201" s="303">
        <v>0.7</v>
      </c>
      <c r="Z201" s="303">
        <v>1700</v>
      </c>
      <c r="AA201" s="303" t="s">
        <v>531</v>
      </c>
      <c r="AB201" s="303">
        <v>0.85</v>
      </c>
      <c r="AC201" s="303" t="s">
        <v>532</v>
      </c>
      <c r="AD201" s="303" t="s">
        <v>533</v>
      </c>
      <c r="AE201" s="303">
        <v>220</v>
      </c>
      <c r="AF201" s="134"/>
      <c r="AG201" s="301"/>
    </row>
    <row r="202" spans="1:33" ht="15.75">
      <c r="A202" s="308" t="s">
        <v>629</v>
      </c>
      <c r="B202" s="309">
        <v>11</v>
      </c>
      <c r="C202" s="309" t="s">
        <v>659</v>
      </c>
      <c r="D202" s="309" t="s">
        <v>529</v>
      </c>
      <c r="E202" s="309">
        <v>1.5</v>
      </c>
      <c r="F202" s="313">
        <v>45412.822222222225</v>
      </c>
      <c r="G202" s="309">
        <v>1</v>
      </c>
      <c r="H202" s="309">
        <v>51.374099999999999</v>
      </c>
      <c r="I202" s="309">
        <v>7.1043799999999999</v>
      </c>
      <c r="J202" s="309">
        <v>-21.530349999999999</v>
      </c>
      <c r="K202" s="309">
        <v>-20.710056000000002</v>
      </c>
      <c r="L202" s="309">
        <v>998.00199999999995</v>
      </c>
      <c r="M202" s="309">
        <v>126.001032</v>
      </c>
      <c r="N202" s="309">
        <v>17574.399720000001</v>
      </c>
      <c r="O202" s="309">
        <v>17578.3632</v>
      </c>
      <c r="P202" s="311">
        <v>2065.614024</v>
      </c>
      <c r="Q202" s="299">
        <f t="shared" si="0"/>
        <v>2065.614024</v>
      </c>
      <c r="R202" s="300" t="s">
        <v>230</v>
      </c>
      <c r="S202" s="300" t="s">
        <v>12</v>
      </c>
      <c r="T202" s="311" t="s">
        <v>530</v>
      </c>
      <c r="U202" s="305">
        <v>15</v>
      </c>
      <c r="V202" s="305">
        <v>5</v>
      </c>
      <c r="W202" s="303">
        <v>0.7</v>
      </c>
      <c r="X202" s="303">
        <v>0.7</v>
      </c>
      <c r="Y202" s="303">
        <v>0.7</v>
      </c>
      <c r="Z202" s="303">
        <v>1700</v>
      </c>
      <c r="AA202" s="303" t="s">
        <v>531</v>
      </c>
      <c r="AB202" s="303">
        <v>0.85</v>
      </c>
      <c r="AC202" s="303" t="s">
        <v>532</v>
      </c>
      <c r="AD202" s="303" t="s">
        <v>533</v>
      </c>
      <c r="AE202" s="303">
        <v>220</v>
      </c>
      <c r="AF202" s="134"/>
      <c r="AG202" s="301"/>
    </row>
    <row r="203" spans="1:33" ht="15.75">
      <c r="A203" s="314" t="s">
        <v>632</v>
      </c>
      <c r="B203" s="315">
        <v>12</v>
      </c>
      <c r="C203" s="315">
        <v>366</v>
      </c>
      <c r="D203" s="315" t="s">
        <v>561</v>
      </c>
      <c r="E203" s="315">
        <v>1.5</v>
      </c>
      <c r="F203" s="316">
        <v>45412.826388888891</v>
      </c>
      <c r="G203" s="315">
        <v>1</v>
      </c>
      <c r="H203" s="315">
        <v>51.374099999999999</v>
      </c>
      <c r="I203" s="315">
        <v>7.02461</v>
      </c>
      <c r="J203" s="315">
        <v>-21.535287</v>
      </c>
      <c r="K203" s="315">
        <v>-20.685437</v>
      </c>
      <c r="L203" s="315">
        <v>994.80200000000002</v>
      </c>
      <c r="M203" s="315">
        <v>114.001457</v>
      </c>
      <c r="N203" s="315">
        <v>17579.378990000001</v>
      </c>
      <c r="O203" s="315">
        <v>17588.941559999999</v>
      </c>
      <c r="P203" s="317">
        <v>2066.8503999999998</v>
      </c>
      <c r="Q203" s="299">
        <f t="shared" si="0"/>
        <v>2066.8503999999998</v>
      </c>
      <c r="R203" s="300" t="s">
        <v>230</v>
      </c>
      <c r="S203" s="300" t="s">
        <v>12</v>
      </c>
      <c r="T203" s="317" t="s">
        <v>530</v>
      </c>
      <c r="U203" s="317">
        <v>15</v>
      </c>
      <c r="V203" s="317">
        <v>5</v>
      </c>
      <c r="W203" s="315">
        <v>0.7</v>
      </c>
      <c r="X203" s="315">
        <v>0.7</v>
      </c>
      <c r="Y203" s="315">
        <v>0.7</v>
      </c>
      <c r="Z203" s="315">
        <v>1700</v>
      </c>
      <c r="AA203" s="315" t="s">
        <v>531</v>
      </c>
      <c r="AB203" s="315">
        <v>0.85</v>
      </c>
      <c r="AC203" s="315" t="s">
        <v>532</v>
      </c>
      <c r="AD203" s="315" t="s">
        <v>533</v>
      </c>
      <c r="AE203" s="315">
        <v>220</v>
      </c>
      <c r="AF203" s="134"/>
      <c r="AG203" s="301"/>
    </row>
    <row r="204" spans="1:33" ht="15.75">
      <c r="A204" s="302" t="s">
        <v>633</v>
      </c>
      <c r="B204" s="303">
        <v>12</v>
      </c>
      <c r="C204" s="303">
        <v>366</v>
      </c>
      <c r="D204" s="303" t="s">
        <v>561</v>
      </c>
      <c r="E204" s="303">
        <v>1.5</v>
      </c>
      <c r="F204" s="312">
        <v>45412.829861111109</v>
      </c>
      <c r="G204" s="303">
        <v>1</v>
      </c>
      <c r="H204" s="303">
        <v>51.370800000000003</v>
      </c>
      <c r="I204" s="303">
        <v>7.0950600000000001</v>
      </c>
      <c r="J204" s="303">
        <v>-21.503737000000001</v>
      </c>
      <c r="K204" s="303">
        <v>-20.657488000000001</v>
      </c>
      <c r="L204" s="303">
        <v>992.92399999999998</v>
      </c>
      <c r="M204" s="303">
        <v>115.499511</v>
      </c>
      <c r="N204" s="303">
        <v>17608.145949999998</v>
      </c>
      <c r="O204" s="303">
        <v>17588.941559999999</v>
      </c>
      <c r="P204" s="305">
        <v>2066.8503999999998</v>
      </c>
      <c r="Q204" s="299">
        <f t="shared" si="0"/>
        <v>2066.8503999999998</v>
      </c>
      <c r="R204" s="300" t="s">
        <v>230</v>
      </c>
      <c r="S204" s="300" t="s">
        <v>12</v>
      </c>
      <c r="T204" s="305" t="s">
        <v>530</v>
      </c>
      <c r="U204" s="305">
        <v>15</v>
      </c>
      <c r="V204" s="305">
        <v>5</v>
      </c>
      <c r="W204" s="303">
        <v>0.7</v>
      </c>
      <c r="X204" s="303">
        <v>0.7</v>
      </c>
      <c r="Y204" s="303">
        <v>0.7</v>
      </c>
      <c r="Z204" s="303">
        <v>1700</v>
      </c>
      <c r="AA204" s="303" t="s">
        <v>531</v>
      </c>
      <c r="AB204" s="303">
        <v>0.85</v>
      </c>
      <c r="AC204" s="303" t="s">
        <v>532</v>
      </c>
      <c r="AD204" s="303" t="s">
        <v>533</v>
      </c>
      <c r="AE204" s="303">
        <v>220</v>
      </c>
      <c r="AF204" s="134"/>
      <c r="AG204" s="301"/>
    </row>
    <row r="205" spans="1:33" ht="15.75">
      <c r="A205" s="302" t="s">
        <v>634</v>
      </c>
      <c r="B205" s="303">
        <v>12</v>
      </c>
      <c r="C205" s="303">
        <v>366</v>
      </c>
      <c r="D205" s="303" t="s">
        <v>561</v>
      </c>
      <c r="E205" s="303">
        <v>1.5</v>
      </c>
      <c r="F205" s="312">
        <v>45412.833333333336</v>
      </c>
      <c r="G205" s="303">
        <v>1</v>
      </c>
      <c r="H205" s="303">
        <v>51.3675</v>
      </c>
      <c r="I205" s="303">
        <v>7.1244300000000003</v>
      </c>
      <c r="J205" s="303">
        <v>-21.454937000000001</v>
      </c>
      <c r="K205" s="303">
        <v>-20.645568999999998</v>
      </c>
      <c r="L205" s="303">
        <v>970.23599999999999</v>
      </c>
      <c r="M205" s="303">
        <v>123.0008</v>
      </c>
      <c r="N205" s="303">
        <v>17480.634139999998</v>
      </c>
      <c r="O205" s="303">
        <v>17588.941559999999</v>
      </c>
      <c r="P205" s="305">
        <v>2066.8503999999998</v>
      </c>
      <c r="Q205" s="299">
        <f t="shared" si="0"/>
        <v>2066.8503999999998</v>
      </c>
      <c r="R205" s="300" t="s">
        <v>230</v>
      </c>
      <c r="S205" s="300" t="s">
        <v>12</v>
      </c>
      <c r="T205" s="305" t="s">
        <v>545</v>
      </c>
      <c r="U205" s="305">
        <v>15</v>
      </c>
      <c r="V205" s="305">
        <v>5</v>
      </c>
      <c r="W205" s="303">
        <v>0.7</v>
      </c>
      <c r="X205" s="303">
        <v>0.7</v>
      </c>
      <c r="Y205" s="303">
        <v>0.7</v>
      </c>
      <c r="Z205" s="303">
        <v>1700</v>
      </c>
      <c r="AA205" s="303" t="s">
        <v>531</v>
      </c>
      <c r="AB205" s="303">
        <v>0.85</v>
      </c>
      <c r="AC205" s="303" t="s">
        <v>532</v>
      </c>
      <c r="AD205" s="303" t="s">
        <v>533</v>
      </c>
      <c r="AE205" s="303">
        <v>220</v>
      </c>
      <c r="AF205" s="134"/>
      <c r="AG205" s="301"/>
    </row>
    <row r="206" spans="1:33" ht="15.75">
      <c r="A206" s="302" t="s">
        <v>635</v>
      </c>
      <c r="B206" s="303">
        <v>12</v>
      </c>
      <c r="C206" s="303">
        <v>366</v>
      </c>
      <c r="D206" s="303" t="s">
        <v>561</v>
      </c>
      <c r="E206" s="303">
        <v>1.5</v>
      </c>
      <c r="F206" s="312">
        <v>45412.836805555555</v>
      </c>
      <c r="G206" s="303">
        <v>1</v>
      </c>
      <c r="H206" s="303">
        <v>51.374099999999999</v>
      </c>
      <c r="I206" s="303">
        <v>7.0639799999999999</v>
      </c>
      <c r="J206" s="303">
        <v>-21.522469000000001</v>
      </c>
      <c r="K206" s="303">
        <v>-20.680824999999999</v>
      </c>
      <c r="L206" s="303">
        <v>987.28899999999999</v>
      </c>
      <c r="M206" s="303">
        <v>112.4986</v>
      </c>
      <c r="N206" s="303">
        <v>17579.299749999998</v>
      </c>
      <c r="O206" s="303">
        <v>17588.941559999999</v>
      </c>
      <c r="P206" s="305">
        <v>2066.8503999999998</v>
      </c>
      <c r="Q206" s="299">
        <f t="shared" si="0"/>
        <v>2066.8503999999998</v>
      </c>
      <c r="R206" s="300" t="s">
        <v>230</v>
      </c>
      <c r="S206" s="300" t="s">
        <v>12</v>
      </c>
      <c r="T206" s="305" t="s">
        <v>530</v>
      </c>
      <c r="U206" s="305">
        <v>15</v>
      </c>
      <c r="V206" s="305">
        <v>5</v>
      </c>
      <c r="W206" s="303">
        <v>0.7</v>
      </c>
      <c r="X206" s="303">
        <v>0.7</v>
      </c>
      <c r="Y206" s="303">
        <v>0.7</v>
      </c>
      <c r="Z206" s="303">
        <v>1700</v>
      </c>
      <c r="AA206" s="303" t="s">
        <v>531</v>
      </c>
      <c r="AB206" s="303">
        <v>0.85</v>
      </c>
      <c r="AC206" s="303" t="s">
        <v>532</v>
      </c>
      <c r="AD206" s="303" t="s">
        <v>533</v>
      </c>
      <c r="AE206" s="303">
        <v>220</v>
      </c>
      <c r="AF206" s="134"/>
      <c r="AG206" s="301"/>
    </row>
    <row r="207" spans="1:33" ht="15.75">
      <c r="A207" s="308" t="s">
        <v>642</v>
      </c>
      <c r="B207" s="309">
        <v>13</v>
      </c>
      <c r="C207" s="309" t="s">
        <v>659</v>
      </c>
      <c r="D207" s="309" t="s">
        <v>529</v>
      </c>
      <c r="E207" s="309">
        <v>1.5</v>
      </c>
      <c r="F207" s="313">
        <v>45412.84097222222</v>
      </c>
      <c r="G207" s="309">
        <v>1</v>
      </c>
      <c r="H207" s="309">
        <v>51.3675</v>
      </c>
      <c r="I207" s="309">
        <v>7.0618299999999996</v>
      </c>
      <c r="J207" s="309">
        <v>-21.579350000000002</v>
      </c>
      <c r="K207" s="309">
        <v>-20.747050000000002</v>
      </c>
      <c r="L207" s="309">
        <v>1002.07</v>
      </c>
      <c r="M207" s="309">
        <v>124.499741</v>
      </c>
      <c r="N207" s="309">
        <v>17581.627179999999</v>
      </c>
      <c r="O207" s="309">
        <v>17564.953320000001</v>
      </c>
      <c r="P207" s="311">
        <v>2064.046707</v>
      </c>
      <c r="Q207" s="299">
        <f t="shared" si="0"/>
        <v>2064.046707</v>
      </c>
      <c r="R207" s="300" t="s">
        <v>230</v>
      </c>
      <c r="S207" s="300" t="s">
        <v>12</v>
      </c>
      <c r="T207" s="311" t="s">
        <v>530</v>
      </c>
      <c r="U207" s="305">
        <v>15</v>
      </c>
      <c r="V207" s="305">
        <v>5</v>
      </c>
      <c r="W207" s="303">
        <v>0.7</v>
      </c>
      <c r="X207" s="303">
        <v>0.7</v>
      </c>
      <c r="Y207" s="303">
        <v>0.7</v>
      </c>
      <c r="Z207" s="303">
        <v>1700</v>
      </c>
      <c r="AA207" s="303" t="s">
        <v>531</v>
      </c>
      <c r="AB207" s="303">
        <v>0.85</v>
      </c>
      <c r="AC207" s="303" t="s">
        <v>532</v>
      </c>
      <c r="AD207" s="303" t="s">
        <v>533</v>
      </c>
      <c r="AE207" s="303">
        <v>220</v>
      </c>
      <c r="AF207" s="134"/>
      <c r="AG207" s="301"/>
    </row>
    <row r="208" spans="1:33" ht="15.75">
      <c r="A208" s="308" t="s">
        <v>643</v>
      </c>
      <c r="B208" s="309">
        <v>13</v>
      </c>
      <c r="C208" s="309" t="s">
        <v>659</v>
      </c>
      <c r="D208" s="309" t="s">
        <v>529</v>
      </c>
      <c r="E208" s="309">
        <v>1.5</v>
      </c>
      <c r="F208" s="313">
        <v>45412.844444444447</v>
      </c>
      <c r="G208" s="309">
        <v>1</v>
      </c>
      <c r="H208" s="309">
        <v>51.374099999999999</v>
      </c>
      <c r="I208" s="309">
        <v>6.9748000000000001</v>
      </c>
      <c r="J208" s="309">
        <v>-21.580674999999999</v>
      </c>
      <c r="K208" s="309">
        <v>-20.734812999999999</v>
      </c>
      <c r="L208" s="309">
        <v>989.49699999999996</v>
      </c>
      <c r="M208" s="309">
        <v>116.4988</v>
      </c>
      <c r="N208" s="309">
        <v>17607.633330000001</v>
      </c>
      <c r="O208" s="309">
        <v>17564.953320000001</v>
      </c>
      <c r="P208" s="311">
        <v>2064.046707</v>
      </c>
      <c r="Q208" s="299">
        <f t="shared" si="0"/>
        <v>2064.046707</v>
      </c>
      <c r="R208" s="300" t="s">
        <v>230</v>
      </c>
      <c r="S208" s="300" t="s">
        <v>12</v>
      </c>
      <c r="T208" s="311" t="s">
        <v>545</v>
      </c>
      <c r="U208" s="305">
        <v>15</v>
      </c>
      <c r="V208" s="305">
        <v>5</v>
      </c>
      <c r="W208" s="303">
        <v>0.7</v>
      </c>
      <c r="X208" s="303">
        <v>0.7</v>
      </c>
      <c r="Y208" s="303">
        <v>0.7</v>
      </c>
      <c r="Z208" s="303">
        <v>1700</v>
      </c>
      <c r="AA208" s="303" t="s">
        <v>531</v>
      </c>
      <c r="AB208" s="303">
        <v>0.85</v>
      </c>
      <c r="AC208" s="303" t="s">
        <v>532</v>
      </c>
      <c r="AD208" s="303" t="s">
        <v>533</v>
      </c>
      <c r="AE208" s="303">
        <v>220</v>
      </c>
      <c r="AF208" s="134"/>
      <c r="AG208" s="301"/>
    </row>
    <row r="209" spans="1:33" ht="15.75">
      <c r="A209" s="308" t="s">
        <v>644</v>
      </c>
      <c r="B209" s="309">
        <v>13</v>
      </c>
      <c r="C209" s="309" t="s">
        <v>659</v>
      </c>
      <c r="D209" s="309" t="s">
        <v>529</v>
      </c>
      <c r="E209" s="309">
        <v>1.5</v>
      </c>
      <c r="F209" s="313">
        <v>45412.847916666666</v>
      </c>
      <c r="G209" s="309">
        <v>1</v>
      </c>
      <c r="H209" s="309">
        <v>51.374099999999999</v>
      </c>
      <c r="I209" s="309">
        <v>7.0667099999999996</v>
      </c>
      <c r="J209" s="309">
        <v>-21.554113000000001</v>
      </c>
      <c r="K209" s="309">
        <v>-20.713512999999999</v>
      </c>
      <c r="L209" s="309">
        <v>972.77700000000004</v>
      </c>
      <c r="M209" s="309">
        <v>128.499606</v>
      </c>
      <c r="N209" s="309">
        <v>17558.700400000002</v>
      </c>
      <c r="O209" s="309">
        <v>17564.953320000001</v>
      </c>
      <c r="P209" s="311">
        <v>2064.046707</v>
      </c>
      <c r="Q209" s="299">
        <f t="shared" si="0"/>
        <v>2064.046707</v>
      </c>
      <c r="R209" s="300" t="s">
        <v>230</v>
      </c>
      <c r="S209" s="300" t="s">
        <v>12</v>
      </c>
      <c r="T209" s="311" t="s">
        <v>530</v>
      </c>
      <c r="U209" s="305">
        <v>15</v>
      </c>
      <c r="V209" s="305">
        <v>5</v>
      </c>
      <c r="W209" s="303">
        <v>0.7</v>
      </c>
      <c r="X209" s="303">
        <v>0.7</v>
      </c>
      <c r="Y209" s="303">
        <v>0.7</v>
      </c>
      <c r="Z209" s="303">
        <v>1700</v>
      </c>
      <c r="AA209" s="303" t="s">
        <v>531</v>
      </c>
      <c r="AB209" s="303">
        <v>0.85</v>
      </c>
      <c r="AC209" s="303" t="s">
        <v>532</v>
      </c>
      <c r="AD209" s="303" t="s">
        <v>533</v>
      </c>
      <c r="AE209" s="303">
        <v>220</v>
      </c>
      <c r="AF209" s="134"/>
      <c r="AG209" s="301"/>
    </row>
    <row r="210" spans="1:33" ht="15.75">
      <c r="A210" s="308" t="s">
        <v>645</v>
      </c>
      <c r="B210" s="309">
        <v>13</v>
      </c>
      <c r="C210" s="309" t="s">
        <v>659</v>
      </c>
      <c r="D210" s="309" t="s">
        <v>529</v>
      </c>
      <c r="E210" s="309">
        <v>1.5</v>
      </c>
      <c r="F210" s="313">
        <v>45412.851388888892</v>
      </c>
      <c r="G210" s="309">
        <v>1</v>
      </c>
      <c r="H210" s="309">
        <v>51.374099999999999</v>
      </c>
      <c r="I210" s="309">
        <v>6.9950099999999997</v>
      </c>
      <c r="J210" s="309">
        <v>-21.508444000000001</v>
      </c>
      <c r="K210" s="309">
        <v>-20.681274999999999</v>
      </c>
      <c r="L210" s="309">
        <v>983.654</v>
      </c>
      <c r="M210" s="309">
        <v>116.999953</v>
      </c>
      <c r="N210" s="309">
        <v>17554.53239</v>
      </c>
      <c r="O210" s="309">
        <v>17564.953320000001</v>
      </c>
      <c r="P210" s="311">
        <v>2064.046707</v>
      </c>
      <c r="Q210" s="299">
        <f t="shared" si="0"/>
        <v>2064.046707</v>
      </c>
      <c r="R210" s="300" t="s">
        <v>230</v>
      </c>
      <c r="S210" s="300" t="s">
        <v>12</v>
      </c>
      <c r="T210" s="311" t="s">
        <v>530</v>
      </c>
      <c r="U210" s="305">
        <v>15</v>
      </c>
      <c r="V210" s="305">
        <v>5</v>
      </c>
      <c r="W210" s="303">
        <v>0.7</v>
      </c>
      <c r="X210" s="303">
        <v>0.7</v>
      </c>
      <c r="Y210" s="303">
        <v>0.7</v>
      </c>
      <c r="Z210" s="303">
        <v>1700</v>
      </c>
      <c r="AA210" s="303" t="s">
        <v>531</v>
      </c>
      <c r="AB210" s="303">
        <v>0.85</v>
      </c>
      <c r="AC210" s="303" t="s">
        <v>532</v>
      </c>
      <c r="AD210" s="303" t="s">
        <v>533</v>
      </c>
      <c r="AE210" s="303">
        <v>220</v>
      </c>
      <c r="AF210" s="134"/>
      <c r="AG210" s="301"/>
    </row>
    <row r="211" spans="1:33" ht="15.75">
      <c r="A211" s="302" t="s">
        <v>526</v>
      </c>
      <c r="B211" s="303" t="s">
        <v>527</v>
      </c>
      <c r="C211" s="303" t="s">
        <v>528</v>
      </c>
      <c r="D211" s="303" t="s">
        <v>529</v>
      </c>
      <c r="E211" s="303">
        <v>1</v>
      </c>
      <c r="F211" s="312">
        <v>45414.428472222222</v>
      </c>
      <c r="G211" s="303">
        <v>1</v>
      </c>
      <c r="H211" s="303">
        <v>51.374099999999999</v>
      </c>
      <c r="I211" s="303">
        <v>12.0578</v>
      </c>
      <c r="J211" s="303">
        <v>-21.129569</v>
      </c>
      <c r="K211" s="303">
        <v>-20.286363000000001</v>
      </c>
      <c r="L211" s="303">
        <v>860.76700000000005</v>
      </c>
      <c r="M211" s="303">
        <v>96.000129000000001</v>
      </c>
      <c r="N211" s="303">
        <v>11410.87975</v>
      </c>
      <c r="O211" s="303">
        <v>11410.87975</v>
      </c>
      <c r="P211" s="305">
        <v>2017.158048</v>
      </c>
      <c r="Q211" s="299">
        <f t="shared" si="0"/>
        <v>2017.158048</v>
      </c>
      <c r="R211" s="300" t="s">
        <v>230</v>
      </c>
      <c r="S211" s="300" t="s">
        <v>12</v>
      </c>
      <c r="T211" s="305" t="s">
        <v>530</v>
      </c>
      <c r="U211" s="305">
        <v>15</v>
      </c>
      <c r="V211" s="305">
        <v>5</v>
      </c>
      <c r="W211" s="303">
        <v>0.7</v>
      </c>
      <c r="X211" s="303">
        <v>0.7</v>
      </c>
      <c r="Y211" s="303">
        <v>0.7</v>
      </c>
      <c r="Z211" s="303">
        <v>1700</v>
      </c>
      <c r="AA211" s="303" t="s">
        <v>531</v>
      </c>
      <c r="AB211" s="303">
        <v>0.85</v>
      </c>
      <c r="AC211" s="303" t="s">
        <v>532</v>
      </c>
      <c r="AD211" s="303" t="s">
        <v>533</v>
      </c>
      <c r="AE211" s="303">
        <v>220</v>
      </c>
      <c r="AF211" s="134"/>
      <c r="AG211" s="301"/>
    </row>
    <row r="212" spans="1:33" ht="15.75">
      <c r="A212" s="302" t="s">
        <v>534</v>
      </c>
      <c r="B212" s="303" t="s">
        <v>527</v>
      </c>
      <c r="C212" s="303" t="s">
        <v>528</v>
      </c>
      <c r="D212" s="303" t="s">
        <v>529</v>
      </c>
      <c r="E212" s="303">
        <v>1</v>
      </c>
      <c r="F212" s="312">
        <v>45414.431250000001</v>
      </c>
      <c r="G212" s="303">
        <v>1</v>
      </c>
      <c r="H212" s="303">
        <v>51.370800000000003</v>
      </c>
      <c r="I212" s="303">
        <v>10.736599999999999</v>
      </c>
      <c r="J212" s="303">
        <v>-21.309625</v>
      </c>
      <c r="K212" s="303">
        <v>-20.461725000000001</v>
      </c>
      <c r="L212" s="303">
        <v>876.67600000000004</v>
      </c>
      <c r="M212" s="303">
        <v>84.000534000000002</v>
      </c>
      <c r="N212" s="303">
        <v>11323.841770000001</v>
      </c>
      <c r="O212" s="303">
        <v>11323.841770000001</v>
      </c>
      <c r="P212" s="305">
        <v>2001.898835</v>
      </c>
      <c r="Q212" s="299">
        <f t="shared" si="0"/>
        <v>2001.898835</v>
      </c>
      <c r="R212" s="300" t="s">
        <v>230</v>
      </c>
      <c r="S212" s="300" t="s">
        <v>12</v>
      </c>
      <c r="T212" s="305" t="s">
        <v>530</v>
      </c>
      <c r="U212" s="305">
        <v>15</v>
      </c>
      <c r="V212" s="305">
        <v>5</v>
      </c>
      <c r="W212" s="303">
        <v>0.7</v>
      </c>
      <c r="X212" s="303">
        <v>0.7</v>
      </c>
      <c r="Y212" s="303">
        <v>0.7</v>
      </c>
      <c r="Z212" s="303">
        <v>1700</v>
      </c>
      <c r="AA212" s="303" t="s">
        <v>531</v>
      </c>
      <c r="AB212" s="303">
        <v>0.85</v>
      </c>
      <c r="AC212" s="303" t="s">
        <v>532</v>
      </c>
      <c r="AD212" s="303" t="s">
        <v>533</v>
      </c>
      <c r="AE212" s="303">
        <v>220</v>
      </c>
      <c r="AF212" s="134"/>
      <c r="AG212" s="301"/>
    </row>
    <row r="213" spans="1:33" ht="15.75">
      <c r="A213" s="302" t="s">
        <v>535</v>
      </c>
      <c r="B213" s="303" t="s">
        <v>527</v>
      </c>
      <c r="C213" s="303" t="s">
        <v>528</v>
      </c>
      <c r="D213" s="303" t="s">
        <v>529</v>
      </c>
      <c r="E213" s="303">
        <v>1</v>
      </c>
      <c r="F213" s="312">
        <v>45414.434027777781</v>
      </c>
      <c r="G213" s="303">
        <v>1</v>
      </c>
      <c r="H213" s="303">
        <v>51.370800000000003</v>
      </c>
      <c r="I213" s="303">
        <v>9.5796600000000005</v>
      </c>
      <c r="J213" s="303">
        <v>-21.370294000000001</v>
      </c>
      <c r="K213" s="303">
        <v>-20.554119</v>
      </c>
      <c r="L213" s="303">
        <v>871.274</v>
      </c>
      <c r="M213" s="303">
        <v>102.999707</v>
      </c>
      <c r="N213" s="303">
        <v>11340.94204</v>
      </c>
      <c r="O213" s="303">
        <v>11340.94204</v>
      </c>
      <c r="P213" s="305">
        <v>2004.896798</v>
      </c>
      <c r="Q213" s="299">
        <f t="shared" si="0"/>
        <v>2004.896798</v>
      </c>
      <c r="R213" s="300" t="s">
        <v>230</v>
      </c>
      <c r="S213" s="300" t="s">
        <v>12</v>
      </c>
      <c r="T213" s="305" t="s">
        <v>530</v>
      </c>
      <c r="U213" s="305">
        <v>15</v>
      </c>
      <c r="V213" s="305">
        <v>5</v>
      </c>
      <c r="W213" s="303">
        <v>0.7</v>
      </c>
      <c r="X213" s="303">
        <v>0.7</v>
      </c>
      <c r="Y213" s="303">
        <v>0.7</v>
      </c>
      <c r="Z213" s="303">
        <v>1700</v>
      </c>
      <c r="AA213" s="303" t="s">
        <v>531</v>
      </c>
      <c r="AB213" s="303">
        <v>0.85</v>
      </c>
      <c r="AC213" s="303" t="s">
        <v>532</v>
      </c>
      <c r="AD213" s="303" t="s">
        <v>533</v>
      </c>
      <c r="AE213" s="303">
        <v>220</v>
      </c>
      <c r="AF213" s="134"/>
      <c r="AG213" s="301"/>
    </row>
    <row r="214" spans="1:33" ht="15.75">
      <c r="A214" s="302" t="s">
        <v>536</v>
      </c>
      <c r="B214" s="303" t="s">
        <v>527</v>
      </c>
      <c r="C214" s="303" t="s">
        <v>528</v>
      </c>
      <c r="D214" s="303" t="s">
        <v>529</v>
      </c>
      <c r="E214" s="303">
        <v>1</v>
      </c>
      <c r="F214" s="312">
        <v>45414.4375</v>
      </c>
      <c r="G214" s="303">
        <v>1</v>
      </c>
      <c r="H214" s="303">
        <v>51.370800000000003</v>
      </c>
      <c r="I214" s="303">
        <v>8.7153299999999998</v>
      </c>
      <c r="J214" s="303">
        <v>-21.515906000000001</v>
      </c>
      <c r="K214" s="303">
        <v>-20.680119000000001</v>
      </c>
      <c r="L214" s="303">
        <v>876.79</v>
      </c>
      <c r="M214" s="303">
        <v>97.999341000000001</v>
      </c>
      <c r="N214" s="303">
        <v>11343.095660000001</v>
      </c>
      <c r="O214" s="303">
        <v>11343.095660000001</v>
      </c>
      <c r="P214" s="305">
        <v>2005.274363</v>
      </c>
      <c r="Q214" s="299">
        <f t="shared" si="0"/>
        <v>2005.274363</v>
      </c>
      <c r="R214" s="300" t="s">
        <v>230</v>
      </c>
      <c r="S214" s="300" t="s">
        <v>12</v>
      </c>
      <c r="T214" s="305" t="s">
        <v>530</v>
      </c>
      <c r="U214" s="305">
        <v>15</v>
      </c>
      <c r="V214" s="305">
        <v>5</v>
      </c>
      <c r="W214" s="303">
        <v>0.7</v>
      </c>
      <c r="X214" s="303">
        <v>0.7</v>
      </c>
      <c r="Y214" s="303">
        <v>0.7</v>
      </c>
      <c r="Z214" s="303">
        <v>1700</v>
      </c>
      <c r="AA214" s="303" t="s">
        <v>531</v>
      </c>
      <c r="AB214" s="303">
        <v>0.85</v>
      </c>
      <c r="AC214" s="303" t="s">
        <v>532</v>
      </c>
      <c r="AD214" s="303" t="s">
        <v>533</v>
      </c>
      <c r="AE214" s="303">
        <v>220</v>
      </c>
      <c r="AF214" s="134"/>
      <c r="AG214" s="301"/>
    </row>
    <row r="215" spans="1:33" ht="15.75">
      <c r="A215" s="302" t="s">
        <v>695</v>
      </c>
      <c r="B215" s="303" t="s">
        <v>543</v>
      </c>
      <c r="C215" s="303" t="s">
        <v>696</v>
      </c>
      <c r="D215" s="303" t="s">
        <v>529</v>
      </c>
      <c r="E215" s="303">
        <v>1.2</v>
      </c>
      <c r="F215" s="312">
        <v>45414.442361111112</v>
      </c>
      <c r="G215" s="303">
        <v>1</v>
      </c>
      <c r="H215" s="303">
        <v>51.374099999999999</v>
      </c>
      <c r="I215" s="303">
        <v>8.2829800000000002</v>
      </c>
      <c r="J215" s="303">
        <v>-21.550338</v>
      </c>
      <c r="K215" s="303">
        <v>-20.729130999999999</v>
      </c>
      <c r="L215" s="303">
        <v>972.2</v>
      </c>
      <c r="M215" s="303">
        <v>132.49937399999999</v>
      </c>
      <c r="N215" s="303">
        <v>13948.172769999999</v>
      </c>
      <c r="O215" s="303">
        <v>14074.534100000001</v>
      </c>
      <c r="P215" s="305">
        <v>2070.35</v>
      </c>
      <c r="Q215" s="299">
        <f t="shared" si="0"/>
        <v>2070.35</v>
      </c>
      <c r="R215" s="300" t="s">
        <v>230</v>
      </c>
      <c r="S215" s="300" t="s">
        <v>12</v>
      </c>
      <c r="T215" s="305" t="s">
        <v>545</v>
      </c>
      <c r="U215" s="305">
        <v>15</v>
      </c>
      <c r="V215" s="305">
        <v>5</v>
      </c>
      <c r="W215" s="303">
        <v>0.7</v>
      </c>
      <c r="X215" s="303">
        <v>0.7</v>
      </c>
      <c r="Y215" s="303">
        <v>0.7</v>
      </c>
      <c r="Z215" s="303">
        <v>1700</v>
      </c>
      <c r="AA215" s="303" t="s">
        <v>531</v>
      </c>
      <c r="AB215" s="303">
        <v>0.85</v>
      </c>
      <c r="AC215" s="303" t="s">
        <v>532</v>
      </c>
      <c r="AD215" s="303" t="s">
        <v>533</v>
      </c>
      <c r="AE215" s="303">
        <v>220</v>
      </c>
      <c r="AF215" s="134"/>
      <c r="AG215" s="301"/>
    </row>
    <row r="216" spans="1:33" ht="15.75">
      <c r="A216" s="302" t="s">
        <v>697</v>
      </c>
      <c r="B216" s="303" t="s">
        <v>543</v>
      </c>
      <c r="C216" s="303" t="s">
        <v>696</v>
      </c>
      <c r="D216" s="303" t="s">
        <v>529</v>
      </c>
      <c r="E216" s="303">
        <v>1.2</v>
      </c>
      <c r="F216" s="312">
        <v>45414.446527777778</v>
      </c>
      <c r="G216" s="303">
        <v>1</v>
      </c>
      <c r="H216" s="303">
        <v>51.370800000000003</v>
      </c>
      <c r="I216" s="303">
        <v>8.0797799999999995</v>
      </c>
      <c r="J216" s="303">
        <v>-21.574612999999999</v>
      </c>
      <c r="K216" s="303">
        <v>-20.729806</v>
      </c>
      <c r="L216" s="303">
        <v>981.05499999999995</v>
      </c>
      <c r="M216" s="303">
        <v>102.499607</v>
      </c>
      <c r="N216" s="303">
        <v>14080.23083</v>
      </c>
      <c r="O216" s="303">
        <v>14074.534100000001</v>
      </c>
      <c r="P216" s="305">
        <v>2070.35</v>
      </c>
      <c r="Q216" s="299">
        <f t="shared" si="0"/>
        <v>2070.35</v>
      </c>
      <c r="R216" s="300" t="s">
        <v>230</v>
      </c>
      <c r="S216" s="300" t="s">
        <v>12</v>
      </c>
      <c r="T216" s="305" t="s">
        <v>530</v>
      </c>
      <c r="U216" s="305">
        <v>15</v>
      </c>
      <c r="V216" s="305">
        <v>5</v>
      </c>
      <c r="W216" s="303">
        <v>0.7</v>
      </c>
      <c r="X216" s="303">
        <v>0.7</v>
      </c>
      <c r="Y216" s="303">
        <v>0.7</v>
      </c>
      <c r="Z216" s="303">
        <v>1700</v>
      </c>
      <c r="AA216" s="303" t="s">
        <v>531</v>
      </c>
      <c r="AB216" s="303">
        <v>0.85</v>
      </c>
      <c r="AC216" s="303" t="s">
        <v>532</v>
      </c>
      <c r="AD216" s="303" t="s">
        <v>533</v>
      </c>
      <c r="AE216" s="303">
        <v>220</v>
      </c>
      <c r="AF216" s="134"/>
      <c r="AG216" s="301"/>
    </row>
    <row r="217" spans="1:33" ht="15.75">
      <c r="A217" s="302" t="s">
        <v>698</v>
      </c>
      <c r="B217" s="303" t="s">
        <v>543</v>
      </c>
      <c r="C217" s="303" t="s">
        <v>696</v>
      </c>
      <c r="D217" s="303" t="s">
        <v>529</v>
      </c>
      <c r="E217" s="303">
        <v>1.2</v>
      </c>
      <c r="F217" s="312">
        <v>45414.449305555558</v>
      </c>
      <c r="G217" s="303">
        <v>1</v>
      </c>
      <c r="H217" s="303">
        <v>51.370800000000003</v>
      </c>
      <c r="I217" s="303">
        <v>7.9680299999999997</v>
      </c>
      <c r="J217" s="303">
        <v>-21.551186999999999</v>
      </c>
      <c r="K217" s="303">
        <v>-20.776599999999998</v>
      </c>
      <c r="L217" s="303">
        <v>985.60699999999997</v>
      </c>
      <c r="M217" s="303">
        <v>118.999461</v>
      </c>
      <c r="N217" s="303">
        <v>14060.554319999999</v>
      </c>
      <c r="O217" s="303">
        <v>14074.534100000001</v>
      </c>
      <c r="P217" s="305">
        <v>2070.35</v>
      </c>
      <c r="Q217" s="299">
        <f t="shared" si="0"/>
        <v>2070.35</v>
      </c>
      <c r="R217" s="300" t="s">
        <v>230</v>
      </c>
      <c r="S217" s="300" t="s">
        <v>12</v>
      </c>
      <c r="T217" s="305" t="s">
        <v>530</v>
      </c>
      <c r="U217" s="305">
        <v>15</v>
      </c>
      <c r="V217" s="305">
        <v>5</v>
      </c>
      <c r="W217" s="303">
        <v>0.7</v>
      </c>
      <c r="X217" s="303">
        <v>0.7</v>
      </c>
      <c r="Y217" s="303">
        <v>0.7</v>
      </c>
      <c r="Z217" s="303">
        <v>1700</v>
      </c>
      <c r="AA217" s="303" t="s">
        <v>531</v>
      </c>
      <c r="AB217" s="303">
        <v>0.85</v>
      </c>
      <c r="AC217" s="303" t="s">
        <v>532</v>
      </c>
      <c r="AD217" s="303" t="s">
        <v>533</v>
      </c>
      <c r="AE217" s="303">
        <v>220</v>
      </c>
      <c r="AF217" s="134"/>
      <c r="AG217" s="301"/>
    </row>
    <row r="218" spans="1:33" ht="15.75">
      <c r="A218" s="302" t="s">
        <v>699</v>
      </c>
      <c r="B218" s="303" t="s">
        <v>543</v>
      </c>
      <c r="C218" s="303" t="s">
        <v>696</v>
      </c>
      <c r="D218" s="303" t="s">
        <v>529</v>
      </c>
      <c r="E218" s="303">
        <v>1.2</v>
      </c>
      <c r="F218" s="312">
        <v>45414.452777777777</v>
      </c>
      <c r="G218" s="303">
        <v>1</v>
      </c>
      <c r="H218" s="303">
        <v>51.377400000000002</v>
      </c>
      <c r="I218" s="303">
        <v>7.8529999999999998</v>
      </c>
      <c r="J218" s="303">
        <v>-21.566488</v>
      </c>
      <c r="K218" s="303">
        <v>-20.717856000000001</v>
      </c>
      <c r="L218" s="303">
        <v>983.32299999999998</v>
      </c>
      <c r="M218" s="303">
        <v>107.000911</v>
      </c>
      <c r="N218" s="303">
        <v>14082.817150000001</v>
      </c>
      <c r="O218" s="303">
        <v>14074.534100000001</v>
      </c>
      <c r="P218" s="305">
        <v>2070.35</v>
      </c>
      <c r="Q218" s="299">
        <f t="shared" si="0"/>
        <v>2070.35</v>
      </c>
      <c r="R218" s="300" t="s">
        <v>230</v>
      </c>
      <c r="S218" s="300" t="s">
        <v>12</v>
      </c>
      <c r="T218" s="305" t="s">
        <v>530</v>
      </c>
      <c r="U218" s="305">
        <v>15</v>
      </c>
      <c r="V218" s="305">
        <v>5</v>
      </c>
      <c r="W218" s="303">
        <v>0.7</v>
      </c>
      <c r="X218" s="303">
        <v>0.7</v>
      </c>
      <c r="Y218" s="303">
        <v>0.7</v>
      </c>
      <c r="Z218" s="303">
        <v>1700</v>
      </c>
      <c r="AA218" s="303" t="s">
        <v>531</v>
      </c>
      <c r="AB218" s="303">
        <v>0.85</v>
      </c>
      <c r="AC218" s="303" t="s">
        <v>532</v>
      </c>
      <c r="AD218" s="303" t="s">
        <v>533</v>
      </c>
      <c r="AE218" s="303">
        <v>220</v>
      </c>
      <c r="AF218" s="134"/>
      <c r="AG218" s="301"/>
    </row>
    <row r="219" spans="1:33" ht="15.75">
      <c r="A219" s="302" t="s">
        <v>700</v>
      </c>
      <c r="B219" s="303" t="s">
        <v>550</v>
      </c>
      <c r="C219" s="303" t="s">
        <v>696</v>
      </c>
      <c r="D219" s="303" t="s">
        <v>529</v>
      </c>
      <c r="E219" s="303">
        <v>1.5</v>
      </c>
      <c r="F219" s="312">
        <v>45414.456250000003</v>
      </c>
      <c r="G219" s="303">
        <v>1</v>
      </c>
      <c r="H219" s="303">
        <v>51.374099999999999</v>
      </c>
      <c r="I219" s="303">
        <v>7.67631</v>
      </c>
      <c r="J219" s="303">
        <v>-21.619225</v>
      </c>
      <c r="K219" s="303">
        <v>-20.774187999999999</v>
      </c>
      <c r="L219" s="303">
        <v>998.19399999999996</v>
      </c>
      <c r="M219" s="303">
        <v>161.99835100000001</v>
      </c>
      <c r="N219" s="303">
        <v>17670.72422</v>
      </c>
      <c r="O219" s="303">
        <v>17650.59073</v>
      </c>
      <c r="P219" s="305">
        <v>2070.35</v>
      </c>
      <c r="Q219" s="299">
        <f t="shared" si="0"/>
        <v>2070.35</v>
      </c>
      <c r="R219" s="300" t="s">
        <v>230</v>
      </c>
      <c r="S219" s="300" t="s">
        <v>12</v>
      </c>
      <c r="T219" s="305" t="s">
        <v>530</v>
      </c>
      <c r="U219" s="305">
        <v>15</v>
      </c>
      <c r="V219" s="305">
        <v>5</v>
      </c>
      <c r="W219" s="303">
        <v>0.7</v>
      </c>
      <c r="X219" s="303">
        <v>0.7</v>
      </c>
      <c r="Y219" s="303">
        <v>0.7</v>
      </c>
      <c r="Z219" s="303">
        <v>1700</v>
      </c>
      <c r="AA219" s="303" t="s">
        <v>531</v>
      </c>
      <c r="AB219" s="303">
        <v>0.85</v>
      </c>
      <c r="AC219" s="303" t="s">
        <v>532</v>
      </c>
      <c r="AD219" s="303" t="s">
        <v>533</v>
      </c>
      <c r="AE219" s="303">
        <v>220</v>
      </c>
      <c r="AF219" s="134"/>
      <c r="AG219" s="301"/>
    </row>
    <row r="220" spans="1:33" ht="15.75">
      <c r="A220" s="302" t="s">
        <v>701</v>
      </c>
      <c r="B220" s="303" t="s">
        <v>550</v>
      </c>
      <c r="C220" s="303" t="s">
        <v>696</v>
      </c>
      <c r="D220" s="303" t="s">
        <v>529</v>
      </c>
      <c r="E220" s="303">
        <v>1.5</v>
      </c>
      <c r="F220" s="312">
        <v>45414.460416666669</v>
      </c>
      <c r="G220" s="303">
        <v>1</v>
      </c>
      <c r="H220" s="303">
        <v>51.374099999999999</v>
      </c>
      <c r="I220" s="303">
        <v>7.8049099999999996</v>
      </c>
      <c r="J220" s="303">
        <v>-21.595219</v>
      </c>
      <c r="K220" s="303">
        <v>-20.763919000000001</v>
      </c>
      <c r="L220" s="303">
        <v>995.553</v>
      </c>
      <c r="M220" s="303">
        <v>117.99978299999999</v>
      </c>
      <c r="N220" s="303">
        <v>17638.960770000002</v>
      </c>
      <c r="O220" s="303">
        <v>17650.59073</v>
      </c>
      <c r="P220" s="305">
        <v>2070.35</v>
      </c>
      <c r="Q220" s="299">
        <f t="shared" si="0"/>
        <v>2070.35</v>
      </c>
      <c r="R220" s="300" t="s">
        <v>230</v>
      </c>
      <c r="S220" s="300" t="s">
        <v>12</v>
      </c>
      <c r="T220" s="305" t="s">
        <v>530</v>
      </c>
      <c r="U220" s="305">
        <v>15</v>
      </c>
      <c r="V220" s="305">
        <v>5</v>
      </c>
      <c r="W220" s="303">
        <v>0.7</v>
      </c>
      <c r="X220" s="303">
        <v>0.7</v>
      </c>
      <c r="Y220" s="303">
        <v>0.7</v>
      </c>
      <c r="Z220" s="303">
        <v>1700</v>
      </c>
      <c r="AA220" s="303" t="s">
        <v>531</v>
      </c>
      <c r="AB220" s="303">
        <v>0.85</v>
      </c>
      <c r="AC220" s="303" t="s">
        <v>532</v>
      </c>
      <c r="AD220" s="303" t="s">
        <v>533</v>
      </c>
      <c r="AE220" s="303">
        <v>220</v>
      </c>
      <c r="AF220" s="134"/>
      <c r="AG220" s="301"/>
    </row>
    <row r="221" spans="1:33" ht="15.75">
      <c r="A221" s="302" t="s">
        <v>702</v>
      </c>
      <c r="B221" s="303" t="s">
        <v>550</v>
      </c>
      <c r="C221" s="303" t="s">
        <v>696</v>
      </c>
      <c r="D221" s="303" t="s">
        <v>529</v>
      </c>
      <c r="E221" s="303">
        <v>1.5</v>
      </c>
      <c r="F221" s="312">
        <v>45414.463888888888</v>
      </c>
      <c r="G221" s="303">
        <v>1</v>
      </c>
      <c r="H221" s="303">
        <v>51.377400000000002</v>
      </c>
      <c r="I221" s="303">
        <v>7.6825700000000001</v>
      </c>
      <c r="J221" s="303">
        <v>-21.611243999999999</v>
      </c>
      <c r="K221" s="303">
        <v>-20.761669000000001</v>
      </c>
      <c r="L221" s="303">
        <v>989.36300000000006</v>
      </c>
      <c r="M221" s="303">
        <v>146.49960899999999</v>
      </c>
      <c r="N221" s="303">
        <v>17642.087189999998</v>
      </c>
      <c r="O221" s="303">
        <v>17650.59073</v>
      </c>
      <c r="P221" s="305">
        <v>2070.35</v>
      </c>
      <c r="Q221" s="299">
        <f t="shared" si="0"/>
        <v>2070.35</v>
      </c>
      <c r="R221" s="300" t="s">
        <v>230</v>
      </c>
      <c r="S221" s="300" t="s">
        <v>12</v>
      </c>
      <c r="T221" s="305" t="s">
        <v>530</v>
      </c>
      <c r="U221" s="305">
        <v>15</v>
      </c>
      <c r="V221" s="305">
        <v>5</v>
      </c>
      <c r="W221" s="303">
        <v>0.7</v>
      </c>
      <c r="X221" s="303">
        <v>0.7</v>
      </c>
      <c r="Y221" s="303">
        <v>0.7</v>
      </c>
      <c r="Z221" s="303">
        <v>1700</v>
      </c>
      <c r="AA221" s="303" t="s">
        <v>531</v>
      </c>
      <c r="AB221" s="303">
        <v>0.85</v>
      </c>
      <c r="AC221" s="303" t="s">
        <v>532</v>
      </c>
      <c r="AD221" s="303" t="s">
        <v>533</v>
      </c>
      <c r="AE221" s="303">
        <v>220</v>
      </c>
      <c r="AF221" s="134"/>
      <c r="AG221" s="301"/>
    </row>
    <row r="222" spans="1:33" ht="15.75">
      <c r="A222" s="302" t="s">
        <v>703</v>
      </c>
      <c r="B222" s="303" t="s">
        <v>554</v>
      </c>
      <c r="C222" s="303" t="s">
        <v>696</v>
      </c>
      <c r="D222" s="303" t="s">
        <v>529</v>
      </c>
      <c r="E222" s="303">
        <v>1.8</v>
      </c>
      <c r="F222" s="312">
        <v>45414.468055555553</v>
      </c>
      <c r="G222" s="303">
        <v>1</v>
      </c>
      <c r="H222" s="303">
        <v>51.374099999999999</v>
      </c>
      <c r="I222" s="303">
        <v>7.7532399999999999</v>
      </c>
      <c r="J222" s="303">
        <v>-21.638069000000002</v>
      </c>
      <c r="K222" s="303">
        <v>-20.790862000000001</v>
      </c>
      <c r="L222" s="303">
        <v>987.69600000000003</v>
      </c>
      <c r="M222" s="303">
        <v>132.99965</v>
      </c>
      <c r="N222" s="303">
        <v>21190.786189999999</v>
      </c>
      <c r="O222" s="303">
        <v>21185.456890000001</v>
      </c>
      <c r="P222" s="305">
        <v>2070.35</v>
      </c>
      <c r="Q222" s="299">
        <f t="shared" si="0"/>
        <v>2070.35</v>
      </c>
      <c r="R222" s="300" t="s">
        <v>230</v>
      </c>
      <c r="S222" s="300" t="s">
        <v>12</v>
      </c>
      <c r="T222" s="305" t="s">
        <v>530</v>
      </c>
      <c r="U222" s="305">
        <v>15</v>
      </c>
      <c r="V222" s="305">
        <v>5</v>
      </c>
      <c r="W222" s="303">
        <v>0.7</v>
      </c>
      <c r="X222" s="303">
        <v>0.7</v>
      </c>
      <c r="Y222" s="303">
        <v>0.7</v>
      </c>
      <c r="Z222" s="303">
        <v>1700</v>
      </c>
      <c r="AA222" s="303" t="s">
        <v>531</v>
      </c>
      <c r="AB222" s="303">
        <v>0.85</v>
      </c>
      <c r="AC222" s="303" t="s">
        <v>532</v>
      </c>
      <c r="AD222" s="303" t="s">
        <v>533</v>
      </c>
      <c r="AE222" s="303">
        <v>220</v>
      </c>
      <c r="AF222" s="134"/>
      <c r="AG222" s="307"/>
    </row>
    <row r="223" spans="1:33" ht="15.75">
      <c r="A223" s="302" t="s">
        <v>704</v>
      </c>
      <c r="B223" s="303" t="s">
        <v>554</v>
      </c>
      <c r="C223" s="303" t="s">
        <v>696</v>
      </c>
      <c r="D223" s="303" t="s">
        <v>529</v>
      </c>
      <c r="E223" s="303">
        <v>1.8</v>
      </c>
      <c r="F223" s="312">
        <v>45414.47152777778</v>
      </c>
      <c r="G223" s="303">
        <v>1</v>
      </c>
      <c r="H223" s="303">
        <v>51.374099999999999</v>
      </c>
      <c r="I223" s="303">
        <v>7.5961999999999996</v>
      </c>
      <c r="J223" s="303">
        <v>-21.588587</v>
      </c>
      <c r="K223" s="303">
        <v>-20.792325000000002</v>
      </c>
      <c r="L223" s="303">
        <v>1015.05</v>
      </c>
      <c r="M223" s="303">
        <v>180.999683</v>
      </c>
      <c r="N223" s="303">
        <v>21223.587309999999</v>
      </c>
      <c r="O223" s="303">
        <v>21185.456890000001</v>
      </c>
      <c r="P223" s="305">
        <v>2070.35</v>
      </c>
      <c r="Q223" s="299">
        <f t="shared" si="0"/>
        <v>2070.35</v>
      </c>
      <c r="R223" s="300" t="s">
        <v>230</v>
      </c>
      <c r="S223" s="300" t="s">
        <v>12</v>
      </c>
      <c r="T223" s="305" t="s">
        <v>545</v>
      </c>
      <c r="U223" s="305">
        <v>15</v>
      </c>
      <c r="V223" s="305">
        <v>5</v>
      </c>
      <c r="W223" s="303">
        <v>0.7</v>
      </c>
      <c r="X223" s="303">
        <v>0.7</v>
      </c>
      <c r="Y223" s="303">
        <v>0.7</v>
      </c>
      <c r="Z223" s="303">
        <v>1700</v>
      </c>
      <c r="AA223" s="303" t="s">
        <v>531</v>
      </c>
      <c r="AB223" s="303">
        <v>0.85</v>
      </c>
      <c r="AC223" s="303" t="s">
        <v>532</v>
      </c>
      <c r="AD223" s="303" t="s">
        <v>533</v>
      </c>
      <c r="AE223" s="303">
        <v>220</v>
      </c>
      <c r="AF223" s="134"/>
      <c r="AG223" s="307"/>
    </row>
    <row r="224" spans="1:33" ht="15.75">
      <c r="A224" s="302" t="s">
        <v>705</v>
      </c>
      <c r="B224" s="303" t="s">
        <v>554</v>
      </c>
      <c r="C224" s="303" t="s">
        <v>696</v>
      </c>
      <c r="D224" s="303" t="s">
        <v>529</v>
      </c>
      <c r="E224" s="303">
        <v>1.8</v>
      </c>
      <c r="F224" s="312">
        <v>45414.476388888892</v>
      </c>
      <c r="G224" s="303">
        <v>1</v>
      </c>
      <c r="H224" s="303">
        <v>51.370800000000003</v>
      </c>
      <c r="I224" s="303">
        <v>7.7516400000000001</v>
      </c>
      <c r="J224" s="303">
        <v>-21.563687999999999</v>
      </c>
      <c r="K224" s="303">
        <v>-20.715187</v>
      </c>
      <c r="L224" s="303">
        <v>1001.34</v>
      </c>
      <c r="M224" s="303">
        <v>122.500978</v>
      </c>
      <c r="N224" s="303">
        <v>21171.33887</v>
      </c>
      <c r="O224" s="303">
        <v>21185.456890000001</v>
      </c>
      <c r="P224" s="305">
        <v>2070.35</v>
      </c>
      <c r="Q224" s="299">
        <f t="shared" si="0"/>
        <v>2070.35</v>
      </c>
      <c r="R224" s="300" t="s">
        <v>230</v>
      </c>
      <c r="S224" s="300" t="s">
        <v>12</v>
      </c>
      <c r="T224" s="305" t="s">
        <v>530</v>
      </c>
      <c r="U224" s="305">
        <v>15</v>
      </c>
      <c r="V224" s="305">
        <v>5</v>
      </c>
      <c r="W224" s="303">
        <v>0.7</v>
      </c>
      <c r="X224" s="303">
        <v>0.7</v>
      </c>
      <c r="Y224" s="303">
        <v>0.7</v>
      </c>
      <c r="Z224" s="303">
        <v>1700</v>
      </c>
      <c r="AA224" s="303" t="s">
        <v>531</v>
      </c>
      <c r="AB224" s="303">
        <v>0.85</v>
      </c>
      <c r="AC224" s="303" t="s">
        <v>532</v>
      </c>
      <c r="AD224" s="303" t="s">
        <v>533</v>
      </c>
      <c r="AE224" s="303">
        <v>220</v>
      </c>
      <c r="AF224" s="134"/>
      <c r="AG224" s="307"/>
    </row>
    <row r="225" spans="1:33" ht="15.75">
      <c r="A225" s="302" t="s">
        <v>706</v>
      </c>
      <c r="B225" s="303" t="s">
        <v>554</v>
      </c>
      <c r="C225" s="303" t="s">
        <v>696</v>
      </c>
      <c r="D225" s="303" t="s">
        <v>529</v>
      </c>
      <c r="E225" s="303">
        <v>1.8</v>
      </c>
      <c r="F225" s="312">
        <v>45414.479861111111</v>
      </c>
      <c r="G225" s="303">
        <v>1</v>
      </c>
      <c r="H225" s="303">
        <v>51.374099999999999</v>
      </c>
      <c r="I225" s="303">
        <v>7.65259</v>
      </c>
      <c r="J225" s="303">
        <v>-21.552755999999999</v>
      </c>
      <c r="K225" s="303">
        <v>-20.712793999999999</v>
      </c>
      <c r="L225" s="303">
        <v>1001.98</v>
      </c>
      <c r="M225" s="303">
        <v>144.00097400000001</v>
      </c>
      <c r="N225" s="303">
        <v>21095.871449999999</v>
      </c>
      <c r="O225" s="303">
        <v>21185.456890000001</v>
      </c>
      <c r="P225" s="305">
        <v>2070.35</v>
      </c>
      <c r="Q225" s="299">
        <f t="shared" si="0"/>
        <v>2070.35</v>
      </c>
      <c r="R225" s="300" t="s">
        <v>230</v>
      </c>
      <c r="S225" s="300" t="s">
        <v>12</v>
      </c>
      <c r="T225" s="305" t="s">
        <v>545</v>
      </c>
      <c r="U225" s="305">
        <v>15</v>
      </c>
      <c r="V225" s="305">
        <v>5</v>
      </c>
      <c r="W225" s="303">
        <v>0.7</v>
      </c>
      <c r="X225" s="303">
        <v>0.7</v>
      </c>
      <c r="Y225" s="303">
        <v>0.7</v>
      </c>
      <c r="Z225" s="303">
        <v>1700</v>
      </c>
      <c r="AA225" s="303" t="s">
        <v>531</v>
      </c>
      <c r="AB225" s="303">
        <v>0.85</v>
      </c>
      <c r="AC225" s="303" t="s">
        <v>532</v>
      </c>
      <c r="AD225" s="303" t="s">
        <v>533</v>
      </c>
      <c r="AE225" s="303">
        <v>220</v>
      </c>
      <c r="AF225" s="134"/>
      <c r="AG225" s="307"/>
    </row>
    <row r="226" spans="1:33" ht="15.75">
      <c r="A226" s="302" t="s">
        <v>707</v>
      </c>
      <c r="B226" s="303" t="s">
        <v>554</v>
      </c>
      <c r="C226" s="303" t="s">
        <v>696</v>
      </c>
      <c r="D226" s="303" t="s">
        <v>529</v>
      </c>
      <c r="E226" s="303">
        <v>1.8</v>
      </c>
      <c r="F226" s="304">
        <v>45414.48333333333</v>
      </c>
      <c r="G226" s="303">
        <v>1</v>
      </c>
      <c r="H226" s="303">
        <v>51.374099999999999</v>
      </c>
      <c r="I226" s="303">
        <v>7.4392899999999997</v>
      </c>
      <c r="J226" s="303">
        <v>-21.641324999999998</v>
      </c>
      <c r="K226" s="303">
        <v>-20.806656</v>
      </c>
      <c r="L226" s="303">
        <v>1007.69</v>
      </c>
      <c r="M226" s="303">
        <v>205.001507</v>
      </c>
      <c r="N226" s="303">
        <v>21194.245630000001</v>
      </c>
      <c r="O226" s="303">
        <v>21185.456890000001</v>
      </c>
      <c r="P226" s="305">
        <v>2070.35</v>
      </c>
      <c r="Q226" s="299">
        <f t="shared" si="0"/>
        <v>2070.35</v>
      </c>
      <c r="R226" s="300" t="s">
        <v>230</v>
      </c>
      <c r="S226" s="300" t="s">
        <v>12</v>
      </c>
      <c r="T226" s="305" t="s">
        <v>530</v>
      </c>
      <c r="U226" s="305">
        <v>15</v>
      </c>
      <c r="V226" s="305">
        <v>5</v>
      </c>
      <c r="W226" s="303">
        <v>0.7</v>
      </c>
      <c r="X226" s="303">
        <v>0.7</v>
      </c>
      <c r="Y226" s="303">
        <v>0.7</v>
      </c>
      <c r="Z226" s="303">
        <v>1700</v>
      </c>
      <c r="AA226" s="303" t="s">
        <v>531</v>
      </c>
      <c r="AB226" s="303">
        <v>0.85</v>
      </c>
      <c r="AC226" s="303" t="s">
        <v>532</v>
      </c>
      <c r="AD226" s="303" t="s">
        <v>533</v>
      </c>
      <c r="AE226" s="303">
        <v>220</v>
      </c>
      <c r="AF226" s="134"/>
      <c r="AG226" s="301"/>
    </row>
    <row r="227" spans="1:33" ht="15.75">
      <c r="A227" s="308" t="s">
        <v>538</v>
      </c>
      <c r="B227" s="309">
        <v>2</v>
      </c>
      <c r="C227" s="309" t="s">
        <v>696</v>
      </c>
      <c r="D227" s="309" t="s">
        <v>529</v>
      </c>
      <c r="E227" s="309">
        <v>1.5</v>
      </c>
      <c r="F227" s="310">
        <v>45414.488194444442</v>
      </c>
      <c r="G227" s="309">
        <v>1</v>
      </c>
      <c r="H227" s="309">
        <v>51.370800000000003</v>
      </c>
      <c r="I227" s="309">
        <v>7.5783699999999996</v>
      </c>
      <c r="J227" s="309">
        <v>-21.624444</v>
      </c>
      <c r="K227" s="309">
        <v>-20.777280999999999</v>
      </c>
      <c r="L227" s="309">
        <v>986.84</v>
      </c>
      <c r="M227" s="309">
        <v>115.000638</v>
      </c>
      <c r="N227" s="309">
        <v>17654.003260000001</v>
      </c>
      <c r="O227" s="309">
        <v>17668.205669999999</v>
      </c>
      <c r="P227" s="311">
        <v>2072.4133929999998</v>
      </c>
      <c r="Q227" s="299">
        <f t="shared" si="0"/>
        <v>2072.4133929999998</v>
      </c>
      <c r="R227" s="300" t="s">
        <v>230</v>
      </c>
      <c r="S227" s="300" t="s">
        <v>12</v>
      </c>
      <c r="T227" s="305" t="s">
        <v>530</v>
      </c>
      <c r="U227" s="305">
        <v>15</v>
      </c>
      <c r="V227" s="305">
        <v>5</v>
      </c>
      <c r="W227" s="303">
        <v>0.7</v>
      </c>
      <c r="X227" s="303">
        <v>0.7</v>
      </c>
      <c r="Y227" s="303">
        <v>0.7</v>
      </c>
      <c r="Z227" s="303">
        <v>1700</v>
      </c>
      <c r="AA227" s="303" t="s">
        <v>531</v>
      </c>
      <c r="AB227" s="303">
        <v>0.85</v>
      </c>
      <c r="AC227" s="303" t="s">
        <v>532</v>
      </c>
      <c r="AD227" s="303" t="s">
        <v>533</v>
      </c>
      <c r="AE227" s="303">
        <v>220</v>
      </c>
      <c r="AF227" s="134"/>
      <c r="AG227" s="301"/>
    </row>
    <row r="228" spans="1:33" ht="15.75">
      <c r="A228" s="308" t="s">
        <v>708</v>
      </c>
      <c r="B228" s="309">
        <v>2</v>
      </c>
      <c r="C228" s="309" t="s">
        <v>696</v>
      </c>
      <c r="D228" s="309" t="s">
        <v>529</v>
      </c>
      <c r="E228" s="309">
        <v>1.5</v>
      </c>
      <c r="F228" s="310">
        <v>45414.491666666669</v>
      </c>
      <c r="G228" s="309">
        <v>1</v>
      </c>
      <c r="H228" s="309">
        <v>51.370800000000003</v>
      </c>
      <c r="I228" s="309">
        <v>7.5633999999999997</v>
      </c>
      <c r="J228" s="309">
        <v>-21.622281000000001</v>
      </c>
      <c r="K228" s="309">
        <v>-20.837444000000001</v>
      </c>
      <c r="L228" s="309">
        <v>991.31600000000003</v>
      </c>
      <c r="M228" s="309">
        <v>183.49953500000001</v>
      </c>
      <c r="N228" s="309">
        <v>17669.82561</v>
      </c>
      <c r="O228" s="309">
        <v>17668.205669999999</v>
      </c>
      <c r="P228" s="311">
        <v>2072.4133929999998</v>
      </c>
      <c r="Q228" s="299">
        <f t="shared" si="0"/>
        <v>2072.4133929999998</v>
      </c>
      <c r="R228" s="300" t="s">
        <v>230</v>
      </c>
      <c r="S228" s="300" t="s">
        <v>12</v>
      </c>
      <c r="T228" s="305" t="s">
        <v>530</v>
      </c>
      <c r="U228" s="305">
        <v>15</v>
      </c>
      <c r="V228" s="305">
        <v>5</v>
      </c>
      <c r="W228" s="303">
        <v>0.7</v>
      </c>
      <c r="X228" s="303">
        <v>0.7</v>
      </c>
      <c r="Y228" s="303">
        <v>0.7</v>
      </c>
      <c r="Z228" s="303">
        <v>1700</v>
      </c>
      <c r="AA228" s="303" t="s">
        <v>531</v>
      </c>
      <c r="AB228" s="303">
        <v>0.85</v>
      </c>
      <c r="AC228" s="303" t="s">
        <v>532</v>
      </c>
      <c r="AD228" s="303" t="s">
        <v>533</v>
      </c>
      <c r="AE228" s="303">
        <v>220</v>
      </c>
      <c r="AF228" s="134"/>
      <c r="AG228" s="301"/>
    </row>
    <row r="229" spans="1:33" ht="15.75">
      <c r="A229" s="308" t="s">
        <v>709</v>
      </c>
      <c r="B229" s="309">
        <v>2</v>
      </c>
      <c r="C229" s="309" t="s">
        <v>696</v>
      </c>
      <c r="D229" s="309" t="s">
        <v>529</v>
      </c>
      <c r="E229" s="309">
        <v>1.5</v>
      </c>
      <c r="F229" s="310">
        <v>45414.495833333334</v>
      </c>
      <c r="G229" s="309">
        <v>1</v>
      </c>
      <c r="H229" s="309">
        <v>51.374099999999999</v>
      </c>
      <c r="I229" s="309">
        <v>7.5020699999999998</v>
      </c>
      <c r="J229" s="309">
        <v>-21.622838000000002</v>
      </c>
      <c r="K229" s="309">
        <v>-20.782299999999999</v>
      </c>
      <c r="L229" s="309">
        <v>990.56600000000003</v>
      </c>
      <c r="M229" s="309">
        <v>135.00028900000001</v>
      </c>
      <c r="N229" s="309">
        <v>17680.788140000001</v>
      </c>
      <c r="O229" s="309">
        <v>17668.205669999999</v>
      </c>
      <c r="P229" s="311">
        <v>2072.4133929999998</v>
      </c>
      <c r="Q229" s="299">
        <f t="shared" si="0"/>
        <v>2072.4133929999998</v>
      </c>
      <c r="R229" s="300" t="s">
        <v>230</v>
      </c>
      <c r="S229" s="300" t="s">
        <v>12</v>
      </c>
      <c r="T229" s="305" t="s">
        <v>530</v>
      </c>
      <c r="U229" s="305">
        <v>15</v>
      </c>
      <c r="V229" s="305">
        <v>5</v>
      </c>
      <c r="W229" s="303">
        <v>0.7</v>
      </c>
      <c r="X229" s="303">
        <v>0.7</v>
      </c>
      <c r="Y229" s="303">
        <v>0.7</v>
      </c>
      <c r="Z229" s="303">
        <v>1700</v>
      </c>
      <c r="AA229" s="303" t="s">
        <v>531</v>
      </c>
      <c r="AB229" s="303">
        <v>0.85</v>
      </c>
      <c r="AC229" s="303" t="s">
        <v>532</v>
      </c>
      <c r="AD229" s="303" t="s">
        <v>533</v>
      </c>
      <c r="AE229" s="303">
        <v>220</v>
      </c>
      <c r="AF229" s="134"/>
      <c r="AG229" s="301"/>
    </row>
    <row r="230" spans="1:33" ht="15.75">
      <c r="A230" s="302" t="s">
        <v>539</v>
      </c>
      <c r="B230" s="303">
        <v>3</v>
      </c>
      <c r="C230" s="303">
        <v>209</v>
      </c>
      <c r="D230" s="303" t="s">
        <v>561</v>
      </c>
      <c r="E230" s="303">
        <v>1.5</v>
      </c>
      <c r="F230" s="304">
        <v>45414.5</v>
      </c>
      <c r="G230" s="303">
        <v>1</v>
      </c>
      <c r="H230" s="303">
        <v>51.370800000000003</v>
      </c>
      <c r="I230" s="303">
        <v>7.6283700000000003</v>
      </c>
      <c r="J230" s="303">
        <v>-21.589549999999999</v>
      </c>
      <c r="K230" s="303">
        <v>-20.745550000000001</v>
      </c>
      <c r="L230" s="303">
        <v>967.20100000000002</v>
      </c>
      <c r="M230" s="303">
        <v>124.000168</v>
      </c>
      <c r="N230" s="303">
        <v>17511.549040000002</v>
      </c>
      <c r="O230" s="303">
        <v>17521.148980000002</v>
      </c>
      <c r="P230" s="305">
        <v>2055.3619979999999</v>
      </c>
      <c r="Q230" s="299">
        <f t="shared" si="0"/>
        <v>2055.3619979999999</v>
      </c>
      <c r="R230" s="300" t="s">
        <v>230</v>
      </c>
      <c r="S230" s="300" t="s">
        <v>12</v>
      </c>
      <c r="T230" s="305" t="s">
        <v>530</v>
      </c>
      <c r="U230" s="305">
        <v>15</v>
      </c>
      <c r="V230" s="305">
        <v>5</v>
      </c>
      <c r="W230" s="303">
        <v>0.7</v>
      </c>
      <c r="X230" s="303">
        <v>0.7</v>
      </c>
      <c r="Y230" s="303">
        <v>0.7</v>
      </c>
      <c r="Z230" s="303">
        <v>1700</v>
      </c>
      <c r="AA230" s="303" t="s">
        <v>531</v>
      </c>
      <c r="AB230" s="303">
        <v>0.85</v>
      </c>
      <c r="AC230" s="303" t="s">
        <v>532</v>
      </c>
      <c r="AD230" s="303" t="s">
        <v>533</v>
      </c>
      <c r="AE230" s="303">
        <v>220</v>
      </c>
      <c r="AF230" s="134"/>
      <c r="AG230" s="301"/>
    </row>
    <row r="231" spans="1:33" ht="15.75">
      <c r="A231" s="302" t="s">
        <v>710</v>
      </c>
      <c r="B231" s="303">
        <v>3</v>
      </c>
      <c r="C231" s="303">
        <v>209</v>
      </c>
      <c r="D231" s="303" t="s">
        <v>561</v>
      </c>
      <c r="E231" s="303">
        <v>1.5</v>
      </c>
      <c r="F231" s="304">
        <v>45414.503472222219</v>
      </c>
      <c r="G231" s="303">
        <v>1</v>
      </c>
      <c r="H231" s="303">
        <v>51.374099999999999</v>
      </c>
      <c r="I231" s="303">
        <v>7.5572900000000001</v>
      </c>
      <c r="J231" s="303">
        <v>-21.677437000000001</v>
      </c>
      <c r="K231" s="303">
        <v>-20.841418999999998</v>
      </c>
      <c r="L231" s="303">
        <v>996.75099999999998</v>
      </c>
      <c r="M231" s="303">
        <v>125.00018300000001</v>
      </c>
      <c r="N231" s="303">
        <v>17552.773209999999</v>
      </c>
      <c r="O231" s="303">
        <v>17521.148980000002</v>
      </c>
      <c r="P231" s="305">
        <v>2055.3619979999999</v>
      </c>
      <c r="Q231" s="299">
        <f t="shared" si="0"/>
        <v>2055.3619979999999</v>
      </c>
      <c r="R231" s="300" t="s">
        <v>230</v>
      </c>
      <c r="S231" s="300" t="s">
        <v>12</v>
      </c>
      <c r="T231" s="305" t="s">
        <v>545</v>
      </c>
      <c r="U231" s="305">
        <v>15</v>
      </c>
      <c r="V231" s="305">
        <v>5</v>
      </c>
      <c r="W231" s="303">
        <v>0.7</v>
      </c>
      <c r="X231" s="303">
        <v>0.7</v>
      </c>
      <c r="Y231" s="303">
        <v>0.7</v>
      </c>
      <c r="Z231" s="303">
        <v>1700</v>
      </c>
      <c r="AA231" s="303" t="s">
        <v>531</v>
      </c>
      <c r="AB231" s="303">
        <v>0.85</v>
      </c>
      <c r="AC231" s="303" t="s">
        <v>532</v>
      </c>
      <c r="AD231" s="303" t="s">
        <v>533</v>
      </c>
      <c r="AE231" s="303">
        <v>220</v>
      </c>
      <c r="AF231" s="134"/>
      <c r="AG231" s="301"/>
    </row>
    <row r="232" spans="1:33" ht="15.75">
      <c r="A232" s="302" t="s">
        <v>711</v>
      </c>
      <c r="B232" s="303">
        <v>3</v>
      </c>
      <c r="C232" s="303">
        <v>209</v>
      </c>
      <c r="D232" s="303" t="s">
        <v>561</v>
      </c>
      <c r="E232" s="303">
        <v>1.5</v>
      </c>
      <c r="F232" s="304">
        <v>45414.507638888892</v>
      </c>
      <c r="G232" s="303">
        <v>1</v>
      </c>
      <c r="H232" s="303">
        <v>51.374099999999999</v>
      </c>
      <c r="I232" s="303">
        <v>7.7516699999999998</v>
      </c>
      <c r="J232" s="303">
        <v>-21.549168999999999</v>
      </c>
      <c r="K232" s="303">
        <v>-20.716719000000001</v>
      </c>
      <c r="L232" s="303">
        <v>988.69799999999998</v>
      </c>
      <c r="M232" s="303">
        <v>118.50034599999999</v>
      </c>
      <c r="N232" s="303">
        <v>17538.086810000001</v>
      </c>
      <c r="O232" s="303">
        <v>17521.148980000002</v>
      </c>
      <c r="P232" s="305">
        <v>2055.3619979999999</v>
      </c>
      <c r="Q232" s="299">
        <f t="shared" si="0"/>
        <v>2055.3619979999999</v>
      </c>
      <c r="R232" s="300" t="s">
        <v>230</v>
      </c>
      <c r="S232" s="300" t="s">
        <v>12</v>
      </c>
      <c r="T232" s="305" t="s">
        <v>530</v>
      </c>
      <c r="U232" s="305">
        <v>15</v>
      </c>
      <c r="V232" s="305">
        <v>5</v>
      </c>
      <c r="W232" s="303">
        <v>0.7</v>
      </c>
      <c r="X232" s="303">
        <v>0.7</v>
      </c>
      <c r="Y232" s="303">
        <v>0.7</v>
      </c>
      <c r="Z232" s="303">
        <v>1700</v>
      </c>
      <c r="AA232" s="303" t="s">
        <v>531</v>
      </c>
      <c r="AB232" s="303">
        <v>0.85</v>
      </c>
      <c r="AC232" s="303" t="s">
        <v>532</v>
      </c>
      <c r="AD232" s="303" t="s">
        <v>533</v>
      </c>
      <c r="AE232" s="303">
        <v>220</v>
      </c>
      <c r="AF232" s="134"/>
      <c r="AG232" s="301"/>
    </row>
    <row r="233" spans="1:33" ht="15.75">
      <c r="A233" s="302" t="s">
        <v>712</v>
      </c>
      <c r="B233" s="303">
        <v>3</v>
      </c>
      <c r="C233" s="303">
        <v>209</v>
      </c>
      <c r="D233" s="303" t="s">
        <v>561</v>
      </c>
      <c r="E233" s="303">
        <v>1.5</v>
      </c>
      <c r="F233" s="304">
        <v>45414.511111111111</v>
      </c>
      <c r="G233" s="303">
        <v>1</v>
      </c>
      <c r="H233" s="303">
        <v>51.370800000000003</v>
      </c>
      <c r="I233" s="303">
        <v>7.76213</v>
      </c>
      <c r="J233" s="303">
        <v>-21.663131</v>
      </c>
      <c r="K233" s="303">
        <v>-20.821418999999999</v>
      </c>
      <c r="L233" s="303">
        <v>975.53399999999999</v>
      </c>
      <c r="M233" s="303">
        <v>132.49934300000001</v>
      </c>
      <c r="N233" s="303">
        <v>17513.811089999999</v>
      </c>
      <c r="O233" s="303">
        <v>17521.148980000002</v>
      </c>
      <c r="P233" s="305">
        <v>2055.3619979999999</v>
      </c>
      <c r="Q233" s="299">
        <f t="shared" si="0"/>
        <v>2055.3619979999999</v>
      </c>
      <c r="R233" s="300" t="s">
        <v>230</v>
      </c>
      <c r="S233" s="300" t="s">
        <v>12</v>
      </c>
      <c r="T233" s="305" t="s">
        <v>530</v>
      </c>
      <c r="U233" s="305">
        <v>15</v>
      </c>
      <c r="V233" s="305">
        <v>5</v>
      </c>
      <c r="W233" s="303">
        <v>0.7</v>
      </c>
      <c r="X233" s="303">
        <v>0.7</v>
      </c>
      <c r="Y233" s="303">
        <v>0.7</v>
      </c>
      <c r="Z233" s="303">
        <v>1700</v>
      </c>
      <c r="AA233" s="303" t="s">
        <v>531</v>
      </c>
      <c r="AB233" s="303">
        <v>0.85</v>
      </c>
      <c r="AC233" s="303" t="s">
        <v>532</v>
      </c>
      <c r="AD233" s="303" t="s">
        <v>533</v>
      </c>
      <c r="AE233" s="303">
        <v>220</v>
      </c>
      <c r="AF233" s="134"/>
      <c r="AG233" s="301"/>
    </row>
    <row r="234" spans="1:33" ht="15.75">
      <c r="A234" s="302" t="s">
        <v>540</v>
      </c>
      <c r="B234" s="303">
        <v>4</v>
      </c>
      <c r="C234" s="303">
        <v>210</v>
      </c>
      <c r="D234" s="303" t="s">
        <v>565</v>
      </c>
      <c r="E234" s="303">
        <v>1.5</v>
      </c>
      <c r="F234" s="304">
        <v>45414.515277777777</v>
      </c>
      <c r="G234" s="303">
        <v>1</v>
      </c>
      <c r="H234" s="303">
        <v>51.370800000000003</v>
      </c>
      <c r="I234" s="303">
        <v>7.6402999999999999</v>
      </c>
      <c r="J234" s="303">
        <v>-21.602512999999998</v>
      </c>
      <c r="K234" s="303">
        <v>-20.754443999999999</v>
      </c>
      <c r="L234" s="303">
        <v>980.88699999999994</v>
      </c>
      <c r="M234" s="303">
        <v>119.499522</v>
      </c>
      <c r="N234" s="303">
        <v>17527.922900000001</v>
      </c>
      <c r="O234" s="303">
        <v>17520.996780000001</v>
      </c>
      <c r="P234" s="305">
        <v>2055.3443750000001</v>
      </c>
      <c r="Q234" s="299">
        <f t="shared" si="0"/>
        <v>2055.3443750000001</v>
      </c>
      <c r="R234" s="300" t="s">
        <v>230</v>
      </c>
      <c r="S234" s="300" t="s">
        <v>12</v>
      </c>
      <c r="T234" s="305" t="s">
        <v>530</v>
      </c>
      <c r="U234" s="305">
        <v>15</v>
      </c>
      <c r="V234" s="305">
        <v>5</v>
      </c>
      <c r="W234" s="303">
        <v>0.7</v>
      </c>
      <c r="X234" s="303">
        <v>0.7</v>
      </c>
      <c r="Y234" s="303">
        <v>0.7</v>
      </c>
      <c r="Z234" s="303">
        <v>1700</v>
      </c>
      <c r="AA234" s="303" t="s">
        <v>531</v>
      </c>
      <c r="AB234" s="303">
        <v>0.85</v>
      </c>
      <c r="AC234" s="303" t="s">
        <v>532</v>
      </c>
      <c r="AD234" s="303" t="s">
        <v>533</v>
      </c>
      <c r="AE234" s="303">
        <v>220</v>
      </c>
      <c r="AF234" s="134"/>
      <c r="AG234" s="301"/>
    </row>
    <row r="235" spans="1:33" ht="15.75">
      <c r="A235" s="302" t="s">
        <v>713</v>
      </c>
      <c r="B235" s="303">
        <v>4</v>
      </c>
      <c r="C235" s="303">
        <v>210</v>
      </c>
      <c r="D235" s="303" t="s">
        <v>565</v>
      </c>
      <c r="E235" s="303">
        <v>1.5</v>
      </c>
      <c r="F235" s="304">
        <v>45414.518750000003</v>
      </c>
      <c r="G235" s="303">
        <v>1</v>
      </c>
      <c r="H235" s="303">
        <v>51.370800000000003</v>
      </c>
      <c r="I235" s="303">
        <v>7.71699</v>
      </c>
      <c r="J235" s="303">
        <v>-21.513544</v>
      </c>
      <c r="K235" s="303">
        <v>-20.664912000000001</v>
      </c>
      <c r="L235" s="303">
        <v>973.096</v>
      </c>
      <c r="M235" s="303">
        <v>121.49896699999999</v>
      </c>
      <c r="N235" s="303">
        <v>17527.213729999999</v>
      </c>
      <c r="O235" s="303">
        <v>17520.996780000001</v>
      </c>
      <c r="P235" s="305">
        <v>2055.3443750000001</v>
      </c>
      <c r="Q235" s="299">
        <f t="shared" si="0"/>
        <v>2055.3443750000001</v>
      </c>
      <c r="R235" s="300" t="s">
        <v>230</v>
      </c>
      <c r="S235" s="300" t="s">
        <v>12</v>
      </c>
      <c r="T235" s="305" t="s">
        <v>530</v>
      </c>
      <c r="U235" s="305">
        <v>15</v>
      </c>
      <c r="V235" s="305">
        <v>5</v>
      </c>
      <c r="W235" s="303">
        <v>0.7</v>
      </c>
      <c r="X235" s="303">
        <v>0.7</v>
      </c>
      <c r="Y235" s="303">
        <v>0.7</v>
      </c>
      <c r="Z235" s="303">
        <v>1700</v>
      </c>
      <c r="AA235" s="303" t="s">
        <v>531</v>
      </c>
      <c r="AB235" s="303">
        <v>0.85</v>
      </c>
      <c r="AC235" s="303" t="s">
        <v>532</v>
      </c>
      <c r="AD235" s="303" t="s">
        <v>533</v>
      </c>
      <c r="AE235" s="303">
        <v>220</v>
      </c>
      <c r="AF235" s="134"/>
      <c r="AG235" s="301"/>
    </row>
    <row r="236" spans="1:33" ht="15.75">
      <c r="A236" s="302" t="s">
        <v>714</v>
      </c>
      <c r="B236" s="303">
        <v>4</v>
      </c>
      <c r="C236" s="303">
        <v>210</v>
      </c>
      <c r="D236" s="303" t="s">
        <v>565</v>
      </c>
      <c r="E236" s="303">
        <v>1.5</v>
      </c>
      <c r="F236" s="304">
        <v>45414.522222222222</v>
      </c>
      <c r="G236" s="303">
        <v>1</v>
      </c>
      <c r="H236" s="303">
        <v>51.374099999999999</v>
      </c>
      <c r="I236" s="303">
        <v>7.7289500000000002</v>
      </c>
      <c r="J236" s="303">
        <v>-21.540593999999999</v>
      </c>
      <c r="K236" s="303">
        <v>-20.697275000000001</v>
      </c>
      <c r="L236" s="303">
        <v>993.65200000000004</v>
      </c>
      <c r="M236" s="303">
        <v>115.49964900000001</v>
      </c>
      <c r="N236" s="303">
        <v>17507.8537</v>
      </c>
      <c r="O236" s="303">
        <v>17520.996780000001</v>
      </c>
      <c r="P236" s="305">
        <v>2055.3443750000001</v>
      </c>
      <c r="Q236" s="299">
        <f t="shared" si="0"/>
        <v>2055.3443750000001</v>
      </c>
      <c r="R236" s="300" t="s">
        <v>230</v>
      </c>
      <c r="S236" s="300" t="s">
        <v>12</v>
      </c>
      <c r="T236" s="305" t="s">
        <v>530</v>
      </c>
      <c r="U236" s="305">
        <v>15</v>
      </c>
      <c r="V236" s="305">
        <v>5</v>
      </c>
      <c r="W236" s="303">
        <v>0.7</v>
      </c>
      <c r="X236" s="303">
        <v>0.7</v>
      </c>
      <c r="Y236" s="303">
        <v>0.7</v>
      </c>
      <c r="Z236" s="303">
        <v>1700</v>
      </c>
      <c r="AA236" s="303" t="s">
        <v>531</v>
      </c>
      <c r="AB236" s="303">
        <v>0.85</v>
      </c>
      <c r="AC236" s="303" t="s">
        <v>532</v>
      </c>
      <c r="AD236" s="303" t="s">
        <v>533</v>
      </c>
      <c r="AE236" s="303">
        <v>220</v>
      </c>
      <c r="AF236" s="134"/>
      <c r="AG236" s="301"/>
    </row>
    <row r="237" spans="1:33" ht="15.75">
      <c r="A237" s="302" t="s">
        <v>541</v>
      </c>
      <c r="B237" s="303">
        <v>5</v>
      </c>
      <c r="C237" s="303">
        <v>365</v>
      </c>
      <c r="D237" s="303" t="s">
        <v>570</v>
      </c>
      <c r="E237" s="303">
        <v>1.5</v>
      </c>
      <c r="F237" s="304">
        <v>45414.526388888888</v>
      </c>
      <c r="G237" s="303">
        <v>1</v>
      </c>
      <c r="H237" s="303">
        <v>51.370800000000003</v>
      </c>
      <c r="I237" s="303">
        <v>7.72227</v>
      </c>
      <c r="J237" s="303">
        <v>-21.590924999999999</v>
      </c>
      <c r="K237" s="303">
        <v>-20.742456000000001</v>
      </c>
      <c r="L237" s="303">
        <v>995.34900000000005</v>
      </c>
      <c r="M237" s="303">
        <v>118.499199</v>
      </c>
      <c r="N237" s="303">
        <v>17586.918310000001</v>
      </c>
      <c r="O237" s="303">
        <v>17639.307799999999</v>
      </c>
      <c r="P237" s="305">
        <v>2069.0435550000002</v>
      </c>
      <c r="Q237" s="299">
        <f t="shared" si="0"/>
        <v>2069.0435550000002</v>
      </c>
      <c r="R237" s="300" t="s">
        <v>230</v>
      </c>
      <c r="S237" s="300" t="s">
        <v>12</v>
      </c>
      <c r="T237" s="305" t="s">
        <v>545</v>
      </c>
      <c r="U237" s="305">
        <v>15</v>
      </c>
      <c r="V237" s="305">
        <v>5</v>
      </c>
      <c r="W237" s="303">
        <v>0.7</v>
      </c>
      <c r="X237" s="303">
        <v>0.7</v>
      </c>
      <c r="Y237" s="303">
        <v>0.7</v>
      </c>
      <c r="Z237" s="303">
        <v>1700</v>
      </c>
      <c r="AA237" s="303" t="s">
        <v>531</v>
      </c>
      <c r="AB237" s="303">
        <v>0.85</v>
      </c>
      <c r="AC237" s="303" t="s">
        <v>532</v>
      </c>
      <c r="AD237" s="303" t="s">
        <v>533</v>
      </c>
      <c r="AE237" s="303">
        <v>220</v>
      </c>
      <c r="AF237" s="134"/>
      <c r="AG237" s="301"/>
    </row>
    <row r="238" spans="1:33" ht="15.75">
      <c r="A238" s="302" t="s">
        <v>715</v>
      </c>
      <c r="B238" s="303">
        <v>5</v>
      </c>
      <c r="C238" s="303">
        <v>365</v>
      </c>
      <c r="D238" s="303" t="s">
        <v>570</v>
      </c>
      <c r="E238" s="303">
        <v>1.5</v>
      </c>
      <c r="F238" s="304">
        <v>45414.529861111114</v>
      </c>
      <c r="G238" s="303">
        <v>1</v>
      </c>
      <c r="H238" s="303">
        <v>51.374099999999999</v>
      </c>
      <c r="I238" s="303">
        <v>7.6328100000000001</v>
      </c>
      <c r="J238" s="303">
        <v>-21.643563</v>
      </c>
      <c r="K238" s="303">
        <v>-20.799581</v>
      </c>
      <c r="L238" s="303">
        <v>972.50800000000004</v>
      </c>
      <c r="M238" s="303">
        <v>154.00104099999999</v>
      </c>
      <c r="N238" s="303">
        <v>17557.107660000001</v>
      </c>
      <c r="O238" s="303">
        <v>17639.307799999999</v>
      </c>
      <c r="P238" s="305">
        <v>2069.0435550000002</v>
      </c>
      <c r="Q238" s="299">
        <f t="shared" si="0"/>
        <v>2069.0435550000002</v>
      </c>
      <c r="R238" s="300" t="s">
        <v>230</v>
      </c>
      <c r="S238" s="300" t="s">
        <v>12</v>
      </c>
      <c r="T238" s="305" t="s">
        <v>545</v>
      </c>
      <c r="U238" s="305">
        <v>15</v>
      </c>
      <c r="V238" s="305">
        <v>5</v>
      </c>
      <c r="W238" s="303">
        <v>0.7</v>
      </c>
      <c r="X238" s="303">
        <v>0.7</v>
      </c>
      <c r="Y238" s="303">
        <v>0.7</v>
      </c>
      <c r="Z238" s="303">
        <v>1700</v>
      </c>
      <c r="AA238" s="303" t="s">
        <v>531</v>
      </c>
      <c r="AB238" s="303">
        <v>0.85</v>
      </c>
      <c r="AC238" s="303" t="s">
        <v>532</v>
      </c>
      <c r="AD238" s="303" t="s">
        <v>533</v>
      </c>
      <c r="AE238" s="303">
        <v>220</v>
      </c>
      <c r="AF238" s="134"/>
      <c r="AG238" s="301"/>
    </row>
    <row r="239" spans="1:33" ht="15.75">
      <c r="A239" s="302" t="s">
        <v>716</v>
      </c>
      <c r="B239" s="303">
        <v>5</v>
      </c>
      <c r="C239" s="303">
        <v>365</v>
      </c>
      <c r="D239" s="303" t="s">
        <v>570</v>
      </c>
      <c r="E239" s="303">
        <v>1.5</v>
      </c>
      <c r="F239" s="304">
        <v>45414.53402777778</v>
      </c>
      <c r="G239" s="303">
        <v>1</v>
      </c>
      <c r="H239" s="303">
        <v>51.374099999999999</v>
      </c>
      <c r="I239" s="303">
        <v>7.7352400000000001</v>
      </c>
      <c r="J239" s="303">
        <v>-21.653444</v>
      </c>
      <c r="K239" s="303">
        <v>-20.830231000000001</v>
      </c>
      <c r="L239" s="303">
        <v>980.851</v>
      </c>
      <c r="M239" s="303">
        <v>168.50005200000001</v>
      </c>
      <c r="N239" s="303">
        <v>17625.928220000002</v>
      </c>
      <c r="O239" s="303">
        <v>17639.307799999999</v>
      </c>
      <c r="P239" s="305">
        <v>2069.0435550000002</v>
      </c>
      <c r="Q239" s="299">
        <f t="shared" si="0"/>
        <v>2069.0435550000002</v>
      </c>
      <c r="R239" s="300" t="s">
        <v>230</v>
      </c>
      <c r="S239" s="300" t="s">
        <v>12</v>
      </c>
      <c r="T239" s="305" t="s">
        <v>530</v>
      </c>
      <c r="U239" s="305">
        <v>15</v>
      </c>
      <c r="V239" s="305">
        <v>5</v>
      </c>
      <c r="W239" s="303">
        <v>0.7</v>
      </c>
      <c r="X239" s="303">
        <v>0.7</v>
      </c>
      <c r="Y239" s="303">
        <v>0.7</v>
      </c>
      <c r="Z239" s="303">
        <v>1700</v>
      </c>
      <c r="AA239" s="303" t="s">
        <v>531</v>
      </c>
      <c r="AB239" s="303">
        <v>0.85</v>
      </c>
      <c r="AC239" s="303" t="s">
        <v>532</v>
      </c>
      <c r="AD239" s="303" t="s">
        <v>533</v>
      </c>
      <c r="AE239" s="303">
        <v>220</v>
      </c>
      <c r="AF239" s="134"/>
      <c r="AG239" s="301"/>
    </row>
    <row r="240" spans="1:33" ht="15.75">
      <c r="A240" s="302" t="s">
        <v>717</v>
      </c>
      <c r="B240" s="303">
        <v>5</v>
      </c>
      <c r="C240" s="303">
        <v>365</v>
      </c>
      <c r="D240" s="303" t="s">
        <v>570</v>
      </c>
      <c r="E240" s="303">
        <v>1.5</v>
      </c>
      <c r="F240" s="304">
        <v>45414.538194444445</v>
      </c>
      <c r="G240" s="303">
        <v>1</v>
      </c>
      <c r="H240" s="303">
        <v>51.377400000000002</v>
      </c>
      <c r="I240" s="303">
        <v>7.7401799999999996</v>
      </c>
      <c r="J240" s="303">
        <v>-21.612644</v>
      </c>
      <c r="K240" s="303">
        <v>-20.796294</v>
      </c>
      <c r="L240" s="303">
        <v>963.04100000000005</v>
      </c>
      <c r="M240" s="303">
        <v>178.99912399999999</v>
      </c>
      <c r="N240" s="303">
        <v>17654.973129999998</v>
      </c>
      <c r="O240" s="303">
        <v>17639.307799999999</v>
      </c>
      <c r="P240" s="305">
        <v>2069.0435550000002</v>
      </c>
      <c r="Q240" s="299">
        <f t="shared" si="0"/>
        <v>2069.0435550000002</v>
      </c>
      <c r="R240" s="300" t="s">
        <v>230</v>
      </c>
      <c r="S240" s="300" t="s">
        <v>12</v>
      </c>
      <c r="T240" s="305" t="s">
        <v>530</v>
      </c>
      <c r="U240" s="305">
        <v>15</v>
      </c>
      <c r="V240" s="305">
        <v>5</v>
      </c>
      <c r="W240" s="303">
        <v>0.7</v>
      </c>
      <c r="X240" s="303">
        <v>0.7</v>
      </c>
      <c r="Y240" s="303">
        <v>0.7</v>
      </c>
      <c r="Z240" s="303">
        <v>1700</v>
      </c>
      <c r="AA240" s="303" t="s">
        <v>531</v>
      </c>
      <c r="AB240" s="303">
        <v>0.85</v>
      </c>
      <c r="AC240" s="303" t="s">
        <v>532</v>
      </c>
      <c r="AD240" s="303" t="s">
        <v>533</v>
      </c>
      <c r="AE240" s="303">
        <v>220</v>
      </c>
      <c r="AF240" s="134"/>
      <c r="AG240" s="301"/>
    </row>
    <row r="241" spans="1:33" ht="15.75">
      <c r="A241" s="302" t="s">
        <v>718</v>
      </c>
      <c r="B241" s="303">
        <v>5</v>
      </c>
      <c r="C241" s="303">
        <v>365</v>
      </c>
      <c r="D241" s="303" t="s">
        <v>570</v>
      </c>
      <c r="E241" s="303">
        <v>1.5</v>
      </c>
      <c r="F241" s="304">
        <v>45414.542361111111</v>
      </c>
      <c r="G241" s="303">
        <v>1</v>
      </c>
      <c r="H241" s="303">
        <v>51.374099999999999</v>
      </c>
      <c r="I241" s="303">
        <v>7.7503599999999997</v>
      </c>
      <c r="J241" s="303">
        <v>-21.636925000000002</v>
      </c>
      <c r="K241" s="303">
        <v>-20.803812000000001</v>
      </c>
      <c r="L241" s="303">
        <v>975.85500000000002</v>
      </c>
      <c r="M241" s="303">
        <v>117.99923099999999</v>
      </c>
      <c r="N241" s="303">
        <v>17637.022059999999</v>
      </c>
      <c r="O241" s="303">
        <v>17639.307799999999</v>
      </c>
      <c r="P241" s="305">
        <v>2069.0435550000002</v>
      </c>
      <c r="Q241" s="299">
        <f t="shared" si="0"/>
        <v>2069.0435550000002</v>
      </c>
      <c r="R241" s="300" t="s">
        <v>230</v>
      </c>
      <c r="S241" s="300" t="s">
        <v>12</v>
      </c>
      <c r="T241" s="305" t="s">
        <v>530</v>
      </c>
      <c r="U241" s="305">
        <v>15</v>
      </c>
      <c r="V241" s="305">
        <v>5</v>
      </c>
      <c r="W241" s="303">
        <v>0.7</v>
      </c>
      <c r="X241" s="303">
        <v>0.7</v>
      </c>
      <c r="Y241" s="303">
        <v>0.7</v>
      </c>
      <c r="Z241" s="303">
        <v>1700</v>
      </c>
      <c r="AA241" s="303" t="s">
        <v>531</v>
      </c>
      <c r="AB241" s="303">
        <v>0.85</v>
      </c>
      <c r="AC241" s="303" t="s">
        <v>532</v>
      </c>
      <c r="AD241" s="303" t="s">
        <v>533</v>
      </c>
      <c r="AE241" s="303">
        <v>220</v>
      </c>
      <c r="AF241" s="134"/>
      <c r="AG241" s="301"/>
    </row>
    <row r="242" spans="1:33" ht="15.75">
      <c r="A242" s="302" t="s">
        <v>657</v>
      </c>
      <c r="B242" s="303">
        <v>6</v>
      </c>
      <c r="C242" s="303">
        <v>222</v>
      </c>
      <c r="D242" s="303" t="s">
        <v>575</v>
      </c>
      <c r="E242" s="303">
        <v>1.5</v>
      </c>
      <c r="F242" s="304">
        <v>45414.54583333333</v>
      </c>
      <c r="G242" s="303">
        <v>1</v>
      </c>
      <c r="H242" s="303">
        <v>51.370800000000003</v>
      </c>
      <c r="I242" s="303">
        <v>7.7303800000000003</v>
      </c>
      <c r="J242" s="303">
        <v>-21.588950000000001</v>
      </c>
      <c r="K242" s="303">
        <v>-20.739668999999999</v>
      </c>
      <c r="L242" s="303">
        <v>976.43100000000004</v>
      </c>
      <c r="M242" s="303">
        <v>132.99958799999999</v>
      </c>
      <c r="N242" s="303">
        <v>17554.887340000001</v>
      </c>
      <c r="O242" s="303">
        <v>17559.828990000002</v>
      </c>
      <c r="P242" s="305">
        <v>2059.8407390000002</v>
      </c>
      <c r="Q242" s="299">
        <f t="shared" si="0"/>
        <v>2059.8407390000002</v>
      </c>
      <c r="R242" s="300" t="s">
        <v>230</v>
      </c>
      <c r="S242" s="300" t="s">
        <v>12</v>
      </c>
      <c r="T242" s="305" t="s">
        <v>530</v>
      </c>
      <c r="U242" s="305">
        <v>15</v>
      </c>
      <c r="V242" s="305">
        <v>5</v>
      </c>
      <c r="W242" s="303">
        <v>0.7</v>
      </c>
      <c r="X242" s="303">
        <v>0.7</v>
      </c>
      <c r="Y242" s="303">
        <v>0.7</v>
      </c>
      <c r="Z242" s="303">
        <v>1700</v>
      </c>
      <c r="AA242" s="303" t="s">
        <v>531</v>
      </c>
      <c r="AB242" s="303">
        <v>0.85</v>
      </c>
      <c r="AC242" s="303" t="s">
        <v>532</v>
      </c>
      <c r="AD242" s="303" t="s">
        <v>533</v>
      </c>
      <c r="AE242" s="303">
        <v>220</v>
      </c>
      <c r="AF242" s="134"/>
      <c r="AG242" s="301"/>
    </row>
    <row r="243" spans="1:33" ht="15.75">
      <c r="A243" s="302" t="s">
        <v>719</v>
      </c>
      <c r="B243" s="303">
        <v>6</v>
      </c>
      <c r="C243" s="303">
        <v>222</v>
      </c>
      <c r="D243" s="303" t="s">
        <v>575</v>
      </c>
      <c r="E243" s="303">
        <v>1.5</v>
      </c>
      <c r="F243" s="304">
        <v>45414.55</v>
      </c>
      <c r="G243" s="303">
        <v>1</v>
      </c>
      <c r="H243" s="303">
        <v>51.370800000000003</v>
      </c>
      <c r="I243" s="303">
        <v>7.5791500000000003</v>
      </c>
      <c r="J243" s="303">
        <v>-21.540606</v>
      </c>
      <c r="K243" s="303">
        <v>-20.711024999999999</v>
      </c>
      <c r="L243" s="303">
        <v>976.04700000000003</v>
      </c>
      <c r="M243" s="303">
        <v>124.49946799999999</v>
      </c>
      <c r="N243" s="303">
        <v>17547.846030000001</v>
      </c>
      <c r="O243" s="303">
        <v>17559.828990000002</v>
      </c>
      <c r="P243" s="305">
        <v>2059.8407390000002</v>
      </c>
      <c r="Q243" s="299">
        <f t="shared" si="0"/>
        <v>2059.8407390000002</v>
      </c>
      <c r="R243" s="300" t="s">
        <v>230</v>
      </c>
      <c r="S243" s="300" t="s">
        <v>12</v>
      </c>
      <c r="T243" s="305" t="s">
        <v>530</v>
      </c>
      <c r="U243" s="305">
        <v>15</v>
      </c>
      <c r="V243" s="305">
        <v>5</v>
      </c>
      <c r="W243" s="303">
        <v>0.7</v>
      </c>
      <c r="X243" s="303">
        <v>0.7</v>
      </c>
      <c r="Y243" s="303">
        <v>0.7</v>
      </c>
      <c r="Z243" s="303">
        <v>1700</v>
      </c>
      <c r="AA243" s="303" t="s">
        <v>531</v>
      </c>
      <c r="AB243" s="303">
        <v>0.85</v>
      </c>
      <c r="AC243" s="303" t="s">
        <v>532</v>
      </c>
      <c r="AD243" s="303" t="s">
        <v>533</v>
      </c>
      <c r="AE243" s="303">
        <v>220</v>
      </c>
      <c r="AF243" s="134"/>
      <c r="AG243" s="301"/>
    </row>
    <row r="244" spans="1:33" ht="15.75">
      <c r="A244" s="302" t="s">
        <v>720</v>
      </c>
      <c r="B244" s="303">
        <v>6</v>
      </c>
      <c r="C244" s="303">
        <v>222</v>
      </c>
      <c r="D244" s="303" t="s">
        <v>575</v>
      </c>
      <c r="E244" s="303">
        <v>1.5</v>
      </c>
      <c r="F244" s="304">
        <v>45414.553472222222</v>
      </c>
      <c r="G244" s="303">
        <v>1</v>
      </c>
      <c r="H244" s="303">
        <v>51.370800000000003</v>
      </c>
      <c r="I244" s="303">
        <v>7.5736699999999999</v>
      </c>
      <c r="J244" s="303">
        <v>-21.513081</v>
      </c>
      <c r="K244" s="303">
        <v>-20.670313</v>
      </c>
      <c r="L244" s="303">
        <v>976.49</v>
      </c>
      <c r="M244" s="303">
        <v>128.50005100000001</v>
      </c>
      <c r="N244" s="303">
        <v>17606.372019999999</v>
      </c>
      <c r="O244" s="303">
        <v>17559.828990000002</v>
      </c>
      <c r="P244" s="305">
        <v>2059.8407390000002</v>
      </c>
      <c r="Q244" s="299">
        <f t="shared" si="0"/>
        <v>2059.8407390000002</v>
      </c>
      <c r="R244" s="300" t="s">
        <v>230</v>
      </c>
      <c r="S244" s="300" t="s">
        <v>12</v>
      </c>
      <c r="T244" s="305" t="s">
        <v>545</v>
      </c>
      <c r="U244" s="305">
        <v>15</v>
      </c>
      <c r="V244" s="305">
        <v>5</v>
      </c>
      <c r="W244" s="303">
        <v>0.7</v>
      </c>
      <c r="X244" s="303">
        <v>0.7</v>
      </c>
      <c r="Y244" s="303">
        <v>0.7</v>
      </c>
      <c r="Z244" s="303">
        <v>1700</v>
      </c>
      <c r="AA244" s="303" t="s">
        <v>531</v>
      </c>
      <c r="AB244" s="303">
        <v>0.85</v>
      </c>
      <c r="AC244" s="303" t="s">
        <v>532</v>
      </c>
      <c r="AD244" s="303" t="s">
        <v>533</v>
      </c>
      <c r="AE244" s="303">
        <v>220</v>
      </c>
      <c r="AF244" s="134"/>
      <c r="AG244" s="301"/>
    </row>
    <row r="245" spans="1:33" ht="15.75">
      <c r="A245" s="302" t="s">
        <v>721</v>
      </c>
      <c r="B245" s="303">
        <v>6</v>
      </c>
      <c r="C245" s="303">
        <v>222</v>
      </c>
      <c r="D245" s="303" t="s">
        <v>575</v>
      </c>
      <c r="E245" s="303">
        <v>1.5</v>
      </c>
      <c r="F245" s="304">
        <v>45414.556944444441</v>
      </c>
      <c r="G245" s="303">
        <v>1</v>
      </c>
      <c r="H245" s="303">
        <v>51.377400000000002</v>
      </c>
      <c r="I245" s="303">
        <v>7.6460999999999997</v>
      </c>
      <c r="J245" s="303">
        <v>-21.564268999999999</v>
      </c>
      <c r="K245" s="303">
        <v>-20.715019000000002</v>
      </c>
      <c r="L245" s="303">
        <v>978.72799999999995</v>
      </c>
      <c r="M245" s="303">
        <v>124.999297</v>
      </c>
      <c r="N245" s="303">
        <v>17576.75359</v>
      </c>
      <c r="O245" s="303">
        <v>17559.828990000002</v>
      </c>
      <c r="P245" s="305">
        <v>2059.8407390000002</v>
      </c>
      <c r="Q245" s="299">
        <f t="shared" si="0"/>
        <v>2059.8407390000002</v>
      </c>
      <c r="R245" s="300" t="s">
        <v>230</v>
      </c>
      <c r="S245" s="300" t="s">
        <v>12</v>
      </c>
      <c r="T245" s="305" t="s">
        <v>530</v>
      </c>
      <c r="U245" s="305">
        <v>15</v>
      </c>
      <c r="V245" s="305">
        <v>5</v>
      </c>
      <c r="W245" s="303">
        <v>0.7</v>
      </c>
      <c r="X245" s="303">
        <v>0.7</v>
      </c>
      <c r="Y245" s="303">
        <v>0.7</v>
      </c>
      <c r="Z245" s="303">
        <v>1700</v>
      </c>
      <c r="AA245" s="303" t="s">
        <v>531</v>
      </c>
      <c r="AB245" s="303">
        <v>0.85</v>
      </c>
      <c r="AC245" s="303" t="s">
        <v>532</v>
      </c>
      <c r="AD245" s="303" t="s">
        <v>533</v>
      </c>
      <c r="AE245" s="303">
        <v>220</v>
      </c>
      <c r="AF245" s="134"/>
      <c r="AG245" s="301"/>
    </row>
    <row r="246" spans="1:33" ht="15.75">
      <c r="A246" s="302" t="s">
        <v>557</v>
      </c>
      <c r="B246" s="303">
        <v>7</v>
      </c>
      <c r="C246" s="303">
        <v>223</v>
      </c>
      <c r="D246" s="303" t="s">
        <v>581</v>
      </c>
      <c r="E246" s="303">
        <v>1.5</v>
      </c>
      <c r="F246" s="304">
        <v>45414.561111111114</v>
      </c>
      <c r="G246" s="303">
        <v>1</v>
      </c>
      <c r="H246" s="303">
        <v>51.377400000000002</v>
      </c>
      <c r="I246" s="303">
        <v>7.7417999999999996</v>
      </c>
      <c r="J246" s="303">
        <v>-21.639368999999999</v>
      </c>
      <c r="K246" s="303">
        <v>-20.801030999999998</v>
      </c>
      <c r="L246" s="303">
        <v>967.38800000000003</v>
      </c>
      <c r="M246" s="303">
        <v>127.999256</v>
      </c>
      <c r="N246" s="303">
        <v>17563.982919999999</v>
      </c>
      <c r="O246" s="303">
        <v>17570.810740000001</v>
      </c>
      <c r="P246" s="305">
        <v>2061.1123109999999</v>
      </c>
      <c r="Q246" s="299">
        <f t="shared" si="0"/>
        <v>2061.1123109999999</v>
      </c>
      <c r="R246" s="300" t="s">
        <v>230</v>
      </c>
      <c r="S246" s="300" t="s">
        <v>12</v>
      </c>
      <c r="T246" s="305" t="s">
        <v>530</v>
      </c>
      <c r="U246" s="305">
        <v>15</v>
      </c>
      <c r="V246" s="305">
        <v>5</v>
      </c>
      <c r="W246" s="303">
        <v>0.7</v>
      </c>
      <c r="X246" s="303">
        <v>0.7</v>
      </c>
      <c r="Y246" s="303">
        <v>0.7</v>
      </c>
      <c r="Z246" s="303">
        <v>1700</v>
      </c>
      <c r="AA246" s="303" t="s">
        <v>531</v>
      </c>
      <c r="AB246" s="303">
        <v>0.85</v>
      </c>
      <c r="AC246" s="303" t="s">
        <v>532</v>
      </c>
      <c r="AD246" s="303" t="s">
        <v>533</v>
      </c>
      <c r="AE246" s="303">
        <v>220</v>
      </c>
      <c r="AF246" s="134"/>
      <c r="AG246" s="301"/>
    </row>
    <row r="247" spans="1:33" ht="15.75">
      <c r="A247" s="302" t="s">
        <v>558</v>
      </c>
      <c r="B247" s="303">
        <v>7</v>
      </c>
      <c r="C247" s="303">
        <v>223</v>
      </c>
      <c r="D247" s="303" t="s">
        <v>581</v>
      </c>
      <c r="E247" s="303">
        <v>1.5</v>
      </c>
      <c r="F247" s="304">
        <v>45414.56527777778</v>
      </c>
      <c r="G247" s="303">
        <v>1</v>
      </c>
      <c r="H247" s="303">
        <v>51.374099999999999</v>
      </c>
      <c r="I247" s="303">
        <v>7.7063499999999996</v>
      </c>
      <c r="J247" s="303">
        <v>-21.589024999999999</v>
      </c>
      <c r="K247" s="303">
        <v>-20.742668999999999</v>
      </c>
      <c r="L247" s="303">
        <v>978.43600000000004</v>
      </c>
      <c r="M247" s="303">
        <v>124.500759</v>
      </c>
      <c r="N247" s="303">
        <v>17573.487089999999</v>
      </c>
      <c r="O247" s="303">
        <v>17570.810740000001</v>
      </c>
      <c r="P247" s="305">
        <v>2061.1123109999999</v>
      </c>
      <c r="Q247" s="299">
        <f t="shared" si="0"/>
        <v>2061.1123109999999</v>
      </c>
      <c r="R247" s="300" t="s">
        <v>230</v>
      </c>
      <c r="S247" s="300" t="s">
        <v>12</v>
      </c>
      <c r="T247" s="305" t="s">
        <v>530</v>
      </c>
      <c r="U247" s="305">
        <v>15</v>
      </c>
      <c r="V247" s="305">
        <v>5</v>
      </c>
      <c r="W247" s="303">
        <v>0.7</v>
      </c>
      <c r="X247" s="303">
        <v>0.7</v>
      </c>
      <c r="Y247" s="303">
        <v>0.7</v>
      </c>
      <c r="Z247" s="303">
        <v>1700</v>
      </c>
      <c r="AA247" s="303" t="s">
        <v>531</v>
      </c>
      <c r="AB247" s="303">
        <v>0.85</v>
      </c>
      <c r="AC247" s="303" t="s">
        <v>532</v>
      </c>
      <c r="AD247" s="303" t="s">
        <v>533</v>
      </c>
      <c r="AE247" s="303">
        <v>220</v>
      </c>
      <c r="AF247" s="134"/>
      <c r="AG247" s="301"/>
    </row>
    <row r="248" spans="1:33" ht="15.75">
      <c r="A248" s="302" t="s">
        <v>559</v>
      </c>
      <c r="B248" s="303">
        <v>7</v>
      </c>
      <c r="C248" s="303">
        <v>223</v>
      </c>
      <c r="D248" s="303" t="s">
        <v>581</v>
      </c>
      <c r="E248" s="303">
        <v>1.5</v>
      </c>
      <c r="F248" s="304">
        <v>45414.568749999999</v>
      </c>
      <c r="G248" s="303">
        <v>1</v>
      </c>
      <c r="H248" s="303">
        <v>51.370800000000003</v>
      </c>
      <c r="I248" s="303">
        <v>7.6650600000000004</v>
      </c>
      <c r="J248" s="303">
        <v>-21.556868999999999</v>
      </c>
      <c r="K248" s="303">
        <v>-20.716305999999999</v>
      </c>
      <c r="L248" s="303">
        <v>970.79100000000005</v>
      </c>
      <c r="M248" s="303">
        <v>113.998572</v>
      </c>
      <c r="N248" s="303">
        <v>17481.699229999998</v>
      </c>
      <c r="O248" s="303">
        <v>17570.810740000001</v>
      </c>
      <c r="P248" s="305">
        <v>2061.1123109999999</v>
      </c>
      <c r="Q248" s="299">
        <f t="shared" si="0"/>
        <v>2061.1123109999999</v>
      </c>
      <c r="R248" s="300" t="s">
        <v>230</v>
      </c>
      <c r="S248" s="300" t="s">
        <v>12</v>
      </c>
      <c r="T248" s="305" t="s">
        <v>545</v>
      </c>
      <c r="U248" s="305">
        <v>15</v>
      </c>
      <c r="V248" s="305">
        <v>5</v>
      </c>
      <c r="W248" s="303">
        <v>0.7</v>
      </c>
      <c r="X248" s="303">
        <v>0.7</v>
      </c>
      <c r="Y248" s="303">
        <v>0.7</v>
      </c>
      <c r="Z248" s="303">
        <v>1700</v>
      </c>
      <c r="AA248" s="303" t="s">
        <v>531</v>
      </c>
      <c r="AB248" s="303">
        <v>0.85</v>
      </c>
      <c r="AC248" s="303" t="s">
        <v>532</v>
      </c>
      <c r="AD248" s="303" t="s">
        <v>533</v>
      </c>
      <c r="AE248" s="303">
        <v>220</v>
      </c>
      <c r="AF248" s="134"/>
      <c r="AG248" s="301"/>
    </row>
    <row r="249" spans="1:33" ht="15.75">
      <c r="A249" s="302" t="s">
        <v>722</v>
      </c>
      <c r="B249" s="303">
        <v>7</v>
      </c>
      <c r="C249" s="303">
        <v>223</v>
      </c>
      <c r="D249" s="303" t="s">
        <v>581</v>
      </c>
      <c r="E249" s="303">
        <v>1.5</v>
      </c>
      <c r="F249" s="304">
        <v>45414.572222222225</v>
      </c>
      <c r="G249" s="303">
        <v>1</v>
      </c>
      <c r="H249" s="303">
        <v>51.3675</v>
      </c>
      <c r="I249" s="303">
        <v>7.6889000000000003</v>
      </c>
      <c r="J249" s="303">
        <v>-21.673093999999999</v>
      </c>
      <c r="K249" s="303">
        <v>-20.836594000000002</v>
      </c>
      <c r="L249" s="303">
        <v>975.23699999999997</v>
      </c>
      <c r="M249" s="303">
        <v>125.00077899999999</v>
      </c>
      <c r="N249" s="303">
        <v>17598.83828</v>
      </c>
      <c r="O249" s="303">
        <v>17570.810740000001</v>
      </c>
      <c r="P249" s="305">
        <v>2061.1123109999999</v>
      </c>
      <c r="Q249" s="299">
        <f t="shared" si="0"/>
        <v>2061.1123109999999</v>
      </c>
      <c r="R249" s="300" t="s">
        <v>230</v>
      </c>
      <c r="S249" s="300" t="s">
        <v>12</v>
      </c>
      <c r="T249" s="305" t="s">
        <v>545</v>
      </c>
      <c r="U249" s="305">
        <v>15</v>
      </c>
      <c r="V249" s="305">
        <v>5</v>
      </c>
      <c r="W249" s="303">
        <v>0.7</v>
      </c>
      <c r="X249" s="303">
        <v>0.7</v>
      </c>
      <c r="Y249" s="303">
        <v>0.7</v>
      </c>
      <c r="Z249" s="303">
        <v>1700</v>
      </c>
      <c r="AA249" s="303" t="s">
        <v>531</v>
      </c>
      <c r="AB249" s="303">
        <v>0.85</v>
      </c>
      <c r="AC249" s="303" t="s">
        <v>532</v>
      </c>
      <c r="AD249" s="303" t="s">
        <v>533</v>
      </c>
      <c r="AE249" s="303">
        <v>220</v>
      </c>
      <c r="AF249" s="134"/>
      <c r="AG249" s="301"/>
    </row>
    <row r="250" spans="1:33" ht="15.75">
      <c r="A250" s="302" t="s">
        <v>723</v>
      </c>
      <c r="B250" s="303">
        <v>7</v>
      </c>
      <c r="C250" s="303">
        <v>223</v>
      </c>
      <c r="D250" s="303" t="s">
        <v>581</v>
      </c>
      <c r="E250" s="303">
        <v>1.5</v>
      </c>
      <c r="F250" s="304">
        <v>45414.575694444444</v>
      </c>
      <c r="G250" s="303">
        <v>1</v>
      </c>
      <c r="H250" s="303">
        <v>51.3675</v>
      </c>
      <c r="I250" s="303">
        <v>7.7387600000000001</v>
      </c>
      <c r="J250" s="303">
        <v>-21.582863</v>
      </c>
      <c r="K250" s="303">
        <v>-20.73535</v>
      </c>
      <c r="L250" s="303">
        <v>970.553</v>
      </c>
      <c r="M250" s="303">
        <v>121.99946</v>
      </c>
      <c r="N250" s="303">
        <v>17574.962220000001</v>
      </c>
      <c r="O250" s="303">
        <v>17570.810740000001</v>
      </c>
      <c r="P250" s="305">
        <v>2061.1123109999999</v>
      </c>
      <c r="Q250" s="299">
        <f t="shared" si="0"/>
        <v>2061.1123109999999</v>
      </c>
      <c r="R250" s="300" t="s">
        <v>230</v>
      </c>
      <c r="S250" s="300" t="s">
        <v>12</v>
      </c>
      <c r="T250" s="305" t="s">
        <v>530</v>
      </c>
      <c r="U250" s="305">
        <v>15</v>
      </c>
      <c r="V250" s="305">
        <v>5</v>
      </c>
      <c r="W250" s="303">
        <v>0.7</v>
      </c>
      <c r="X250" s="303">
        <v>0.7</v>
      </c>
      <c r="Y250" s="303">
        <v>0.7</v>
      </c>
      <c r="Z250" s="303">
        <v>1700</v>
      </c>
      <c r="AA250" s="303" t="s">
        <v>531</v>
      </c>
      <c r="AB250" s="303">
        <v>0.85</v>
      </c>
      <c r="AC250" s="303" t="s">
        <v>532</v>
      </c>
      <c r="AD250" s="303" t="s">
        <v>533</v>
      </c>
      <c r="AE250" s="303">
        <v>220</v>
      </c>
      <c r="AF250" s="134"/>
      <c r="AG250" s="301"/>
    </row>
    <row r="251" spans="1:33" ht="15.75">
      <c r="A251" s="302" t="s">
        <v>560</v>
      </c>
      <c r="B251" s="303">
        <v>8</v>
      </c>
      <c r="C251" s="303">
        <v>235</v>
      </c>
      <c r="D251" s="303" t="s">
        <v>594</v>
      </c>
      <c r="E251" s="303">
        <v>1.5</v>
      </c>
      <c r="F251" s="304">
        <v>45414.579861111109</v>
      </c>
      <c r="G251" s="303">
        <v>1</v>
      </c>
      <c r="H251" s="303">
        <v>51.374099999999999</v>
      </c>
      <c r="I251" s="303">
        <v>7.7576000000000001</v>
      </c>
      <c r="J251" s="303">
        <v>-21.602544000000002</v>
      </c>
      <c r="K251" s="303">
        <v>-20.772625000000001</v>
      </c>
      <c r="L251" s="303">
        <v>984.23800000000006</v>
      </c>
      <c r="M251" s="303">
        <v>120.000249</v>
      </c>
      <c r="N251" s="303">
        <v>17591.678390000001</v>
      </c>
      <c r="O251" s="303">
        <v>17585.756089999999</v>
      </c>
      <c r="P251" s="305">
        <v>2062.8428269999999</v>
      </c>
      <c r="Q251" s="299">
        <f t="shared" si="0"/>
        <v>2062.8428269999999</v>
      </c>
      <c r="R251" s="300" t="s">
        <v>230</v>
      </c>
      <c r="S251" s="300" t="s">
        <v>12</v>
      </c>
      <c r="T251" s="305" t="s">
        <v>530</v>
      </c>
      <c r="U251" s="305">
        <v>15</v>
      </c>
      <c r="V251" s="305">
        <v>5</v>
      </c>
      <c r="W251" s="303">
        <v>0.7</v>
      </c>
      <c r="X251" s="303">
        <v>0.7</v>
      </c>
      <c r="Y251" s="303">
        <v>0.7</v>
      </c>
      <c r="Z251" s="303">
        <v>1700</v>
      </c>
      <c r="AA251" s="303" t="s">
        <v>531</v>
      </c>
      <c r="AB251" s="303">
        <v>0.85</v>
      </c>
      <c r="AC251" s="303" t="s">
        <v>532</v>
      </c>
      <c r="AD251" s="303" t="s">
        <v>533</v>
      </c>
      <c r="AE251" s="303">
        <v>220</v>
      </c>
      <c r="AF251" s="134"/>
      <c r="AG251" s="301"/>
    </row>
    <row r="252" spans="1:33" ht="15.75">
      <c r="A252" s="302" t="s">
        <v>562</v>
      </c>
      <c r="B252" s="303">
        <v>8</v>
      </c>
      <c r="C252" s="303">
        <v>235</v>
      </c>
      <c r="D252" s="303" t="s">
        <v>594</v>
      </c>
      <c r="E252" s="303">
        <v>1.5</v>
      </c>
      <c r="F252" s="304">
        <v>45414.583333333336</v>
      </c>
      <c r="G252" s="303">
        <v>1</v>
      </c>
      <c r="H252" s="303">
        <v>51.3675</v>
      </c>
      <c r="I252" s="303">
        <v>7.5908499999999997</v>
      </c>
      <c r="J252" s="303">
        <v>-21.562719000000001</v>
      </c>
      <c r="K252" s="303">
        <v>-20.723936999999999</v>
      </c>
      <c r="L252" s="303">
        <v>966.38199999999995</v>
      </c>
      <c r="M252" s="303">
        <v>158.50260599999999</v>
      </c>
      <c r="N252" s="303">
        <v>17593.5478</v>
      </c>
      <c r="O252" s="303">
        <v>17585.756089999999</v>
      </c>
      <c r="P252" s="305">
        <v>2062.8428269999999</v>
      </c>
      <c r="Q252" s="299">
        <f t="shared" si="0"/>
        <v>2062.8428269999999</v>
      </c>
      <c r="R252" s="300" t="s">
        <v>230</v>
      </c>
      <c r="S252" s="300" t="s">
        <v>12</v>
      </c>
      <c r="T252" s="305" t="s">
        <v>530</v>
      </c>
      <c r="U252" s="305">
        <v>15</v>
      </c>
      <c r="V252" s="305">
        <v>5</v>
      </c>
      <c r="W252" s="303">
        <v>0.7</v>
      </c>
      <c r="X252" s="303">
        <v>0.7</v>
      </c>
      <c r="Y252" s="303">
        <v>0.7</v>
      </c>
      <c r="Z252" s="303">
        <v>1700</v>
      </c>
      <c r="AA252" s="303" t="s">
        <v>531</v>
      </c>
      <c r="AB252" s="303">
        <v>0.85</v>
      </c>
      <c r="AC252" s="303" t="s">
        <v>532</v>
      </c>
      <c r="AD252" s="303" t="s">
        <v>533</v>
      </c>
      <c r="AE252" s="303">
        <v>220</v>
      </c>
      <c r="AF252" s="134"/>
      <c r="AG252" s="301"/>
    </row>
    <row r="253" spans="1:33" ht="15.75">
      <c r="A253" s="302" t="s">
        <v>563</v>
      </c>
      <c r="B253" s="303">
        <v>8</v>
      </c>
      <c r="C253" s="303">
        <v>235</v>
      </c>
      <c r="D253" s="303" t="s">
        <v>594</v>
      </c>
      <c r="E253" s="303">
        <v>1.5</v>
      </c>
      <c r="F253" s="304">
        <v>45414.587500000001</v>
      </c>
      <c r="G253" s="303">
        <v>1</v>
      </c>
      <c r="H253" s="303">
        <v>51.370800000000003</v>
      </c>
      <c r="I253" s="303">
        <v>7.7739200000000004</v>
      </c>
      <c r="J253" s="303">
        <v>-21.574093999999999</v>
      </c>
      <c r="K253" s="303">
        <v>-20.726388</v>
      </c>
      <c r="L253" s="303">
        <v>979.84799999999996</v>
      </c>
      <c r="M253" s="303">
        <v>111.99951799999999</v>
      </c>
      <c r="N253" s="303">
        <v>17572.042079999999</v>
      </c>
      <c r="O253" s="303">
        <v>17585.756089999999</v>
      </c>
      <c r="P253" s="305">
        <v>2062.8428269999999</v>
      </c>
      <c r="Q253" s="299">
        <f t="shared" si="0"/>
        <v>2062.8428269999999</v>
      </c>
      <c r="R253" s="300" t="s">
        <v>230</v>
      </c>
      <c r="S253" s="300" t="s">
        <v>12</v>
      </c>
      <c r="T253" s="305" t="s">
        <v>530</v>
      </c>
      <c r="U253" s="305">
        <v>15</v>
      </c>
      <c r="V253" s="305">
        <v>5</v>
      </c>
      <c r="W253" s="303">
        <v>0.7</v>
      </c>
      <c r="X253" s="303">
        <v>0.7</v>
      </c>
      <c r="Y253" s="303">
        <v>0.7</v>
      </c>
      <c r="Z253" s="303">
        <v>1700</v>
      </c>
      <c r="AA253" s="303" t="s">
        <v>531</v>
      </c>
      <c r="AB253" s="303">
        <v>0.85</v>
      </c>
      <c r="AC253" s="303" t="s">
        <v>532</v>
      </c>
      <c r="AD253" s="303" t="s">
        <v>533</v>
      </c>
      <c r="AE253" s="303">
        <v>220</v>
      </c>
      <c r="AF253" s="134"/>
      <c r="AG253" s="301"/>
    </row>
    <row r="254" spans="1:33" ht="15.75">
      <c r="A254" s="318" t="s">
        <v>564</v>
      </c>
      <c r="B254" s="319">
        <v>9</v>
      </c>
      <c r="C254" s="319">
        <v>236</v>
      </c>
      <c r="D254" s="319" t="s">
        <v>598</v>
      </c>
      <c r="E254" s="319">
        <v>1.5</v>
      </c>
      <c r="F254" s="320">
        <v>45414.59097222222</v>
      </c>
      <c r="G254" s="319">
        <v>1</v>
      </c>
      <c r="H254" s="319">
        <v>51.374099999999999</v>
      </c>
      <c r="I254" s="319">
        <v>7.6593799999999996</v>
      </c>
      <c r="J254" s="319">
        <v>-21.603743999999999</v>
      </c>
      <c r="K254" s="319">
        <v>-20.760169000000001</v>
      </c>
      <c r="L254" s="319">
        <v>974.88300000000004</v>
      </c>
      <c r="M254" s="319">
        <v>136.99985599999999</v>
      </c>
      <c r="N254" s="319">
        <v>17517.456870000002</v>
      </c>
      <c r="O254" s="319">
        <v>0</v>
      </c>
      <c r="P254" s="321">
        <v>0</v>
      </c>
      <c r="Q254" s="299">
        <f t="shared" si="0"/>
        <v>0</v>
      </c>
      <c r="R254" s="300" t="s">
        <v>230</v>
      </c>
      <c r="S254" s="300" t="s">
        <v>582</v>
      </c>
      <c r="T254" s="321" t="s">
        <v>583</v>
      </c>
      <c r="U254" s="305">
        <v>15</v>
      </c>
      <c r="V254" s="305">
        <v>5</v>
      </c>
      <c r="W254" s="303">
        <v>0.7</v>
      </c>
      <c r="X254" s="303">
        <v>0.7</v>
      </c>
      <c r="Y254" s="303">
        <v>0.7</v>
      </c>
      <c r="Z254" s="303">
        <v>1700</v>
      </c>
      <c r="AA254" s="303" t="s">
        <v>531</v>
      </c>
      <c r="AB254" s="303">
        <v>0.85</v>
      </c>
      <c r="AC254" s="303" t="s">
        <v>532</v>
      </c>
      <c r="AD254" s="303" t="s">
        <v>533</v>
      </c>
      <c r="AE254" s="303">
        <v>220</v>
      </c>
      <c r="AF254" s="134"/>
      <c r="AG254" s="301"/>
    </row>
    <row r="255" spans="1:33" ht="15.75">
      <c r="A255" s="318" t="s">
        <v>566</v>
      </c>
      <c r="B255" s="319">
        <v>9</v>
      </c>
      <c r="C255" s="319">
        <v>236</v>
      </c>
      <c r="D255" s="319" t="s">
        <v>598</v>
      </c>
      <c r="E255" s="319">
        <v>1.5</v>
      </c>
      <c r="F255" s="320">
        <v>45414.595138888886</v>
      </c>
      <c r="G255" s="319">
        <v>1</v>
      </c>
      <c r="H255" s="319">
        <v>51.374099999999999</v>
      </c>
      <c r="I255" s="319">
        <v>7.7199900000000001</v>
      </c>
      <c r="J255" s="319">
        <v>-21.612831</v>
      </c>
      <c r="K255" s="319">
        <v>-20.782243999999999</v>
      </c>
      <c r="L255" s="319">
        <v>967.33699999999999</v>
      </c>
      <c r="M255" s="319">
        <v>127.499394</v>
      </c>
      <c r="N255" s="319">
        <v>17603.905589999998</v>
      </c>
      <c r="O255" s="319">
        <v>0</v>
      </c>
      <c r="P255" s="321">
        <v>0</v>
      </c>
      <c r="Q255" s="299">
        <f t="shared" si="0"/>
        <v>0</v>
      </c>
      <c r="R255" s="300" t="s">
        <v>230</v>
      </c>
      <c r="S255" s="300" t="s">
        <v>582</v>
      </c>
      <c r="T255" s="321" t="s">
        <v>583</v>
      </c>
      <c r="U255" s="305">
        <v>15</v>
      </c>
      <c r="V255" s="305">
        <v>5</v>
      </c>
      <c r="W255" s="303">
        <v>0.7</v>
      </c>
      <c r="X255" s="303">
        <v>0.7</v>
      </c>
      <c r="Y255" s="303">
        <v>0.7</v>
      </c>
      <c r="Z255" s="303">
        <v>1700</v>
      </c>
      <c r="AA255" s="303" t="s">
        <v>531</v>
      </c>
      <c r="AB255" s="303">
        <v>0.85</v>
      </c>
      <c r="AC255" s="303" t="s">
        <v>532</v>
      </c>
      <c r="AD255" s="303" t="s">
        <v>533</v>
      </c>
      <c r="AE255" s="303">
        <v>220</v>
      </c>
      <c r="AF255" s="134"/>
      <c r="AG255" s="301"/>
    </row>
    <row r="256" spans="1:33" ht="15.75">
      <c r="A256" s="318" t="s">
        <v>567</v>
      </c>
      <c r="B256" s="319">
        <v>9</v>
      </c>
      <c r="C256" s="319">
        <v>236</v>
      </c>
      <c r="D256" s="319" t="s">
        <v>598</v>
      </c>
      <c r="E256" s="319">
        <v>1.5</v>
      </c>
      <c r="F256" s="320">
        <v>45414.598611111112</v>
      </c>
      <c r="G256" s="319">
        <v>1</v>
      </c>
      <c r="H256" s="319">
        <v>51.374099999999999</v>
      </c>
      <c r="I256" s="319">
        <v>7.7585899999999999</v>
      </c>
      <c r="J256" s="319">
        <v>-21.573450000000001</v>
      </c>
      <c r="K256" s="319">
        <v>-20.726168999999999</v>
      </c>
      <c r="L256" s="319">
        <v>978.59799999999996</v>
      </c>
      <c r="M256" s="319">
        <v>126.999718</v>
      </c>
      <c r="N256" s="319">
        <v>17552.553049999999</v>
      </c>
      <c r="O256" s="319">
        <v>0</v>
      </c>
      <c r="P256" s="321">
        <v>0</v>
      </c>
      <c r="Q256" s="299">
        <f t="shared" si="0"/>
        <v>0</v>
      </c>
      <c r="R256" s="300" t="s">
        <v>230</v>
      </c>
      <c r="S256" s="300" t="s">
        <v>582</v>
      </c>
      <c r="T256" s="321" t="s">
        <v>583</v>
      </c>
      <c r="U256" s="305">
        <v>15</v>
      </c>
      <c r="V256" s="305">
        <v>5</v>
      </c>
      <c r="W256" s="303">
        <v>0.7</v>
      </c>
      <c r="X256" s="303">
        <v>0.7</v>
      </c>
      <c r="Y256" s="303">
        <v>0.7</v>
      </c>
      <c r="Z256" s="303">
        <v>1700</v>
      </c>
      <c r="AA256" s="303" t="s">
        <v>531</v>
      </c>
      <c r="AB256" s="303">
        <v>0.85</v>
      </c>
      <c r="AC256" s="303" t="s">
        <v>532</v>
      </c>
      <c r="AD256" s="303" t="s">
        <v>533</v>
      </c>
      <c r="AE256" s="303">
        <v>220</v>
      </c>
      <c r="AF256" s="134"/>
      <c r="AG256" s="301"/>
    </row>
    <row r="257" spans="1:33" ht="15.75">
      <c r="A257" s="318" t="s">
        <v>568</v>
      </c>
      <c r="B257" s="319">
        <v>9</v>
      </c>
      <c r="C257" s="319">
        <v>236</v>
      </c>
      <c r="D257" s="319" t="s">
        <v>598</v>
      </c>
      <c r="E257" s="319">
        <v>1.5</v>
      </c>
      <c r="F257" s="320">
        <v>45414.602083333331</v>
      </c>
      <c r="G257" s="319">
        <v>1</v>
      </c>
      <c r="H257" s="319">
        <v>51.374099999999999</v>
      </c>
      <c r="I257" s="319">
        <v>7.7696199999999997</v>
      </c>
      <c r="J257" s="319">
        <v>-21.691099999999999</v>
      </c>
      <c r="K257" s="319">
        <v>-20.846737000000001</v>
      </c>
      <c r="L257" s="319">
        <v>974.68499999999995</v>
      </c>
      <c r="M257" s="319">
        <v>146.499854</v>
      </c>
      <c r="N257" s="319">
        <v>17541.672289999999</v>
      </c>
      <c r="O257" s="319">
        <v>0</v>
      </c>
      <c r="P257" s="321">
        <v>0</v>
      </c>
      <c r="Q257" s="299">
        <f t="shared" ref="Q257:Q445" si="1">P257</f>
        <v>0</v>
      </c>
      <c r="R257" s="300" t="s">
        <v>230</v>
      </c>
      <c r="S257" s="300" t="s">
        <v>582</v>
      </c>
      <c r="T257" s="321" t="s">
        <v>583</v>
      </c>
      <c r="U257" s="305">
        <v>15</v>
      </c>
      <c r="V257" s="305">
        <v>5</v>
      </c>
      <c r="W257" s="303">
        <v>0.7</v>
      </c>
      <c r="X257" s="303">
        <v>0.7</v>
      </c>
      <c r="Y257" s="303">
        <v>0.7</v>
      </c>
      <c r="Z257" s="303">
        <v>1700</v>
      </c>
      <c r="AA257" s="303" t="s">
        <v>531</v>
      </c>
      <c r="AB257" s="303">
        <v>0.85</v>
      </c>
      <c r="AC257" s="303" t="s">
        <v>532</v>
      </c>
      <c r="AD257" s="303" t="s">
        <v>533</v>
      </c>
      <c r="AE257" s="303">
        <v>220</v>
      </c>
      <c r="AF257" s="134"/>
      <c r="AG257" s="301"/>
    </row>
    <row r="258" spans="1:33" ht="15.75">
      <c r="A258" s="318" t="s">
        <v>724</v>
      </c>
      <c r="B258" s="319">
        <v>9</v>
      </c>
      <c r="C258" s="319">
        <v>236</v>
      </c>
      <c r="D258" s="319" t="s">
        <v>598</v>
      </c>
      <c r="E258" s="319">
        <v>1.5</v>
      </c>
      <c r="F258" s="320">
        <v>45414.606249999997</v>
      </c>
      <c r="G258" s="319">
        <v>1</v>
      </c>
      <c r="H258" s="319">
        <v>51.377400000000002</v>
      </c>
      <c r="I258" s="319">
        <v>7.7085800000000004</v>
      </c>
      <c r="J258" s="319">
        <v>-21.517455999999999</v>
      </c>
      <c r="K258" s="319">
        <v>-20.697544000000001</v>
      </c>
      <c r="L258" s="319">
        <v>976.86</v>
      </c>
      <c r="M258" s="319">
        <v>176.50050200000001</v>
      </c>
      <c r="N258" s="319">
        <v>17592.218819999998</v>
      </c>
      <c r="O258" s="319">
        <v>0</v>
      </c>
      <c r="P258" s="321">
        <v>0</v>
      </c>
      <c r="Q258" s="299">
        <f t="shared" si="1"/>
        <v>0</v>
      </c>
      <c r="R258" s="300" t="s">
        <v>230</v>
      </c>
      <c r="S258" s="300" t="s">
        <v>582</v>
      </c>
      <c r="T258" s="321" t="s">
        <v>583</v>
      </c>
      <c r="U258" s="305">
        <v>15</v>
      </c>
      <c r="V258" s="305">
        <v>5</v>
      </c>
      <c r="W258" s="303">
        <v>0.7</v>
      </c>
      <c r="X258" s="303">
        <v>0.7</v>
      </c>
      <c r="Y258" s="303">
        <v>0.7</v>
      </c>
      <c r="Z258" s="303">
        <v>1700</v>
      </c>
      <c r="AA258" s="303" t="s">
        <v>531</v>
      </c>
      <c r="AB258" s="303">
        <v>0.85</v>
      </c>
      <c r="AC258" s="303" t="s">
        <v>532</v>
      </c>
      <c r="AD258" s="303" t="s">
        <v>533</v>
      </c>
      <c r="AE258" s="303">
        <v>220</v>
      </c>
      <c r="AF258" s="134"/>
      <c r="AG258" s="301"/>
    </row>
    <row r="259" spans="1:33" ht="15.75">
      <c r="A259" s="318" t="s">
        <v>725</v>
      </c>
      <c r="B259" s="319">
        <v>9</v>
      </c>
      <c r="C259" s="319">
        <v>236</v>
      </c>
      <c r="D259" s="319" t="s">
        <v>598</v>
      </c>
      <c r="E259" s="319">
        <v>1.5</v>
      </c>
      <c r="F259" s="320">
        <v>45414.61041666667</v>
      </c>
      <c r="G259" s="319">
        <v>2</v>
      </c>
      <c r="H259" s="319">
        <v>51.370800000000003</v>
      </c>
      <c r="I259" s="319">
        <v>7.7352299999999996</v>
      </c>
      <c r="J259" s="319">
        <v>-21.733561999999999</v>
      </c>
      <c r="K259" s="319">
        <v>-20.898544000000001</v>
      </c>
      <c r="L259" s="319">
        <v>977.66499999999996</v>
      </c>
      <c r="M259" s="319">
        <v>133.001319</v>
      </c>
      <c r="N259" s="319">
        <v>17569.955750000001</v>
      </c>
      <c r="O259" s="319">
        <v>0</v>
      </c>
      <c r="P259" s="321">
        <v>0</v>
      </c>
      <c r="Q259" s="299">
        <f t="shared" si="1"/>
        <v>0</v>
      </c>
      <c r="R259" s="300" t="s">
        <v>230</v>
      </c>
      <c r="S259" s="300" t="s">
        <v>582</v>
      </c>
      <c r="T259" s="321" t="s">
        <v>583</v>
      </c>
      <c r="U259" s="305">
        <v>15</v>
      </c>
      <c r="V259" s="305">
        <v>5</v>
      </c>
      <c r="W259" s="303">
        <v>0.7</v>
      </c>
      <c r="X259" s="303">
        <v>0.7</v>
      </c>
      <c r="Y259" s="303">
        <v>0.7</v>
      </c>
      <c r="Z259" s="303">
        <v>1700</v>
      </c>
      <c r="AA259" s="303" t="s">
        <v>531</v>
      </c>
      <c r="AB259" s="303">
        <v>0.85</v>
      </c>
      <c r="AC259" s="303" t="s">
        <v>532</v>
      </c>
      <c r="AD259" s="303" t="s">
        <v>533</v>
      </c>
      <c r="AE259" s="303">
        <v>220</v>
      </c>
      <c r="AF259" s="134"/>
      <c r="AG259" s="307"/>
    </row>
    <row r="260" spans="1:33" ht="15.75">
      <c r="A260" s="318" t="s">
        <v>726</v>
      </c>
      <c r="B260" s="319">
        <v>9</v>
      </c>
      <c r="C260" s="319">
        <v>236</v>
      </c>
      <c r="D260" s="319" t="s">
        <v>598</v>
      </c>
      <c r="E260" s="319">
        <v>1.5</v>
      </c>
      <c r="F260" s="320">
        <v>45414.613888888889</v>
      </c>
      <c r="G260" s="319">
        <v>2</v>
      </c>
      <c r="H260" s="319">
        <v>51.3675</v>
      </c>
      <c r="I260" s="319">
        <v>7.6557199999999996</v>
      </c>
      <c r="J260" s="319">
        <v>-21.759630999999999</v>
      </c>
      <c r="K260" s="319">
        <v>-20.915068999999999</v>
      </c>
      <c r="L260" s="319">
        <v>977.98900000000003</v>
      </c>
      <c r="M260" s="319">
        <v>145.00053700000001</v>
      </c>
      <c r="N260" s="319">
        <v>17633.23518</v>
      </c>
      <c r="O260" s="319">
        <v>0</v>
      </c>
      <c r="P260" s="321">
        <v>0</v>
      </c>
      <c r="Q260" s="299">
        <f t="shared" si="1"/>
        <v>0</v>
      </c>
      <c r="R260" s="300" t="s">
        <v>230</v>
      </c>
      <c r="S260" s="300" t="s">
        <v>582</v>
      </c>
      <c r="T260" s="321" t="s">
        <v>583</v>
      </c>
      <c r="U260" s="305">
        <v>15</v>
      </c>
      <c r="V260" s="305">
        <v>5</v>
      </c>
      <c r="W260" s="303">
        <v>0.7</v>
      </c>
      <c r="X260" s="303">
        <v>0.7</v>
      </c>
      <c r="Y260" s="303">
        <v>0.7</v>
      </c>
      <c r="Z260" s="303">
        <v>1700</v>
      </c>
      <c r="AA260" s="303" t="s">
        <v>531</v>
      </c>
      <c r="AB260" s="303">
        <v>0.85</v>
      </c>
      <c r="AC260" s="303" t="s">
        <v>532</v>
      </c>
      <c r="AD260" s="303" t="s">
        <v>533</v>
      </c>
      <c r="AE260" s="303">
        <v>220</v>
      </c>
      <c r="AF260" s="134"/>
      <c r="AG260" s="307"/>
    </row>
    <row r="261" spans="1:33" ht="15.75">
      <c r="A261" s="318" t="s">
        <v>727</v>
      </c>
      <c r="B261" s="319">
        <v>9</v>
      </c>
      <c r="C261" s="319">
        <v>236</v>
      </c>
      <c r="D261" s="319" t="s">
        <v>598</v>
      </c>
      <c r="E261" s="319">
        <v>1.5</v>
      </c>
      <c r="F261" s="320">
        <v>45414.618055555555</v>
      </c>
      <c r="G261" s="319">
        <v>2</v>
      </c>
      <c r="H261" s="319">
        <v>51.3675</v>
      </c>
      <c r="I261" s="319">
        <v>7.6032200000000003</v>
      </c>
      <c r="J261" s="319">
        <v>-21.692281000000001</v>
      </c>
      <c r="K261" s="319">
        <v>-20.870574999999999</v>
      </c>
      <c r="L261" s="319">
        <v>972.49699999999996</v>
      </c>
      <c r="M261" s="319">
        <v>192.99958599999999</v>
      </c>
      <c r="N261" s="319">
        <v>17685.76079</v>
      </c>
      <c r="O261" s="319">
        <v>0</v>
      </c>
      <c r="P261" s="321">
        <v>0</v>
      </c>
      <c r="Q261" s="299">
        <f t="shared" si="1"/>
        <v>0</v>
      </c>
      <c r="R261" s="300" t="s">
        <v>230</v>
      </c>
      <c r="S261" s="300" t="s">
        <v>582</v>
      </c>
      <c r="T261" s="321" t="s">
        <v>583</v>
      </c>
      <c r="U261" s="305">
        <v>15</v>
      </c>
      <c r="V261" s="305">
        <v>5</v>
      </c>
      <c r="W261" s="303">
        <v>0.7</v>
      </c>
      <c r="X261" s="303">
        <v>0.7</v>
      </c>
      <c r="Y261" s="303">
        <v>0.7</v>
      </c>
      <c r="Z261" s="303">
        <v>1700</v>
      </c>
      <c r="AA261" s="303" t="s">
        <v>531</v>
      </c>
      <c r="AB261" s="303">
        <v>0.85</v>
      </c>
      <c r="AC261" s="303" t="s">
        <v>532</v>
      </c>
      <c r="AD261" s="303" t="s">
        <v>533</v>
      </c>
      <c r="AE261" s="303">
        <v>220</v>
      </c>
      <c r="AF261" s="134"/>
      <c r="AG261" s="307"/>
    </row>
    <row r="262" spans="1:33" ht="15.75">
      <c r="A262" s="318" t="s">
        <v>728</v>
      </c>
      <c r="B262" s="319">
        <v>9</v>
      </c>
      <c r="C262" s="319">
        <v>236</v>
      </c>
      <c r="D262" s="319" t="s">
        <v>598</v>
      </c>
      <c r="E262" s="319">
        <v>1.5</v>
      </c>
      <c r="F262" s="320">
        <v>45414.62222222222</v>
      </c>
      <c r="G262" s="319">
        <v>2</v>
      </c>
      <c r="H262" s="319">
        <v>51.370800000000003</v>
      </c>
      <c r="I262" s="319">
        <v>7.6313300000000002</v>
      </c>
      <c r="J262" s="319">
        <v>-21.647444</v>
      </c>
      <c r="K262" s="319">
        <v>-20.857762000000001</v>
      </c>
      <c r="L262" s="319">
        <v>970.77300000000002</v>
      </c>
      <c r="M262" s="319">
        <v>162.49942200000001</v>
      </c>
      <c r="N262" s="319">
        <v>17657.817419999999</v>
      </c>
      <c r="O262" s="319">
        <v>0</v>
      </c>
      <c r="P262" s="321">
        <v>0</v>
      </c>
      <c r="Q262" s="299">
        <f t="shared" si="1"/>
        <v>0</v>
      </c>
      <c r="R262" s="300" t="s">
        <v>230</v>
      </c>
      <c r="S262" s="300" t="s">
        <v>582</v>
      </c>
      <c r="T262" s="321" t="s">
        <v>583</v>
      </c>
      <c r="U262" s="305">
        <v>15</v>
      </c>
      <c r="V262" s="305">
        <v>5</v>
      </c>
      <c r="W262" s="303">
        <v>0.7</v>
      </c>
      <c r="X262" s="303">
        <v>0.7</v>
      </c>
      <c r="Y262" s="303">
        <v>0.7</v>
      </c>
      <c r="Z262" s="303">
        <v>1700</v>
      </c>
      <c r="AA262" s="303" t="s">
        <v>531</v>
      </c>
      <c r="AB262" s="303">
        <v>0.85</v>
      </c>
      <c r="AC262" s="303" t="s">
        <v>532</v>
      </c>
      <c r="AD262" s="303" t="s">
        <v>533</v>
      </c>
      <c r="AE262" s="303">
        <v>220</v>
      </c>
      <c r="AF262" s="134"/>
      <c r="AG262" s="307"/>
    </row>
    <row r="263" spans="1:33" ht="15.75">
      <c r="A263" s="318" t="s">
        <v>729</v>
      </c>
      <c r="B263" s="319">
        <v>9</v>
      </c>
      <c r="C263" s="319">
        <v>236</v>
      </c>
      <c r="D263" s="319" t="s">
        <v>598</v>
      </c>
      <c r="E263" s="319">
        <v>1.5</v>
      </c>
      <c r="F263" s="320">
        <v>45414.626388888886</v>
      </c>
      <c r="G263" s="319">
        <v>2</v>
      </c>
      <c r="H263" s="319">
        <v>51.370800000000003</v>
      </c>
      <c r="I263" s="319">
        <v>7.8030200000000001</v>
      </c>
      <c r="J263" s="319">
        <v>-21.483644000000002</v>
      </c>
      <c r="K263" s="319">
        <v>-20.635794000000001</v>
      </c>
      <c r="L263" s="319">
        <v>974.20899999999995</v>
      </c>
      <c r="M263" s="319">
        <v>119.999144</v>
      </c>
      <c r="N263" s="319">
        <v>17597.175920000001</v>
      </c>
      <c r="O263" s="319">
        <v>0</v>
      </c>
      <c r="P263" s="321">
        <v>0</v>
      </c>
      <c r="Q263" s="299">
        <f t="shared" si="1"/>
        <v>0</v>
      </c>
      <c r="R263" s="300" t="s">
        <v>230</v>
      </c>
      <c r="S263" s="300" t="s">
        <v>582</v>
      </c>
      <c r="T263" s="321" t="s">
        <v>583</v>
      </c>
      <c r="U263" s="305">
        <v>15</v>
      </c>
      <c r="V263" s="305">
        <v>5</v>
      </c>
      <c r="W263" s="303">
        <v>0.7</v>
      </c>
      <c r="X263" s="303">
        <v>0.7</v>
      </c>
      <c r="Y263" s="303">
        <v>0.7</v>
      </c>
      <c r="Z263" s="303">
        <v>1700</v>
      </c>
      <c r="AA263" s="303" t="s">
        <v>531</v>
      </c>
      <c r="AB263" s="303">
        <v>0.85</v>
      </c>
      <c r="AC263" s="303" t="s">
        <v>532</v>
      </c>
      <c r="AD263" s="303" t="s">
        <v>533</v>
      </c>
      <c r="AE263" s="303">
        <v>220</v>
      </c>
      <c r="AF263" s="133"/>
      <c r="AG263" s="322"/>
    </row>
    <row r="264" spans="1:33" ht="15.75">
      <c r="A264" s="302" t="s">
        <v>569</v>
      </c>
      <c r="B264" s="303">
        <v>10</v>
      </c>
      <c r="C264" s="303">
        <v>53</v>
      </c>
      <c r="D264" s="303" t="s">
        <v>603</v>
      </c>
      <c r="E264" s="303">
        <v>1.5</v>
      </c>
      <c r="F264" s="304">
        <v>45414.630555555559</v>
      </c>
      <c r="G264" s="303">
        <v>1</v>
      </c>
      <c r="H264" s="303">
        <v>51.374099999999999</v>
      </c>
      <c r="I264" s="303">
        <v>7.7064500000000002</v>
      </c>
      <c r="J264" s="303">
        <v>-21.560500000000001</v>
      </c>
      <c r="K264" s="303">
        <v>-20.722069000000001</v>
      </c>
      <c r="L264" s="303">
        <v>994.72400000000005</v>
      </c>
      <c r="M264" s="303">
        <v>155.001147</v>
      </c>
      <c r="N264" s="303">
        <v>17685.00043</v>
      </c>
      <c r="O264" s="303">
        <v>17695.776030000001</v>
      </c>
      <c r="P264" s="305">
        <v>2075.6429520000002</v>
      </c>
      <c r="Q264" s="299">
        <f t="shared" si="1"/>
        <v>2075.6429520000002</v>
      </c>
      <c r="R264" s="300" t="s">
        <v>230</v>
      </c>
      <c r="S264" s="300" t="s">
        <v>12</v>
      </c>
      <c r="T264" s="305" t="s">
        <v>530</v>
      </c>
      <c r="U264" s="305">
        <v>15</v>
      </c>
      <c r="V264" s="305">
        <v>5</v>
      </c>
      <c r="W264" s="303">
        <v>0.7</v>
      </c>
      <c r="X264" s="303">
        <v>0.7</v>
      </c>
      <c r="Y264" s="303">
        <v>0.7</v>
      </c>
      <c r="Z264" s="303">
        <v>1700</v>
      </c>
      <c r="AA264" s="303" t="s">
        <v>531</v>
      </c>
      <c r="AB264" s="303">
        <v>0.85</v>
      </c>
      <c r="AC264" s="303" t="s">
        <v>532</v>
      </c>
      <c r="AD264" s="303" t="s">
        <v>533</v>
      </c>
      <c r="AE264" s="303">
        <v>220</v>
      </c>
      <c r="AF264" s="133"/>
      <c r="AG264" s="322"/>
    </row>
    <row r="265" spans="1:33" ht="15.75">
      <c r="A265" s="302" t="s">
        <v>571</v>
      </c>
      <c r="B265" s="303">
        <v>10</v>
      </c>
      <c r="C265" s="303">
        <v>53</v>
      </c>
      <c r="D265" s="303" t="s">
        <v>603</v>
      </c>
      <c r="E265" s="303">
        <v>1.5</v>
      </c>
      <c r="F265" s="304">
        <v>45414.634722222225</v>
      </c>
      <c r="G265" s="303">
        <v>1</v>
      </c>
      <c r="H265" s="303">
        <v>51.374099999999999</v>
      </c>
      <c r="I265" s="303">
        <v>7.7277500000000003</v>
      </c>
      <c r="J265" s="303">
        <v>-21.650093999999999</v>
      </c>
      <c r="K265" s="303">
        <v>-20.809725</v>
      </c>
      <c r="L265" s="303">
        <v>976.58799999999997</v>
      </c>
      <c r="M265" s="303">
        <v>115.50049199999999</v>
      </c>
      <c r="N265" s="303">
        <v>17694.59995</v>
      </c>
      <c r="O265" s="303">
        <v>17695.776030000001</v>
      </c>
      <c r="P265" s="305">
        <v>2075.6429520000002</v>
      </c>
      <c r="Q265" s="299">
        <f t="shared" si="1"/>
        <v>2075.6429520000002</v>
      </c>
      <c r="R265" s="300" t="s">
        <v>230</v>
      </c>
      <c r="S265" s="300" t="s">
        <v>12</v>
      </c>
      <c r="T265" s="305" t="s">
        <v>530</v>
      </c>
      <c r="U265" s="305">
        <v>15</v>
      </c>
      <c r="V265" s="305">
        <v>5</v>
      </c>
      <c r="W265" s="303">
        <v>0.7</v>
      </c>
      <c r="X265" s="303">
        <v>0.7</v>
      </c>
      <c r="Y265" s="303">
        <v>0.7</v>
      </c>
      <c r="Z265" s="303">
        <v>1700</v>
      </c>
      <c r="AA265" s="303" t="s">
        <v>531</v>
      </c>
      <c r="AB265" s="303">
        <v>0.85</v>
      </c>
      <c r="AC265" s="303" t="s">
        <v>532</v>
      </c>
      <c r="AD265" s="303" t="s">
        <v>533</v>
      </c>
      <c r="AE265" s="303">
        <v>220</v>
      </c>
      <c r="AF265" s="133"/>
      <c r="AG265" s="322"/>
    </row>
    <row r="266" spans="1:33" ht="15.75">
      <c r="A266" s="302" t="s">
        <v>572</v>
      </c>
      <c r="B266" s="303">
        <v>10</v>
      </c>
      <c r="C266" s="303">
        <v>53</v>
      </c>
      <c r="D266" s="303" t="s">
        <v>603</v>
      </c>
      <c r="E266" s="303">
        <v>1.5</v>
      </c>
      <c r="F266" s="304">
        <v>45414.638194444444</v>
      </c>
      <c r="G266" s="303">
        <v>1</v>
      </c>
      <c r="H266" s="303">
        <v>51.374099999999999</v>
      </c>
      <c r="I266" s="303">
        <v>7.8257599999999998</v>
      </c>
      <c r="J266" s="303">
        <v>-21.657875000000001</v>
      </c>
      <c r="K266" s="303">
        <v>-20.820263000000001</v>
      </c>
      <c r="L266" s="303">
        <v>981.029</v>
      </c>
      <c r="M266" s="303">
        <v>141.00030100000001</v>
      </c>
      <c r="N266" s="303">
        <v>17707.727709999999</v>
      </c>
      <c r="O266" s="303">
        <v>17695.776030000001</v>
      </c>
      <c r="P266" s="305">
        <v>2075.6429520000002</v>
      </c>
      <c r="Q266" s="299">
        <f t="shared" si="1"/>
        <v>2075.6429520000002</v>
      </c>
      <c r="R266" s="300" t="s">
        <v>230</v>
      </c>
      <c r="S266" s="300" t="s">
        <v>12</v>
      </c>
      <c r="T266" s="305" t="s">
        <v>530</v>
      </c>
      <c r="U266" s="305">
        <v>15</v>
      </c>
      <c r="V266" s="305">
        <v>5</v>
      </c>
      <c r="W266" s="303">
        <v>0.7</v>
      </c>
      <c r="X266" s="303">
        <v>0.7</v>
      </c>
      <c r="Y266" s="303">
        <v>0.7</v>
      </c>
      <c r="Z266" s="303">
        <v>1700</v>
      </c>
      <c r="AA266" s="303" t="s">
        <v>531</v>
      </c>
      <c r="AB266" s="303">
        <v>0.85</v>
      </c>
      <c r="AC266" s="303" t="s">
        <v>532</v>
      </c>
      <c r="AD266" s="303" t="s">
        <v>533</v>
      </c>
      <c r="AE266" s="303">
        <v>220</v>
      </c>
      <c r="AF266" s="133"/>
      <c r="AG266" s="322"/>
    </row>
    <row r="267" spans="1:33" ht="15.75">
      <c r="A267" s="308" t="s">
        <v>574</v>
      </c>
      <c r="B267" s="309">
        <v>11</v>
      </c>
      <c r="C267" s="309" t="s">
        <v>696</v>
      </c>
      <c r="D267" s="309" t="s">
        <v>529</v>
      </c>
      <c r="E267" s="309">
        <v>1.5</v>
      </c>
      <c r="F267" s="310">
        <v>45414.642361111109</v>
      </c>
      <c r="G267" s="309">
        <v>1</v>
      </c>
      <c r="H267" s="309">
        <v>51.377400000000002</v>
      </c>
      <c r="I267" s="309">
        <v>7.6726999999999999</v>
      </c>
      <c r="J267" s="309">
        <v>-21.671980999999999</v>
      </c>
      <c r="K267" s="309">
        <v>-20.846381000000001</v>
      </c>
      <c r="L267" s="309">
        <v>982.64800000000002</v>
      </c>
      <c r="M267" s="309">
        <v>170.49968899999999</v>
      </c>
      <c r="N267" s="309">
        <v>17654.737539999998</v>
      </c>
      <c r="O267" s="309">
        <v>17662.42915</v>
      </c>
      <c r="P267" s="311">
        <v>2071.7367389999999</v>
      </c>
      <c r="Q267" s="299">
        <f t="shared" si="1"/>
        <v>2071.7367389999999</v>
      </c>
      <c r="R267" s="300" t="s">
        <v>230</v>
      </c>
      <c r="S267" s="300" t="s">
        <v>12</v>
      </c>
      <c r="T267" s="305" t="s">
        <v>530</v>
      </c>
      <c r="U267" s="305">
        <v>15</v>
      </c>
      <c r="V267" s="305">
        <v>5</v>
      </c>
      <c r="W267" s="303">
        <v>0.7</v>
      </c>
      <c r="X267" s="303">
        <v>0.7</v>
      </c>
      <c r="Y267" s="303">
        <v>0.7</v>
      </c>
      <c r="Z267" s="303">
        <v>1700</v>
      </c>
      <c r="AA267" s="303" t="s">
        <v>531</v>
      </c>
      <c r="AB267" s="303">
        <v>0.85</v>
      </c>
      <c r="AC267" s="303" t="s">
        <v>532</v>
      </c>
      <c r="AD267" s="303" t="s">
        <v>533</v>
      </c>
      <c r="AE267" s="303">
        <v>220</v>
      </c>
      <c r="AF267" s="133"/>
      <c r="AG267" s="322"/>
    </row>
    <row r="268" spans="1:33" ht="15.75">
      <c r="A268" s="308" t="s">
        <v>576</v>
      </c>
      <c r="B268" s="309">
        <v>11</v>
      </c>
      <c r="C268" s="309" t="s">
        <v>696</v>
      </c>
      <c r="D268" s="309" t="s">
        <v>529</v>
      </c>
      <c r="E268" s="309">
        <v>1.5</v>
      </c>
      <c r="F268" s="310">
        <v>45414.646527777775</v>
      </c>
      <c r="G268" s="309">
        <v>1</v>
      </c>
      <c r="H268" s="309">
        <v>51.370800000000003</v>
      </c>
      <c r="I268" s="309">
        <v>7.7249499999999998</v>
      </c>
      <c r="J268" s="309">
        <v>-21.695330999999999</v>
      </c>
      <c r="K268" s="309">
        <v>-20.847369</v>
      </c>
      <c r="L268" s="309">
        <v>990.49199999999996</v>
      </c>
      <c r="M268" s="309">
        <v>127.499433</v>
      </c>
      <c r="N268" s="309">
        <v>17667.059010000001</v>
      </c>
      <c r="O268" s="309">
        <v>17662.42915</v>
      </c>
      <c r="P268" s="311">
        <v>2071.7367389999999</v>
      </c>
      <c r="Q268" s="299">
        <f t="shared" si="1"/>
        <v>2071.7367389999999</v>
      </c>
      <c r="R268" s="300" t="s">
        <v>230</v>
      </c>
      <c r="S268" s="300" t="s">
        <v>12</v>
      </c>
      <c r="T268" s="305" t="s">
        <v>530</v>
      </c>
      <c r="U268" s="305">
        <v>15</v>
      </c>
      <c r="V268" s="305">
        <v>5</v>
      </c>
      <c r="W268" s="303">
        <v>0.7</v>
      </c>
      <c r="X268" s="303">
        <v>0.7</v>
      </c>
      <c r="Y268" s="303">
        <v>0.7</v>
      </c>
      <c r="Z268" s="303">
        <v>1700</v>
      </c>
      <c r="AA268" s="303" t="s">
        <v>531</v>
      </c>
      <c r="AB268" s="303">
        <v>0.85</v>
      </c>
      <c r="AC268" s="303" t="s">
        <v>532</v>
      </c>
      <c r="AD268" s="303" t="s">
        <v>533</v>
      </c>
      <c r="AE268" s="303">
        <v>220</v>
      </c>
      <c r="AF268" s="133"/>
      <c r="AG268" s="322"/>
    </row>
    <row r="269" spans="1:33" ht="15.75">
      <c r="A269" s="308" t="s">
        <v>577</v>
      </c>
      <c r="B269" s="309">
        <v>11</v>
      </c>
      <c r="C269" s="309" t="s">
        <v>696</v>
      </c>
      <c r="D269" s="309" t="s">
        <v>529</v>
      </c>
      <c r="E269" s="309">
        <v>1.5</v>
      </c>
      <c r="F269" s="310">
        <v>45414.65</v>
      </c>
      <c r="G269" s="309">
        <v>1</v>
      </c>
      <c r="H269" s="309">
        <v>51.374099999999999</v>
      </c>
      <c r="I269" s="309">
        <v>7.5017199999999997</v>
      </c>
      <c r="J269" s="309">
        <v>-21.697337000000001</v>
      </c>
      <c r="K269" s="309">
        <v>-20.856093999999999</v>
      </c>
      <c r="L269" s="309">
        <v>971.65200000000004</v>
      </c>
      <c r="M269" s="309">
        <v>214.500416</v>
      </c>
      <c r="N269" s="309">
        <v>17665.490900000001</v>
      </c>
      <c r="O269" s="309">
        <v>17662.42915</v>
      </c>
      <c r="P269" s="311">
        <v>2071.7367389999999</v>
      </c>
      <c r="Q269" s="299">
        <f t="shared" si="1"/>
        <v>2071.7367389999999</v>
      </c>
      <c r="R269" s="300" t="s">
        <v>230</v>
      </c>
      <c r="S269" s="300" t="s">
        <v>12</v>
      </c>
      <c r="T269" s="305" t="s">
        <v>530</v>
      </c>
      <c r="U269" s="305">
        <v>15</v>
      </c>
      <c r="V269" s="305">
        <v>5</v>
      </c>
      <c r="W269" s="303">
        <v>0.7</v>
      </c>
      <c r="X269" s="303">
        <v>0.7</v>
      </c>
      <c r="Y269" s="303">
        <v>0.7</v>
      </c>
      <c r="Z269" s="303">
        <v>1700</v>
      </c>
      <c r="AA269" s="303" t="s">
        <v>531</v>
      </c>
      <c r="AB269" s="303">
        <v>0.85</v>
      </c>
      <c r="AC269" s="303" t="s">
        <v>532</v>
      </c>
      <c r="AD269" s="303" t="s">
        <v>533</v>
      </c>
      <c r="AE269" s="303">
        <v>220</v>
      </c>
      <c r="AF269" s="133"/>
      <c r="AG269" s="322"/>
    </row>
    <row r="270" spans="1:33" ht="15.75">
      <c r="A270" s="302" t="s">
        <v>580</v>
      </c>
      <c r="B270" s="303">
        <v>12</v>
      </c>
      <c r="C270" s="303">
        <v>54</v>
      </c>
      <c r="D270" s="303" t="s">
        <v>561</v>
      </c>
      <c r="E270" s="303">
        <v>1.5</v>
      </c>
      <c r="F270" s="304">
        <v>45414.654861111114</v>
      </c>
      <c r="G270" s="303">
        <v>1</v>
      </c>
      <c r="H270" s="303">
        <v>51.377400000000002</v>
      </c>
      <c r="I270" s="303">
        <v>7.6792100000000003</v>
      </c>
      <c r="J270" s="303">
        <v>-21.584461999999998</v>
      </c>
      <c r="K270" s="303">
        <v>-20.739256000000001</v>
      </c>
      <c r="L270" s="303">
        <v>980.98500000000001</v>
      </c>
      <c r="M270" s="303">
        <v>118.49968699999999</v>
      </c>
      <c r="N270" s="303">
        <v>17725.84748</v>
      </c>
      <c r="O270" s="303">
        <v>17759.004529999998</v>
      </c>
      <c r="P270" s="305">
        <v>2083.0494629999998</v>
      </c>
      <c r="Q270" s="299">
        <f t="shared" si="1"/>
        <v>2083.0494629999998</v>
      </c>
      <c r="R270" s="300" t="s">
        <v>230</v>
      </c>
      <c r="S270" s="300" t="s">
        <v>12</v>
      </c>
      <c r="T270" s="305" t="s">
        <v>545</v>
      </c>
      <c r="U270" s="305">
        <v>15</v>
      </c>
      <c r="V270" s="305">
        <v>5</v>
      </c>
      <c r="W270" s="303">
        <v>0.7</v>
      </c>
      <c r="X270" s="303">
        <v>0.7</v>
      </c>
      <c r="Y270" s="303">
        <v>0.7</v>
      </c>
      <c r="Z270" s="303">
        <v>1700</v>
      </c>
      <c r="AA270" s="303" t="s">
        <v>531</v>
      </c>
      <c r="AB270" s="303">
        <v>0.85</v>
      </c>
      <c r="AC270" s="303" t="s">
        <v>532</v>
      </c>
      <c r="AD270" s="303" t="s">
        <v>533</v>
      </c>
      <c r="AE270" s="303">
        <v>220</v>
      </c>
      <c r="AF270" s="133"/>
      <c r="AG270" s="322"/>
    </row>
    <row r="271" spans="1:33" ht="15.75">
      <c r="A271" s="302" t="s">
        <v>584</v>
      </c>
      <c r="B271" s="303">
        <v>12</v>
      </c>
      <c r="C271" s="303">
        <v>54</v>
      </c>
      <c r="D271" s="303" t="s">
        <v>561</v>
      </c>
      <c r="E271" s="303">
        <v>1.5</v>
      </c>
      <c r="F271" s="304">
        <v>45414.658333333333</v>
      </c>
      <c r="G271" s="303">
        <v>1</v>
      </c>
      <c r="H271" s="303">
        <v>51.370800000000003</v>
      </c>
      <c r="I271" s="303">
        <v>7.5987999999999998</v>
      </c>
      <c r="J271" s="303">
        <v>-21.584931000000001</v>
      </c>
      <c r="K271" s="303">
        <v>-20.736443999999999</v>
      </c>
      <c r="L271" s="303">
        <v>979.98900000000003</v>
      </c>
      <c r="M271" s="303">
        <v>233.499889</v>
      </c>
      <c r="N271" s="303">
        <v>17756.261470000001</v>
      </c>
      <c r="O271" s="303">
        <v>17759.004529999998</v>
      </c>
      <c r="P271" s="305">
        <v>2083.0494629999998</v>
      </c>
      <c r="Q271" s="299">
        <f t="shared" si="1"/>
        <v>2083.0494629999998</v>
      </c>
      <c r="R271" s="300" t="s">
        <v>230</v>
      </c>
      <c r="S271" s="300" t="s">
        <v>12</v>
      </c>
      <c r="T271" s="305" t="s">
        <v>530</v>
      </c>
      <c r="U271" s="305">
        <v>15</v>
      </c>
      <c r="V271" s="305">
        <v>5</v>
      </c>
      <c r="W271" s="303">
        <v>0.7</v>
      </c>
      <c r="X271" s="303">
        <v>0.7</v>
      </c>
      <c r="Y271" s="303">
        <v>0.7</v>
      </c>
      <c r="Z271" s="303">
        <v>1700</v>
      </c>
      <c r="AA271" s="303" t="s">
        <v>531</v>
      </c>
      <c r="AB271" s="303">
        <v>0.85</v>
      </c>
      <c r="AC271" s="303" t="s">
        <v>532</v>
      </c>
      <c r="AD271" s="303" t="s">
        <v>533</v>
      </c>
      <c r="AE271" s="303">
        <v>220</v>
      </c>
      <c r="AF271" s="133"/>
      <c r="AG271" s="322"/>
    </row>
    <row r="272" spans="1:33" ht="15.75">
      <c r="A272" s="302" t="s">
        <v>585</v>
      </c>
      <c r="B272" s="303">
        <v>12</v>
      </c>
      <c r="C272" s="303">
        <v>54</v>
      </c>
      <c r="D272" s="303" t="s">
        <v>561</v>
      </c>
      <c r="E272" s="303">
        <v>1.5</v>
      </c>
      <c r="F272" s="304">
        <v>45414.663194444445</v>
      </c>
      <c r="G272" s="303">
        <v>1</v>
      </c>
      <c r="H272" s="303">
        <v>51.374099999999999</v>
      </c>
      <c r="I272" s="303">
        <v>7.5860099999999999</v>
      </c>
      <c r="J272" s="303">
        <v>-21.528706</v>
      </c>
      <c r="K272" s="303">
        <v>-20.693331000000001</v>
      </c>
      <c r="L272" s="303">
        <v>979.77</v>
      </c>
      <c r="M272" s="303">
        <v>176.00052299999999</v>
      </c>
      <c r="N272" s="303">
        <v>17764.256949999999</v>
      </c>
      <c r="O272" s="303">
        <v>17759.004529999998</v>
      </c>
      <c r="P272" s="305">
        <v>2083.0494629999998</v>
      </c>
      <c r="Q272" s="299">
        <f t="shared" si="1"/>
        <v>2083.0494629999998</v>
      </c>
      <c r="R272" s="300" t="s">
        <v>230</v>
      </c>
      <c r="S272" s="300" t="s">
        <v>12</v>
      </c>
      <c r="T272" s="305" t="s">
        <v>530</v>
      </c>
      <c r="U272" s="305">
        <v>15</v>
      </c>
      <c r="V272" s="305">
        <v>5</v>
      </c>
      <c r="W272" s="303">
        <v>0.7</v>
      </c>
      <c r="X272" s="303">
        <v>0.7</v>
      </c>
      <c r="Y272" s="303">
        <v>0.7</v>
      </c>
      <c r="Z272" s="303">
        <v>1700</v>
      </c>
      <c r="AA272" s="303" t="s">
        <v>531</v>
      </c>
      <c r="AB272" s="303">
        <v>0.85</v>
      </c>
      <c r="AC272" s="303" t="s">
        <v>532</v>
      </c>
      <c r="AD272" s="303" t="s">
        <v>533</v>
      </c>
      <c r="AE272" s="303">
        <v>220</v>
      </c>
      <c r="AF272" s="133"/>
      <c r="AG272" s="322"/>
    </row>
    <row r="273" spans="1:33" ht="15.75">
      <c r="A273" s="302" t="s">
        <v>586</v>
      </c>
      <c r="B273" s="303">
        <v>12</v>
      </c>
      <c r="C273" s="303">
        <v>54</v>
      </c>
      <c r="D273" s="303" t="s">
        <v>561</v>
      </c>
      <c r="E273" s="303">
        <v>1.5</v>
      </c>
      <c r="F273" s="304">
        <v>45414.667361111111</v>
      </c>
      <c r="G273" s="303">
        <v>1</v>
      </c>
      <c r="H273" s="303">
        <v>51.370800000000003</v>
      </c>
      <c r="I273" s="303">
        <v>7.6185499999999999</v>
      </c>
      <c r="J273" s="303">
        <v>-21.462744000000001</v>
      </c>
      <c r="K273" s="303">
        <v>-20.636313000000001</v>
      </c>
      <c r="L273" s="303">
        <v>987.46299999999997</v>
      </c>
      <c r="M273" s="303">
        <v>120.500246</v>
      </c>
      <c r="N273" s="303">
        <v>17756.495159999999</v>
      </c>
      <c r="O273" s="303">
        <v>17759.004529999998</v>
      </c>
      <c r="P273" s="305">
        <v>2083.0494629999998</v>
      </c>
      <c r="Q273" s="299">
        <f t="shared" si="1"/>
        <v>2083.0494629999998</v>
      </c>
      <c r="R273" s="300" t="s">
        <v>230</v>
      </c>
      <c r="S273" s="300" t="s">
        <v>12</v>
      </c>
      <c r="T273" s="305" t="s">
        <v>530</v>
      </c>
      <c r="U273" s="305">
        <v>15</v>
      </c>
      <c r="V273" s="305">
        <v>5</v>
      </c>
      <c r="W273" s="303">
        <v>0.7</v>
      </c>
      <c r="X273" s="303">
        <v>0.7</v>
      </c>
      <c r="Y273" s="303">
        <v>0.7</v>
      </c>
      <c r="Z273" s="303">
        <v>1700</v>
      </c>
      <c r="AA273" s="303" t="s">
        <v>531</v>
      </c>
      <c r="AB273" s="303">
        <v>0.85</v>
      </c>
      <c r="AC273" s="303" t="s">
        <v>532</v>
      </c>
      <c r="AD273" s="303" t="s">
        <v>533</v>
      </c>
      <c r="AE273" s="303">
        <v>220</v>
      </c>
      <c r="AF273" s="133"/>
      <c r="AG273" s="322"/>
    </row>
    <row r="274" spans="1:33" ht="15.75">
      <c r="A274" s="302" t="s">
        <v>593</v>
      </c>
      <c r="B274" s="303">
        <v>13</v>
      </c>
      <c r="C274" s="303">
        <v>248</v>
      </c>
      <c r="D274" s="303" t="s">
        <v>565</v>
      </c>
      <c r="E274" s="303">
        <v>1.5</v>
      </c>
      <c r="F274" s="304">
        <v>45414.671527777777</v>
      </c>
      <c r="G274" s="303">
        <v>1</v>
      </c>
      <c r="H274" s="303">
        <v>51.370800000000003</v>
      </c>
      <c r="I274" s="303">
        <v>7.7462</v>
      </c>
      <c r="J274" s="303">
        <v>-21.551956000000001</v>
      </c>
      <c r="K274" s="303">
        <v>-20.708774999999999</v>
      </c>
      <c r="L274" s="303">
        <v>975.33299999999997</v>
      </c>
      <c r="M274" s="303">
        <v>125.499465</v>
      </c>
      <c r="N274" s="303">
        <v>17729.542020000001</v>
      </c>
      <c r="O274" s="303">
        <v>17722.666550000002</v>
      </c>
      <c r="P274" s="305">
        <v>2078.7928750000001</v>
      </c>
      <c r="Q274" s="299">
        <f t="shared" si="1"/>
        <v>2078.7928750000001</v>
      </c>
      <c r="R274" s="300" t="s">
        <v>230</v>
      </c>
      <c r="S274" s="300" t="s">
        <v>12</v>
      </c>
      <c r="T274" s="305" t="s">
        <v>530</v>
      </c>
      <c r="U274" s="305">
        <v>15</v>
      </c>
      <c r="V274" s="305">
        <v>5</v>
      </c>
      <c r="W274" s="303">
        <v>0.7</v>
      </c>
      <c r="X274" s="303">
        <v>0.7</v>
      </c>
      <c r="Y274" s="303">
        <v>0.7</v>
      </c>
      <c r="Z274" s="303">
        <v>1700</v>
      </c>
      <c r="AA274" s="303" t="s">
        <v>531</v>
      </c>
      <c r="AB274" s="303">
        <v>0.85</v>
      </c>
      <c r="AC274" s="303" t="s">
        <v>532</v>
      </c>
      <c r="AD274" s="303" t="s">
        <v>533</v>
      </c>
      <c r="AE274" s="303">
        <v>220</v>
      </c>
      <c r="AF274" s="133"/>
      <c r="AG274" s="322"/>
    </row>
    <row r="275" spans="1:33" ht="15.75">
      <c r="A275" s="302" t="s">
        <v>595</v>
      </c>
      <c r="B275" s="303">
        <v>13</v>
      </c>
      <c r="C275" s="303">
        <v>248</v>
      </c>
      <c r="D275" s="303" t="s">
        <v>565</v>
      </c>
      <c r="E275" s="303">
        <v>1.5</v>
      </c>
      <c r="F275" s="304">
        <v>45414.675694444442</v>
      </c>
      <c r="G275" s="303">
        <v>1</v>
      </c>
      <c r="H275" s="303">
        <v>51.374099999999999</v>
      </c>
      <c r="I275" s="303">
        <v>7.8202699999999998</v>
      </c>
      <c r="J275" s="303">
        <v>-21.508400000000002</v>
      </c>
      <c r="K275" s="303">
        <v>-20.678806000000002</v>
      </c>
      <c r="L275" s="303">
        <v>977.24800000000005</v>
      </c>
      <c r="M275" s="303">
        <v>123.50088700000001</v>
      </c>
      <c r="N275" s="303">
        <v>17711.897779999999</v>
      </c>
      <c r="O275" s="303">
        <v>17722.666550000002</v>
      </c>
      <c r="P275" s="305">
        <v>2078.7928750000001</v>
      </c>
      <c r="Q275" s="299">
        <f t="shared" si="1"/>
        <v>2078.7928750000001</v>
      </c>
      <c r="R275" s="300" t="s">
        <v>230</v>
      </c>
      <c r="S275" s="300" t="s">
        <v>12</v>
      </c>
      <c r="T275" s="305" t="s">
        <v>530</v>
      </c>
      <c r="U275" s="305">
        <v>15</v>
      </c>
      <c r="V275" s="305">
        <v>5</v>
      </c>
      <c r="W275" s="303">
        <v>0.7</v>
      </c>
      <c r="X275" s="303">
        <v>0.7</v>
      </c>
      <c r="Y275" s="303">
        <v>0.7</v>
      </c>
      <c r="Z275" s="303">
        <v>1700</v>
      </c>
      <c r="AA275" s="303" t="s">
        <v>531</v>
      </c>
      <c r="AB275" s="303">
        <v>0.85</v>
      </c>
      <c r="AC275" s="303" t="s">
        <v>532</v>
      </c>
      <c r="AD275" s="303" t="s">
        <v>533</v>
      </c>
      <c r="AE275" s="303">
        <v>220</v>
      </c>
      <c r="AF275" s="133"/>
      <c r="AG275" s="322"/>
    </row>
    <row r="276" spans="1:33" ht="15.75">
      <c r="A276" s="302" t="s">
        <v>596</v>
      </c>
      <c r="B276" s="303">
        <v>13</v>
      </c>
      <c r="C276" s="303">
        <v>248</v>
      </c>
      <c r="D276" s="303" t="s">
        <v>565</v>
      </c>
      <c r="E276" s="303">
        <v>1.5</v>
      </c>
      <c r="F276" s="304">
        <v>45414.679166666669</v>
      </c>
      <c r="G276" s="303">
        <v>1</v>
      </c>
      <c r="H276" s="303">
        <v>51.374099999999999</v>
      </c>
      <c r="I276" s="303">
        <v>7.7579099999999999</v>
      </c>
      <c r="J276" s="303">
        <v>-21.477319000000001</v>
      </c>
      <c r="K276" s="303">
        <v>-20.637461999999999</v>
      </c>
      <c r="L276" s="303">
        <v>982.91700000000003</v>
      </c>
      <c r="M276" s="303">
        <v>129.50033500000001</v>
      </c>
      <c r="N276" s="303">
        <v>17726.559840000002</v>
      </c>
      <c r="O276" s="303">
        <v>17722.666550000002</v>
      </c>
      <c r="P276" s="305">
        <v>2078.7928750000001</v>
      </c>
      <c r="Q276" s="299">
        <f t="shared" si="1"/>
        <v>2078.7928750000001</v>
      </c>
      <c r="R276" s="300" t="s">
        <v>230</v>
      </c>
      <c r="S276" s="300" t="s">
        <v>12</v>
      </c>
      <c r="T276" s="305" t="s">
        <v>530</v>
      </c>
      <c r="U276" s="305">
        <v>15</v>
      </c>
      <c r="V276" s="305">
        <v>5</v>
      </c>
      <c r="W276" s="303">
        <v>0.7</v>
      </c>
      <c r="X276" s="303">
        <v>0.7</v>
      </c>
      <c r="Y276" s="303">
        <v>0.7</v>
      </c>
      <c r="Z276" s="303">
        <v>1700</v>
      </c>
      <c r="AA276" s="303" t="s">
        <v>531</v>
      </c>
      <c r="AB276" s="303">
        <v>0.85</v>
      </c>
      <c r="AC276" s="303" t="s">
        <v>532</v>
      </c>
      <c r="AD276" s="303" t="s">
        <v>533</v>
      </c>
      <c r="AE276" s="303">
        <v>220</v>
      </c>
      <c r="AF276" s="133"/>
      <c r="AG276" s="322"/>
    </row>
    <row r="277" spans="1:33" ht="15.75">
      <c r="A277" s="302" t="s">
        <v>597</v>
      </c>
      <c r="B277" s="303">
        <v>14</v>
      </c>
      <c r="C277" s="303">
        <v>249</v>
      </c>
      <c r="D277" s="303" t="s">
        <v>570</v>
      </c>
      <c r="E277" s="303">
        <v>1.5</v>
      </c>
      <c r="F277" s="304">
        <v>45414.683333333334</v>
      </c>
      <c r="G277" s="303">
        <v>1</v>
      </c>
      <c r="H277" s="303">
        <v>51.370800000000003</v>
      </c>
      <c r="I277" s="303">
        <v>7.5661399999999999</v>
      </c>
      <c r="J277" s="303">
        <v>-21.396338</v>
      </c>
      <c r="K277" s="303">
        <v>-20.574925</v>
      </c>
      <c r="L277" s="303">
        <v>994.17</v>
      </c>
      <c r="M277" s="303">
        <v>185.00074000000001</v>
      </c>
      <c r="N277" s="303">
        <v>17782.915059999999</v>
      </c>
      <c r="O277" s="303">
        <v>17730.926090000001</v>
      </c>
      <c r="P277" s="305">
        <v>2079.760389</v>
      </c>
      <c r="Q277" s="299">
        <f t="shared" si="1"/>
        <v>2079.760389</v>
      </c>
      <c r="R277" s="300" t="s">
        <v>230</v>
      </c>
      <c r="S277" s="300" t="s">
        <v>12</v>
      </c>
      <c r="T277" s="305" t="s">
        <v>545</v>
      </c>
      <c r="U277" s="305">
        <v>15</v>
      </c>
      <c r="V277" s="305">
        <v>5</v>
      </c>
      <c r="W277" s="303">
        <v>0.7</v>
      </c>
      <c r="X277" s="303">
        <v>0.7</v>
      </c>
      <c r="Y277" s="303">
        <v>0.7</v>
      </c>
      <c r="Z277" s="303">
        <v>1700</v>
      </c>
      <c r="AA277" s="303" t="s">
        <v>531</v>
      </c>
      <c r="AB277" s="303">
        <v>0.85</v>
      </c>
      <c r="AC277" s="303" t="s">
        <v>532</v>
      </c>
      <c r="AD277" s="303" t="s">
        <v>533</v>
      </c>
      <c r="AE277" s="303">
        <v>220</v>
      </c>
      <c r="AF277" s="133"/>
      <c r="AG277" s="322"/>
    </row>
    <row r="278" spans="1:33" ht="15.75">
      <c r="A278" s="302" t="s">
        <v>599</v>
      </c>
      <c r="B278" s="303">
        <v>14</v>
      </c>
      <c r="C278" s="303">
        <v>249</v>
      </c>
      <c r="D278" s="303" t="s">
        <v>570</v>
      </c>
      <c r="E278" s="303">
        <v>1.5</v>
      </c>
      <c r="F278" s="304">
        <v>45414.6875</v>
      </c>
      <c r="G278" s="303">
        <v>1</v>
      </c>
      <c r="H278" s="303">
        <v>51.370800000000003</v>
      </c>
      <c r="I278" s="303">
        <v>7.6986999999999997</v>
      </c>
      <c r="J278" s="303">
        <v>-21.466137</v>
      </c>
      <c r="K278" s="303">
        <v>-20.636137999999999</v>
      </c>
      <c r="L278" s="303">
        <v>979.04200000000003</v>
      </c>
      <c r="M278" s="303">
        <v>131.49975499999999</v>
      </c>
      <c r="N278" s="303">
        <v>17737.478599999999</v>
      </c>
      <c r="O278" s="303">
        <v>17730.926090000001</v>
      </c>
      <c r="P278" s="305">
        <v>2079.760389</v>
      </c>
      <c r="Q278" s="299">
        <f t="shared" si="1"/>
        <v>2079.760389</v>
      </c>
      <c r="R278" s="300" t="s">
        <v>230</v>
      </c>
      <c r="S278" s="300" t="s">
        <v>12</v>
      </c>
      <c r="T278" s="305" t="s">
        <v>530</v>
      </c>
      <c r="U278" s="305">
        <v>15</v>
      </c>
      <c r="V278" s="305">
        <v>5</v>
      </c>
      <c r="W278" s="303">
        <v>0.7</v>
      </c>
      <c r="X278" s="303">
        <v>0.7</v>
      </c>
      <c r="Y278" s="303">
        <v>0.7</v>
      </c>
      <c r="Z278" s="303">
        <v>1700</v>
      </c>
      <c r="AA278" s="303" t="s">
        <v>531</v>
      </c>
      <c r="AB278" s="303">
        <v>0.85</v>
      </c>
      <c r="AC278" s="303" t="s">
        <v>532</v>
      </c>
      <c r="AD278" s="303" t="s">
        <v>533</v>
      </c>
      <c r="AE278" s="303">
        <v>220</v>
      </c>
      <c r="AF278" s="133"/>
      <c r="AG278" s="323"/>
    </row>
    <row r="279" spans="1:33" ht="15.75">
      <c r="A279" s="302" t="s">
        <v>600</v>
      </c>
      <c r="B279" s="303">
        <v>14</v>
      </c>
      <c r="C279" s="303">
        <v>249</v>
      </c>
      <c r="D279" s="303" t="s">
        <v>570</v>
      </c>
      <c r="E279" s="303">
        <v>1.5</v>
      </c>
      <c r="F279" s="304">
        <v>45414.690972222219</v>
      </c>
      <c r="G279" s="303">
        <v>1</v>
      </c>
      <c r="H279" s="303">
        <v>51.374099999999999</v>
      </c>
      <c r="I279" s="303">
        <v>7.6789300000000003</v>
      </c>
      <c r="J279" s="303">
        <v>-21.370125000000002</v>
      </c>
      <c r="K279" s="303">
        <v>-20.590812</v>
      </c>
      <c r="L279" s="303">
        <v>989.64300000000003</v>
      </c>
      <c r="M279" s="303">
        <v>166.00053600000001</v>
      </c>
      <c r="N279" s="303">
        <v>17764.122060000002</v>
      </c>
      <c r="O279" s="303">
        <v>17730.926090000001</v>
      </c>
      <c r="P279" s="305">
        <v>2079.760389</v>
      </c>
      <c r="Q279" s="299">
        <f t="shared" si="1"/>
        <v>2079.760389</v>
      </c>
      <c r="R279" s="300" t="s">
        <v>230</v>
      </c>
      <c r="S279" s="300" t="s">
        <v>12</v>
      </c>
      <c r="T279" s="305" t="s">
        <v>545</v>
      </c>
      <c r="U279" s="305">
        <v>15</v>
      </c>
      <c r="V279" s="305">
        <v>5</v>
      </c>
      <c r="W279" s="303">
        <v>0.7</v>
      </c>
      <c r="X279" s="303">
        <v>0.7</v>
      </c>
      <c r="Y279" s="303">
        <v>0.7</v>
      </c>
      <c r="Z279" s="303">
        <v>1700</v>
      </c>
      <c r="AA279" s="303" t="s">
        <v>531</v>
      </c>
      <c r="AB279" s="303">
        <v>0.85</v>
      </c>
      <c r="AC279" s="303" t="s">
        <v>532</v>
      </c>
      <c r="AD279" s="303" t="s">
        <v>533</v>
      </c>
      <c r="AE279" s="303">
        <v>220</v>
      </c>
      <c r="AF279" s="133"/>
      <c r="AG279" s="323"/>
    </row>
    <row r="280" spans="1:33" ht="15.75">
      <c r="A280" s="302" t="s">
        <v>601</v>
      </c>
      <c r="B280" s="303">
        <v>14</v>
      </c>
      <c r="C280" s="303">
        <v>249</v>
      </c>
      <c r="D280" s="303" t="s">
        <v>570</v>
      </c>
      <c r="E280" s="303">
        <v>1.5</v>
      </c>
      <c r="F280" s="304">
        <v>45414.695138888892</v>
      </c>
      <c r="G280" s="303">
        <v>1</v>
      </c>
      <c r="H280" s="303">
        <v>51.374099999999999</v>
      </c>
      <c r="I280" s="303">
        <v>7.7029300000000003</v>
      </c>
      <c r="J280" s="303">
        <v>-21.447437000000001</v>
      </c>
      <c r="K280" s="303">
        <v>-20.605430999999999</v>
      </c>
      <c r="L280" s="303">
        <v>984.22699999999998</v>
      </c>
      <c r="M280" s="303">
        <v>152.99944400000001</v>
      </c>
      <c r="N280" s="303">
        <v>17728.7965</v>
      </c>
      <c r="O280" s="303">
        <v>17730.926090000001</v>
      </c>
      <c r="P280" s="305">
        <v>2079.760389</v>
      </c>
      <c r="Q280" s="299">
        <f t="shared" si="1"/>
        <v>2079.760389</v>
      </c>
      <c r="R280" s="300" t="s">
        <v>230</v>
      </c>
      <c r="S280" s="300" t="s">
        <v>12</v>
      </c>
      <c r="T280" s="305" t="s">
        <v>530</v>
      </c>
      <c r="U280" s="305">
        <v>15</v>
      </c>
      <c r="V280" s="305">
        <v>5</v>
      </c>
      <c r="W280" s="303">
        <v>0.7</v>
      </c>
      <c r="X280" s="303">
        <v>0.7</v>
      </c>
      <c r="Y280" s="303">
        <v>0.7</v>
      </c>
      <c r="Z280" s="303">
        <v>1700</v>
      </c>
      <c r="AA280" s="303" t="s">
        <v>531</v>
      </c>
      <c r="AB280" s="303">
        <v>0.85</v>
      </c>
      <c r="AC280" s="303" t="s">
        <v>532</v>
      </c>
      <c r="AD280" s="303" t="s">
        <v>533</v>
      </c>
      <c r="AE280" s="303">
        <v>220</v>
      </c>
      <c r="AF280" s="133"/>
      <c r="AG280" s="323"/>
    </row>
    <row r="281" spans="1:33" ht="15.75">
      <c r="A281" s="302" t="s">
        <v>680</v>
      </c>
      <c r="B281" s="303">
        <v>14</v>
      </c>
      <c r="C281" s="303">
        <v>249</v>
      </c>
      <c r="D281" s="303" t="s">
        <v>570</v>
      </c>
      <c r="E281" s="303">
        <v>1.5</v>
      </c>
      <c r="F281" s="304">
        <v>45414.699305555558</v>
      </c>
      <c r="G281" s="303">
        <v>1</v>
      </c>
      <c r="H281" s="303">
        <v>51.374099999999999</v>
      </c>
      <c r="I281" s="303">
        <v>7.7587799999999998</v>
      </c>
      <c r="J281" s="303">
        <v>-21.413212000000001</v>
      </c>
      <c r="K281" s="303">
        <v>-20.644480999999999</v>
      </c>
      <c r="L281" s="303">
        <v>969.70699999999999</v>
      </c>
      <c r="M281" s="303">
        <v>147.000123</v>
      </c>
      <c r="N281" s="303">
        <v>17726.50316</v>
      </c>
      <c r="O281" s="303">
        <v>17730.926090000001</v>
      </c>
      <c r="P281" s="305">
        <v>2079.760389</v>
      </c>
      <c r="Q281" s="299">
        <f t="shared" si="1"/>
        <v>2079.760389</v>
      </c>
      <c r="R281" s="300" t="s">
        <v>230</v>
      </c>
      <c r="S281" s="300" t="s">
        <v>12</v>
      </c>
      <c r="T281" s="305" t="s">
        <v>530</v>
      </c>
      <c r="U281" s="305">
        <v>15</v>
      </c>
      <c r="V281" s="305">
        <v>5</v>
      </c>
      <c r="W281" s="303">
        <v>0.7</v>
      </c>
      <c r="X281" s="303">
        <v>0.7</v>
      </c>
      <c r="Y281" s="303">
        <v>0.7</v>
      </c>
      <c r="Z281" s="303">
        <v>1700</v>
      </c>
      <c r="AA281" s="303" t="s">
        <v>531</v>
      </c>
      <c r="AB281" s="303">
        <v>0.85</v>
      </c>
      <c r="AC281" s="303" t="s">
        <v>532</v>
      </c>
      <c r="AD281" s="303" t="s">
        <v>533</v>
      </c>
      <c r="AE281" s="303">
        <v>220</v>
      </c>
      <c r="AF281" s="133"/>
      <c r="AG281" s="322"/>
    </row>
    <row r="282" spans="1:33" ht="15.75">
      <c r="A282" s="302" t="s">
        <v>602</v>
      </c>
      <c r="B282" s="303">
        <v>15</v>
      </c>
      <c r="C282" s="303">
        <v>261</v>
      </c>
      <c r="D282" s="303" t="s">
        <v>575</v>
      </c>
      <c r="E282" s="303">
        <v>1.5</v>
      </c>
      <c r="F282" s="304">
        <v>45414.703472222223</v>
      </c>
      <c r="G282" s="303">
        <v>1</v>
      </c>
      <c r="H282" s="303">
        <v>51.374099999999999</v>
      </c>
      <c r="I282" s="303">
        <v>7.7142099999999996</v>
      </c>
      <c r="J282" s="303">
        <v>-21.345255999999999</v>
      </c>
      <c r="K282" s="303">
        <v>-20.498787</v>
      </c>
      <c r="L282" s="303">
        <v>981.65700000000004</v>
      </c>
      <c r="M282" s="303">
        <v>130.500169</v>
      </c>
      <c r="N282" s="303">
        <v>17672.667850000002</v>
      </c>
      <c r="O282" s="303">
        <v>17740.430400000001</v>
      </c>
      <c r="P282" s="305">
        <v>2080.8737120000001</v>
      </c>
      <c r="Q282" s="299">
        <f t="shared" si="1"/>
        <v>2080.8737120000001</v>
      </c>
      <c r="R282" s="300" t="s">
        <v>230</v>
      </c>
      <c r="S282" s="300" t="s">
        <v>12</v>
      </c>
      <c r="T282" s="305" t="s">
        <v>545</v>
      </c>
      <c r="U282" s="305">
        <v>15</v>
      </c>
      <c r="V282" s="305">
        <v>5</v>
      </c>
      <c r="W282" s="303">
        <v>0.7</v>
      </c>
      <c r="X282" s="303">
        <v>0.7</v>
      </c>
      <c r="Y282" s="303">
        <v>0.7</v>
      </c>
      <c r="Z282" s="303">
        <v>1700</v>
      </c>
      <c r="AA282" s="303" t="s">
        <v>531</v>
      </c>
      <c r="AB282" s="303">
        <v>0.85</v>
      </c>
      <c r="AC282" s="303" t="s">
        <v>532</v>
      </c>
      <c r="AD282" s="303" t="s">
        <v>533</v>
      </c>
      <c r="AE282" s="303">
        <v>220</v>
      </c>
      <c r="AF282" s="133"/>
      <c r="AG282" s="322"/>
    </row>
    <row r="283" spans="1:33" ht="15.75">
      <c r="A283" s="302" t="s">
        <v>604</v>
      </c>
      <c r="B283" s="303">
        <v>15</v>
      </c>
      <c r="C283" s="303">
        <v>261</v>
      </c>
      <c r="D283" s="303" t="s">
        <v>575</v>
      </c>
      <c r="E283" s="303">
        <v>1.5</v>
      </c>
      <c r="F283" s="304">
        <v>45414.706944444442</v>
      </c>
      <c r="G283" s="303">
        <v>1</v>
      </c>
      <c r="H283" s="303">
        <v>51.3675</v>
      </c>
      <c r="I283" s="303">
        <v>7.6806299999999998</v>
      </c>
      <c r="J283" s="303">
        <v>-21.400843999999999</v>
      </c>
      <c r="K283" s="303">
        <v>-20.566818999999999</v>
      </c>
      <c r="L283" s="303">
        <v>990.68499999999995</v>
      </c>
      <c r="M283" s="303">
        <v>101.500439</v>
      </c>
      <c r="N283" s="303">
        <v>17627.696120000001</v>
      </c>
      <c r="O283" s="303">
        <v>17740.430400000001</v>
      </c>
      <c r="P283" s="305">
        <v>2080.8737120000001</v>
      </c>
      <c r="Q283" s="299">
        <f t="shared" si="1"/>
        <v>2080.8737120000001</v>
      </c>
      <c r="R283" s="300" t="s">
        <v>230</v>
      </c>
      <c r="S283" s="300" t="s">
        <v>12</v>
      </c>
      <c r="T283" s="305" t="s">
        <v>545</v>
      </c>
      <c r="U283" s="305">
        <v>15</v>
      </c>
      <c r="V283" s="305">
        <v>5</v>
      </c>
      <c r="W283" s="303">
        <v>0.7</v>
      </c>
      <c r="X283" s="303">
        <v>0.7</v>
      </c>
      <c r="Y283" s="303">
        <v>0.7</v>
      </c>
      <c r="Z283" s="303">
        <v>1700</v>
      </c>
      <c r="AA283" s="303" t="s">
        <v>531</v>
      </c>
      <c r="AB283" s="303">
        <v>0.85</v>
      </c>
      <c r="AC283" s="303" t="s">
        <v>532</v>
      </c>
      <c r="AD283" s="303" t="s">
        <v>533</v>
      </c>
      <c r="AE283" s="303">
        <v>220</v>
      </c>
      <c r="AF283" s="133"/>
      <c r="AG283" s="322"/>
    </row>
    <row r="284" spans="1:33" ht="15.75">
      <c r="A284" s="302" t="s">
        <v>605</v>
      </c>
      <c r="B284" s="303">
        <v>15</v>
      </c>
      <c r="C284" s="303">
        <v>261</v>
      </c>
      <c r="D284" s="303" t="s">
        <v>575</v>
      </c>
      <c r="E284" s="303">
        <v>1.5</v>
      </c>
      <c r="F284" s="304">
        <v>45414.710416666669</v>
      </c>
      <c r="G284" s="303">
        <v>1</v>
      </c>
      <c r="H284" s="303">
        <v>51.370800000000003</v>
      </c>
      <c r="I284" s="303">
        <v>7.6442600000000001</v>
      </c>
      <c r="J284" s="303">
        <v>-21.446280999999999</v>
      </c>
      <c r="K284" s="303">
        <v>-20.604061999999999</v>
      </c>
      <c r="L284" s="303">
        <v>988.04200000000003</v>
      </c>
      <c r="M284" s="303">
        <v>124.99906300000001</v>
      </c>
      <c r="N284" s="303">
        <v>17748.679629999999</v>
      </c>
      <c r="O284" s="303">
        <v>17740.430400000001</v>
      </c>
      <c r="P284" s="305">
        <v>2080.8737120000001</v>
      </c>
      <c r="Q284" s="299">
        <f t="shared" si="1"/>
        <v>2080.8737120000001</v>
      </c>
      <c r="R284" s="300" t="s">
        <v>230</v>
      </c>
      <c r="S284" s="300" t="s">
        <v>12</v>
      </c>
      <c r="T284" s="305" t="s">
        <v>530</v>
      </c>
      <c r="U284" s="305">
        <v>15</v>
      </c>
      <c r="V284" s="305">
        <v>5</v>
      </c>
      <c r="W284" s="303">
        <v>0.7</v>
      </c>
      <c r="X284" s="303">
        <v>0.7</v>
      </c>
      <c r="Y284" s="303">
        <v>0.7</v>
      </c>
      <c r="Z284" s="303">
        <v>1700</v>
      </c>
      <c r="AA284" s="303" t="s">
        <v>531</v>
      </c>
      <c r="AB284" s="303">
        <v>0.85</v>
      </c>
      <c r="AC284" s="303" t="s">
        <v>532</v>
      </c>
      <c r="AD284" s="303" t="s">
        <v>533</v>
      </c>
      <c r="AE284" s="303">
        <v>220</v>
      </c>
      <c r="AF284" s="133"/>
      <c r="AG284" s="322"/>
    </row>
    <row r="285" spans="1:33" ht="15.75">
      <c r="A285" s="302" t="s">
        <v>684</v>
      </c>
      <c r="B285" s="303">
        <v>15</v>
      </c>
      <c r="C285" s="303">
        <v>261</v>
      </c>
      <c r="D285" s="303" t="s">
        <v>575</v>
      </c>
      <c r="E285" s="303">
        <v>1.5</v>
      </c>
      <c r="F285" s="304">
        <v>45414.713888888888</v>
      </c>
      <c r="G285" s="303">
        <v>1</v>
      </c>
      <c r="H285" s="303">
        <v>51.374099999999999</v>
      </c>
      <c r="I285" s="303">
        <v>7.5306800000000003</v>
      </c>
      <c r="J285" s="303">
        <v>-21.521131</v>
      </c>
      <c r="K285" s="303">
        <v>-20.686388000000001</v>
      </c>
      <c r="L285" s="303">
        <v>997.1</v>
      </c>
      <c r="M285" s="303">
        <v>144.00081900000001</v>
      </c>
      <c r="N285" s="303">
        <v>17736.909919999998</v>
      </c>
      <c r="O285" s="303">
        <v>17740.430400000001</v>
      </c>
      <c r="P285" s="305">
        <v>2080.8737120000001</v>
      </c>
      <c r="Q285" s="299">
        <f t="shared" si="1"/>
        <v>2080.8737120000001</v>
      </c>
      <c r="R285" s="300" t="s">
        <v>230</v>
      </c>
      <c r="S285" s="300" t="s">
        <v>12</v>
      </c>
      <c r="T285" s="305" t="s">
        <v>530</v>
      </c>
      <c r="U285" s="305">
        <v>15</v>
      </c>
      <c r="V285" s="305">
        <v>5</v>
      </c>
      <c r="W285" s="303">
        <v>0.7</v>
      </c>
      <c r="X285" s="303">
        <v>0.7</v>
      </c>
      <c r="Y285" s="303">
        <v>0.7</v>
      </c>
      <c r="Z285" s="303">
        <v>1700</v>
      </c>
      <c r="AA285" s="303" t="s">
        <v>531</v>
      </c>
      <c r="AB285" s="303">
        <v>0.85</v>
      </c>
      <c r="AC285" s="303" t="s">
        <v>532</v>
      </c>
      <c r="AD285" s="303" t="s">
        <v>533</v>
      </c>
      <c r="AE285" s="303">
        <v>220</v>
      </c>
      <c r="AF285" s="133"/>
      <c r="AG285" s="322"/>
    </row>
    <row r="286" spans="1:33" ht="15.75">
      <c r="A286" s="302" t="s">
        <v>685</v>
      </c>
      <c r="B286" s="303">
        <v>15</v>
      </c>
      <c r="C286" s="303">
        <v>261</v>
      </c>
      <c r="D286" s="303" t="s">
        <v>575</v>
      </c>
      <c r="E286" s="303">
        <v>1.5</v>
      </c>
      <c r="F286" s="304">
        <v>45414.718055555553</v>
      </c>
      <c r="G286" s="303">
        <v>1</v>
      </c>
      <c r="H286" s="303">
        <v>51.370800000000003</v>
      </c>
      <c r="I286" s="303">
        <v>7.6677900000000001</v>
      </c>
      <c r="J286" s="303">
        <v>-21.591612999999999</v>
      </c>
      <c r="K286" s="303">
        <v>-20.752894000000001</v>
      </c>
      <c r="L286" s="303">
        <v>984.14</v>
      </c>
      <c r="M286" s="303">
        <v>157.99946499999999</v>
      </c>
      <c r="N286" s="303">
        <v>17735.701659999999</v>
      </c>
      <c r="O286" s="303">
        <v>17740.430400000001</v>
      </c>
      <c r="P286" s="305">
        <v>2080.8737120000001</v>
      </c>
      <c r="Q286" s="299">
        <f t="shared" si="1"/>
        <v>2080.8737120000001</v>
      </c>
      <c r="R286" s="300" t="s">
        <v>230</v>
      </c>
      <c r="S286" s="300" t="s">
        <v>12</v>
      </c>
      <c r="T286" s="305" t="s">
        <v>530</v>
      </c>
      <c r="U286" s="305">
        <v>15</v>
      </c>
      <c r="V286" s="305">
        <v>5</v>
      </c>
      <c r="W286" s="303">
        <v>0.7</v>
      </c>
      <c r="X286" s="303">
        <v>0.7</v>
      </c>
      <c r="Y286" s="303">
        <v>0.7</v>
      </c>
      <c r="Z286" s="303">
        <v>1700</v>
      </c>
      <c r="AA286" s="303" t="s">
        <v>531</v>
      </c>
      <c r="AB286" s="303">
        <v>0.85</v>
      </c>
      <c r="AC286" s="303" t="s">
        <v>532</v>
      </c>
      <c r="AD286" s="303" t="s">
        <v>533</v>
      </c>
      <c r="AE286" s="303">
        <v>220</v>
      </c>
      <c r="AF286" s="133"/>
      <c r="AG286" s="322"/>
    </row>
    <row r="287" spans="1:33" ht="15.75">
      <c r="A287" s="302" t="s">
        <v>606</v>
      </c>
      <c r="B287" s="303">
        <v>16</v>
      </c>
      <c r="C287" s="303">
        <v>262</v>
      </c>
      <c r="D287" s="303" t="s">
        <v>581</v>
      </c>
      <c r="E287" s="303">
        <v>1.5</v>
      </c>
      <c r="F287" s="304">
        <v>45414.722222222219</v>
      </c>
      <c r="G287" s="303">
        <v>1</v>
      </c>
      <c r="H287" s="303">
        <v>51.370800000000003</v>
      </c>
      <c r="I287" s="303">
        <v>7.6444599999999996</v>
      </c>
      <c r="J287" s="303">
        <v>-21.659475</v>
      </c>
      <c r="K287" s="303">
        <v>-20.809737999999999</v>
      </c>
      <c r="L287" s="303">
        <v>976.84</v>
      </c>
      <c r="M287" s="303">
        <v>143.49813399999999</v>
      </c>
      <c r="N287" s="303">
        <v>17676.740969999999</v>
      </c>
      <c r="O287" s="303">
        <v>0</v>
      </c>
      <c r="P287" s="305">
        <v>0</v>
      </c>
      <c r="Q287" s="299">
        <f t="shared" si="1"/>
        <v>0</v>
      </c>
      <c r="R287" s="300" t="s">
        <v>230</v>
      </c>
      <c r="S287" s="300" t="s">
        <v>582</v>
      </c>
      <c r="T287" s="305" t="s">
        <v>583</v>
      </c>
      <c r="U287" s="305">
        <v>15</v>
      </c>
      <c r="V287" s="305">
        <v>5</v>
      </c>
      <c r="W287" s="303">
        <v>0.7</v>
      </c>
      <c r="X287" s="303">
        <v>0.7</v>
      </c>
      <c r="Y287" s="303">
        <v>0.7</v>
      </c>
      <c r="Z287" s="303">
        <v>1700</v>
      </c>
      <c r="AA287" s="303" t="s">
        <v>531</v>
      </c>
      <c r="AB287" s="303">
        <v>0.85</v>
      </c>
      <c r="AC287" s="303" t="s">
        <v>532</v>
      </c>
      <c r="AD287" s="303" t="s">
        <v>533</v>
      </c>
      <c r="AE287" s="303">
        <v>220</v>
      </c>
      <c r="AF287" s="133"/>
      <c r="AG287" s="322"/>
    </row>
    <row r="288" spans="1:33" ht="15.75">
      <c r="A288" s="302" t="s">
        <v>607</v>
      </c>
      <c r="B288" s="303">
        <v>16</v>
      </c>
      <c r="C288" s="303">
        <v>262</v>
      </c>
      <c r="D288" s="303" t="s">
        <v>581</v>
      </c>
      <c r="E288" s="303">
        <v>1.5</v>
      </c>
      <c r="F288" s="304">
        <v>45414.726388888892</v>
      </c>
      <c r="G288" s="303">
        <v>1</v>
      </c>
      <c r="H288" s="303">
        <v>51.370800000000003</v>
      </c>
      <c r="I288" s="303">
        <v>7.7630100000000004</v>
      </c>
      <c r="J288" s="303">
        <v>-21.468744000000001</v>
      </c>
      <c r="K288" s="303">
        <v>-20.628799999999998</v>
      </c>
      <c r="L288" s="303">
        <v>1005.39</v>
      </c>
      <c r="M288" s="303">
        <v>119.500664</v>
      </c>
      <c r="N288" s="303">
        <v>17721.00131</v>
      </c>
      <c r="O288" s="303">
        <v>0</v>
      </c>
      <c r="P288" s="305">
        <v>0</v>
      </c>
      <c r="Q288" s="299">
        <f t="shared" si="1"/>
        <v>0</v>
      </c>
      <c r="R288" s="300" t="s">
        <v>230</v>
      </c>
      <c r="S288" s="300" t="s">
        <v>582</v>
      </c>
      <c r="T288" s="305" t="s">
        <v>583</v>
      </c>
      <c r="U288" s="305">
        <v>15</v>
      </c>
      <c r="V288" s="305">
        <v>5</v>
      </c>
      <c r="W288" s="303">
        <v>0.7</v>
      </c>
      <c r="X288" s="303">
        <v>0.7</v>
      </c>
      <c r="Y288" s="303">
        <v>0.7</v>
      </c>
      <c r="Z288" s="303">
        <v>1700</v>
      </c>
      <c r="AA288" s="303" t="s">
        <v>531</v>
      </c>
      <c r="AB288" s="303">
        <v>0.85</v>
      </c>
      <c r="AC288" s="303" t="s">
        <v>532</v>
      </c>
      <c r="AD288" s="303" t="s">
        <v>533</v>
      </c>
      <c r="AE288" s="303">
        <v>220</v>
      </c>
      <c r="AF288" s="133"/>
      <c r="AG288" s="322"/>
    </row>
    <row r="289" spans="1:33" ht="15.75">
      <c r="A289" s="302" t="s">
        <v>608</v>
      </c>
      <c r="B289" s="303">
        <v>16</v>
      </c>
      <c r="C289" s="303">
        <v>262</v>
      </c>
      <c r="D289" s="303" t="s">
        <v>581</v>
      </c>
      <c r="E289" s="303">
        <v>1.5</v>
      </c>
      <c r="F289" s="304">
        <v>45414.729861111111</v>
      </c>
      <c r="G289" s="303">
        <v>1</v>
      </c>
      <c r="H289" s="303">
        <v>51.370800000000003</v>
      </c>
      <c r="I289" s="303">
        <v>7.6935200000000004</v>
      </c>
      <c r="J289" s="303">
        <v>-21.57375</v>
      </c>
      <c r="K289" s="303">
        <v>-20.758187</v>
      </c>
      <c r="L289" s="303">
        <v>993.92700000000002</v>
      </c>
      <c r="M289" s="303">
        <v>133.49938700000001</v>
      </c>
      <c r="N289" s="303">
        <v>17771.752349999999</v>
      </c>
      <c r="O289" s="303">
        <v>0</v>
      </c>
      <c r="P289" s="305">
        <v>0</v>
      </c>
      <c r="Q289" s="299">
        <f t="shared" si="1"/>
        <v>0</v>
      </c>
      <c r="R289" s="300" t="s">
        <v>230</v>
      </c>
      <c r="S289" s="300" t="s">
        <v>582</v>
      </c>
      <c r="T289" s="305" t="s">
        <v>583</v>
      </c>
      <c r="U289" s="305">
        <v>15</v>
      </c>
      <c r="V289" s="305">
        <v>5</v>
      </c>
      <c r="W289" s="303">
        <v>0.7</v>
      </c>
      <c r="X289" s="303">
        <v>0.7</v>
      </c>
      <c r="Y289" s="303">
        <v>0.7</v>
      </c>
      <c r="Z289" s="303">
        <v>1700</v>
      </c>
      <c r="AA289" s="303" t="s">
        <v>531</v>
      </c>
      <c r="AB289" s="303">
        <v>0.85</v>
      </c>
      <c r="AC289" s="303" t="s">
        <v>532</v>
      </c>
      <c r="AD289" s="303" t="s">
        <v>533</v>
      </c>
      <c r="AE289" s="303">
        <v>220</v>
      </c>
      <c r="AF289" s="133"/>
      <c r="AG289" s="322"/>
    </row>
    <row r="290" spans="1:33" ht="15.75">
      <c r="A290" s="302" t="s">
        <v>609</v>
      </c>
      <c r="B290" s="303">
        <v>16</v>
      </c>
      <c r="C290" s="303">
        <v>262</v>
      </c>
      <c r="D290" s="303" t="s">
        <v>581</v>
      </c>
      <c r="E290" s="303">
        <v>1.5</v>
      </c>
      <c r="F290" s="304">
        <v>45414.73333333333</v>
      </c>
      <c r="G290" s="303">
        <v>1</v>
      </c>
      <c r="H290" s="303">
        <v>51.374099999999999</v>
      </c>
      <c r="I290" s="303">
        <v>7.6901599999999997</v>
      </c>
      <c r="J290" s="303">
        <v>-21.519413</v>
      </c>
      <c r="K290" s="303">
        <v>-20.675075</v>
      </c>
      <c r="L290" s="303">
        <v>982.65300000000002</v>
      </c>
      <c r="M290" s="303">
        <v>125.50115700000001</v>
      </c>
      <c r="N290" s="303">
        <v>17656.250609999999</v>
      </c>
      <c r="O290" s="303">
        <v>0</v>
      </c>
      <c r="P290" s="305">
        <v>0</v>
      </c>
      <c r="Q290" s="299">
        <f t="shared" si="1"/>
        <v>0</v>
      </c>
      <c r="R290" s="300" t="s">
        <v>230</v>
      </c>
      <c r="S290" s="300" t="s">
        <v>582</v>
      </c>
      <c r="T290" s="305" t="s">
        <v>583</v>
      </c>
      <c r="U290" s="305">
        <v>15</v>
      </c>
      <c r="V290" s="305">
        <v>5</v>
      </c>
      <c r="W290" s="303">
        <v>0.7</v>
      </c>
      <c r="X290" s="303">
        <v>0.7</v>
      </c>
      <c r="Y290" s="303">
        <v>0.7</v>
      </c>
      <c r="Z290" s="303">
        <v>1700</v>
      </c>
      <c r="AA290" s="303" t="s">
        <v>531</v>
      </c>
      <c r="AB290" s="303">
        <v>0.85</v>
      </c>
      <c r="AC290" s="303" t="s">
        <v>532</v>
      </c>
      <c r="AD290" s="303" t="s">
        <v>533</v>
      </c>
      <c r="AE290" s="303">
        <v>220</v>
      </c>
      <c r="AF290" s="133"/>
      <c r="AG290" s="322"/>
    </row>
    <row r="291" spans="1:33" ht="15.75">
      <c r="A291" s="302" t="s">
        <v>686</v>
      </c>
      <c r="B291" s="303">
        <v>16</v>
      </c>
      <c r="C291" s="303">
        <v>262</v>
      </c>
      <c r="D291" s="303" t="s">
        <v>581</v>
      </c>
      <c r="E291" s="303">
        <v>1.5</v>
      </c>
      <c r="F291" s="304">
        <v>45414.737500000003</v>
      </c>
      <c r="G291" s="303">
        <v>1</v>
      </c>
      <c r="H291" s="303">
        <v>51.370800000000003</v>
      </c>
      <c r="I291" s="303">
        <v>7.6682800000000002</v>
      </c>
      <c r="J291" s="303">
        <v>-21.512719000000001</v>
      </c>
      <c r="K291" s="303">
        <v>-20.735206000000002</v>
      </c>
      <c r="L291" s="303">
        <v>977.00599999999997</v>
      </c>
      <c r="M291" s="303">
        <v>178.49977699999999</v>
      </c>
      <c r="N291" s="303">
        <v>17719.888920000001</v>
      </c>
      <c r="O291" s="303">
        <v>0</v>
      </c>
      <c r="P291" s="305">
        <v>0</v>
      </c>
      <c r="Q291" s="299">
        <f t="shared" si="1"/>
        <v>0</v>
      </c>
      <c r="R291" s="300" t="s">
        <v>230</v>
      </c>
      <c r="S291" s="300" t="s">
        <v>582</v>
      </c>
      <c r="T291" s="305" t="s">
        <v>583</v>
      </c>
      <c r="U291" s="305">
        <v>15</v>
      </c>
      <c r="V291" s="305">
        <v>5</v>
      </c>
      <c r="W291" s="303">
        <v>0.7</v>
      </c>
      <c r="X291" s="303">
        <v>0.7</v>
      </c>
      <c r="Y291" s="303">
        <v>0.7</v>
      </c>
      <c r="Z291" s="303">
        <v>1700</v>
      </c>
      <c r="AA291" s="303" t="s">
        <v>531</v>
      </c>
      <c r="AB291" s="303">
        <v>0.85</v>
      </c>
      <c r="AC291" s="303" t="s">
        <v>532</v>
      </c>
      <c r="AD291" s="303" t="s">
        <v>533</v>
      </c>
      <c r="AE291" s="303">
        <v>220</v>
      </c>
      <c r="AF291" s="133"/>
      <c r="AG291" s="322"/>
    </row>
    <row r="292" spans="1:33" ht="15.75">
      <c r="A292" s="302" t="s">
        <v>730</v>
      </c>
      <c r="B292" s="303">
        <v>16</v>
      </c>
      <c r="C292" s="303">
        <v>262</v>
      </c>
      <c r="D292" s="303" t="s">
        <v>581</v>
      </c>
      <c r="E292" s="303">
        <v>1.5</v>
      </c>
      <c r="F292" s="304">
        <v>45414.741666666669</v>
      </c>
      <c r="G292" s="303">
        <v>2</v>
      </c>
      <c r="H292" s="303">
        <v>51.370800000000003</v>
      </c>
      <c r="I292" s="303">
        <v>7.7248299999999999</v>
      </c>
      <c r="J292" s="303">
        <v>-21.685711999999999</v>
      </c>
      <c r="K292" s="303">
        <v>-20.838106</v>
      </c>
      <c r="L292" s="303">
        <v>989.27800000000002</v>
      </c>
      <c r="M292" s="303">
        <v>142.99985100000001</v>
      </c>
      <c r="N292" s="303">
        <v>17728.373889999999</v>
      </c>
      <c r="O292" s="303">
        <v>17733.77909</v>
      </c>
      <c r="P292" s="305">
        <v>2080.0945849999998</v>
      </c>
      <c r="Q292" s="299">
        <f t="shared" si="1"/>
        <v>2080.0945849999998</v>
      </c>
      <c r="R292" s="300" t="s">
        <v>230</v>
      </c>
      <c r="S292" s="300" t="s">
        <v>12</v>
      </c>
      <c r="T292" s="305" t="s">
        <v>530</v>
      </c>
      <c r="U292" s="305">
        <v>15</v>
      </c>
      <c r="V292" s="305">
        <v>5</v>
      </c>
      <c r="W292" s="303">
        <v>0.7</v>
      </c>
      <c r="X292" s="303">
        <v>0.7</v>
      </c>
      <c r="Y292" s="303">
        <v>0.7</v>
      </c>
      <c r="Z292" s="303">
        <v>1700</v>
      </c>
      <c r="AA292" s="303" t="s">
        <v>531</v>
      </c>
      <c r="AB292" s="303">
        <v>0.85</v>
      </c>
      <c r="AC292" s="303" t="s">
        <v>532</v>
      </c>
      <c r="AD292" s="303" t="s">
        <v>533</v>
      </c>
      <c r="AE292" s="303">
        <v>220</v>
      </c>
      <c r="AF292" s="133"/>
      <c r="AG292" s="322"/>
    </row>
    <row r="293" spans="1:33" ht="15.75">
      <c r="A293" s="302" t="s">
        <v>731</v>
      </c>
      <c r="B293" s="303">
        <v>16</v>
      </c>
      <c r="C293" s="303">
        <v>262</v>
      </c>
      <c r="D293" s="303" t="s">
        <v>581</v>
      </c>
      <c r="E293" s="303">
        <v>1.5</v>
      </c>
      <c r="F293" s="304">
        <v>45414.745138888888</v>
      </c>
      <c r="G293" s="303">
        <v>2</v>
      </c>
      <c r="H293" s="303">
        <v>51.370800000000003</v>
      </c>
      <c r="I293" s="303">
        <v>7.7357699999999996</v>
      </c>
      <c r="J293" s="303">
        <v>-21.484538000000001</v>
      </c>
      <c r="K293" s="303">
        <v>-20.667925</v>
      </c>
      <c r="L293" s="303">
        <v>986.66499999999996</v>
      </c>
      <c r="M293" s="303">
        <v>132.50053600000001</v>
      </c>
      <c r="N293" s="303">
        <v>17736.403200000001</v>
      </c>
      <c r="O293" s="303">
        <v>17733.77909</v>
      </c>
      <c r="P293" s="305">
        <v>2080.0945849999998</v>
      </c>
      <c r="Q293" s="299">
        <f t="shared" si="1"/>
        <v>2080.0945849999998</v>
      </c>
      <c r="R293" s="300" t="s">
        <v>230</v>
      </c>
      <c r="S293" s="300" t="s">
        <v>12</v>
      </c>
      <c r="T293" s="305" t="s">
        <v>530</v>
      </c>
      <c r="U293" s="305">
        <v>15</v>
      </c>
      <c r="V293" s="305">
        <v>5</v>
      </c>
      <c r="W293" s="303">
        <v>0.7</v>
      </c>
      <c r="X293" s="303">
        <v>0.7</v>
      </c>
      <c r="Y293" s="303">
        <v>0.7</v>
      </c>
      <c r="Z293" s="303">
        <v>1700</v>
      </c>
      <c r="AA293" s="303" t="s">
        <v>531</v>
      </c>
      <c r="AB293" s="303">
        <v>0.85</v>
      </c>
      <c r="AC293" s="303" t="s">
        <v>532</v>
      </c>
      <c r="AD293" s="303" t="s">
        <v>533</v>
      </c>
      <c r="AE293" s="303">
        <v>220</v>
      </c>
      <c r="AF293" s="133"/>
      <c r="AG293" s="322"/>
    </row>
    <row r="294" spans="1:33" ht="15.75">
      <c r="A294" s="302" t="s">
        <v>732</v>
      </c>
      <c r="B294" s="303">
        <v>16</v>
      </c>
      <c r="C294" s="303">
        <v>262</v>
      </c>
      <c r="D294" s="303" t="s">
        <v>581</v>
      </c>
      <c r="E294" s="303">
        <v>1.5</v>
      </c>
      <c r="F294" s="304">
        <v>45414.748611111114</v>
      </c>
      <c r="G294" s="303">
        <v>2</v>
      </c>
      <c r="H294" s="303">
        <v>51.374099999999999</v>
      </c>
      <c r="I294" s="303">
        <v>7.6748000000000003</v>
      </c>
      <c r="J294" s="303">
        <v>-21.544824999999999</v>
      </c>
      <c r="K294" s="303">
        <v>-20.715619</v>
      </c>
      <c r="L294" s="303">
        <v>978.60599999999999</v>
      </c>
      <c r="M294" s="303">
        <v>169.50055</v>
      </c>
      <c r="N294" s="303">
        <v>17736.560170000001</v>
      </c>
      <c r="O294" s="303">
        <v>17733.77909</v>
      </c>
      <c r="P294" s="305">
        <v>2080.0945849999998</v>
      </c>
      <c r="Q294" s="299">
        <f t="shared" si="1"/>
        <v>2080.0945849999998</v>
      </c>
      <c r="R294" s="300" t="s">
        <v>230</v>
      </c>
      <c r="S294" s="300" t="s">
        <v>12</v>
      </c>
      <c r="T294" s="305" t="s">
        <v>530</v>
      </c>
      <c r="U294" s="305">
        <v>15</v>
      </c>
      <c r="V294" s="305">
        <v>5</v>
      </c>
      <c r="W294" s="303">
        <v>0.7</v>
      </c>
      <c r="X294" s="303">
        <v>0.7</v>
      </c>
      <c r="Y294" s="303">
        <v>0.7</v>
      </c>
      <c r="Z294" s="303">
        <v>1700</v>
      </c>
      <c r="AA294" s="303" t="s">
        <v>531</v>
      </c>
      <c r="AB294" s="303">
        <v>0.85</v>
      </c>
      <c r="AC294" s="303" t="s">
        <v>532</v>
      </c>
      <c r="AD294" s="303" t="s">
        <v>533</v>
      </c>
      <c r="AE294" s="303">
        <v>220</v>
      </c>
      <c r="AF294" s="133"/>
      <c r="AG294" s="322"/>
    </row>
    <row r="295" spans="1:33" ht="15.75">
      <c r="A295" s="302" t="s">
        <v>610</v>
      </c>
      <c r="B295" s="303">
        <v>17</v>
      </c>
      <c r="C295" s="303">
        <v>274</v>
      </c>
      <c r="D295" s="303" t="s">
        <v>594</v>
      </c>
      <c r="E295" s="303">
        <v>1.5</v>
      </c>
      <c r="F295" s="304">
        <v>45414.753472222219</v>
      </c>
      <c r="G295" s="303">
        <v>1</v>
      </c>
      <c r="H295" s="303">
        <v>51.377400000000002</v>
      </c>
      <c r="I295" s="303">
        <v>7.6859799999999998</v>
      </c>
      <c r="J295" s="303">
        <v>-21.484494000000002</v>
      </c>
      <c r="K295" s="303">
        <v>-20.639931000000001</v>
      </c>
      <c r="L295" s="303">
        <v>990.48500000000001</v>
      </c>
      <c r="M295" s="303">
        <v>122.999787</v>
      </c>
      <c r="N295" s="303">
        <v>17754.109769999999</v>
      </c>
      <c r="O295" s="303">
        <v>17764.62357</v>
      </c>
      <c r="P295" s="305">
        <v>2083.7076710000001</v>
      </c>
      <c r="Q295" s="299">
        <f t="shared" si="1"/>
        <v>2083.7076710000001</v>
      </c>
      <c r="R295" s="300" t="s">
        <v>230</v>
      </c>
      <c r="S295" s="300" t="s">
        <v>12</v>
      </c>
      <c r="T295" s="305" t="s">
        <v>530</v>
      </c>
      <c r="U295" s="305">
        <v>15</v>
      </c>
      <c r="V295" s="305">
        <v>5</v>
      </c>
      <c r="W295" s="303">
        <v>0.7</v>
      </c>
      <c r="X295" s="303">
        <v>0.7</v>
      </c>
      <c r="Y295" s="303">
        <v>0.7</v>
      </c>
      <c r="Z295" s="303">
        <v>1700</v>
      </c>
      <c r="AA295" s="303" t="s">
        <v>531</v>
      </c>
      <c r="AB295" s="303">
        <v>0.85</v>
      </c>
      <c r="AC295" s="303" t="s">
        <v>532</v>
      </c>
      <c r="AD295" s="303" t="s">
        <v>533</v>
      </c>
      <c r="AE295" s="303">
        <v>220</v>
      </c>
      <c r="AF295" s="133"/>
      <c r="AG295" s="322"/>
    </row>
    <row r="296" spans="1:33" ht="15.75">
      <c r="A296" s="302" t="s">
        <v>611</v>
      </c>
      <c r="B296" s="303">
        <v>17</v>
      </c>
      <c r="C296" s="303">
        <v>274</v>
      </c>
      <c r="D296" s="303" t="s">
        <v>594</v>
      </c>
      <c r="E296" s="303">
        <v>1.5</v>
      </c>
      <c r="F296" s="304">
        <v>45414.756944444445</v>
      </c>
      <c r="G296" s="303">
        <v>1</v>
      </c>
      <c r="H296" s="303">
        <v>51.370800000000003</v>
      </c>
      <c r="I296" s="303">
        <v>7.68241</v>
      </c>
      <c r="J296" s="303">
        <v>-21.598362999999999</v>
      </c>
      <c r="K296" s="303">
        <v>-20.761586999999999</v>
      </c>
      <c r="L296" s="303">
        <v>992.90200000000004</v>
      </c>
      <c r="M296" s="303">
        <v>226.000124</v>
      </c>
      <c r="N296" s="303">
        <v>17782.30243</v>
      </c>
      <c r="O296" s="303">
        <v>17764.62357</v>
      </c>
      <c r="P296" s="305">
        <v>2083.7076710000001</v>
      </c>
      <c r="Q296" s="299">
        <f t="shared" si="1"/>
        <v>2083.7076710000001</v>
      </c>
      <c r="R296" s="300" t="s">
        <v>230</v>
      </c>
      <c r="S296" s="300" t="s">
        <v>12</v>
      </c>
      <c r="T296" s="305" t="s">
        <v>530</v>
      </c>
      <c r="U296" s="305">
        <v>15</v>
      </c>
      <c r="V296" s="305">
        <v>5</v>
      </c>
      <c r="W296" s="303">
        <v>0.7</v>
      </c>
      <c r="X296" s="303">
        <v>0.7</v>
      </c>
      <c r="Y296" s="303">
        <v>0.7</v>
      </c>
      <c r="Z296" s="303">
        <v>1700</v>
      </c>
      <c r="AA296" s="303" t="s">
        <v>531</v>
      </c>
      <c r="AB296" s="303">
        <v>0.85</v>
      </c>
      <c r="AC296" s="303" t="s">
        <v>532</v>
      </c>
      <c r="AD296" s="303" t="s">
        <v>533</v>
      </c>
      <c r="AE296" s="303">
        <v>219</v>
      </c>
      <c r="AF296" s="133"/>
      <c r="AG296" s="322"/>
    </row>
    <row r="297" spans="1:33" ht="15.75">
      <c r="A297" s="302" t="s">
        <v>612</v>
      </c>
      <c r="B297" s="303">
        <v>17</v>
      </c>
      <c r="C297" s="303">
        <v>274</v>
      </c>
      <c r="D297" s="303" t="s">
        <v>594</v>
      </c>
      <c r="E297" s="303">
        <v>1.5</v>
      </c>
      <c r="F297" s="304">
        <v>45414.761805555558</v>
      </c>
      <c r="G297" s="303">
        <v>1</v>
      </c>
      <c r="H297" s="303">
        <v>51.370800000000003</v>
      </c>
      <c r="I297" s="303">
        <v>7.79786</v>
      </c>
      <c r="J297" s="303">
        <v>-21.611174999999999</v>
      </c>
      <c r="K297" s="303">
        <v>-20.780062000000001</v>
      </c>
      <c r="L297" s="303">
        <v>987.50300000000004</v>
      </c>
      <c r="M297" s="303">
        <v>130.00058799999999</v>
      </c>
      <c r="N297" s="303">
        <v>17757.45852</v>
      </c>
      <c r="O297" s="303">
        <v>17764.62357</v>
      </c>
      <c r="P297" s="305">
        <v>2083.7076710000001</v>
      </c>
      <c r="Q297" s="299">
        <f t="shared" si="1"/>
        <v>2083.7076710000001</v>
      </c>
      <c r="R297" s="300" t="s">
        <v>230</v>
      </c>
      <c r="S297" s="300" t="s">
        <v>12</v>
      </c>
      <c r="T297" s="305" t="s">
        <v>530</v>
      </c>
      <c r="U297" s="305">
        <v>15</v>
      </c>
      <c r="V297" s="305">
        <v>5</v>
      </c>
      <c r="W297" s="303">
        <v>0.7</v>
      </c>
      <c r="X297" s="303">
        <v>0.7</v>
      </c>
      <c r="Y297" s="303">
        <v>0.7</v>
      </c>
      <c r="Z297" s="303">
        <v>1700</v>
      </c>
      <c r="AA297" s="303" t="s">
        <v>531</v>
      </c>
      <c r="AB297" s="303">
        <v>0.85</v>
      </c>
      <c r="AC297" s="303" t="s">
        <v>532</v>
      </c>
      <c r="AD297" s="303" t="s">
        <v>533</v>
      </c>
      <c r="AE297" s="303">
        <v>220</v>
      </c>
      <c r="AF297" s="133"/>
      <c r="AG297" s="322"/>
    </row>
    <row r="298" spans="1:33" ht="15.75">
      <c r="A298" s="302" t="s">
        <v>614</v>
      </c>
      <c r="B298" s="303">
        <v>18</v>
      </c>
      <c r="C298" s="303">
        <v>236</v>
      </c>
      <c r="D298" s="303" t="s">
        <v>598</v>
      </c>
      <c r="E298" s="303">
        <v>1.5</v>
      </c>
      <c r="F298" s="304">
        <v>45414.765972222223</v>
      </c>
      <c r="G298" s="303">
        <v>1</v>
      </c>
      <c r="H298" s="303">
        <v>51.374099999999999</v>
      </c>
      <c r="I298" s="303">
        <v>7.8512700000000004</v>
      </c>
      <c r="J298" s="303">
        <v>-21.501556000000001</v>
      </c>
      <c r="K298" s="303">
        <v>-20.659613</v>
      </c>
      <c r="L298" s="303">
        <v>968.03300000000002</v>
      </c>
      <c r="M298" s="303">
        <v>126.499245</v>
      </c>
      <c r="N298" s="303">
        <v>17615.957999999999</v>
      </c>
      <c r="O298" s="303">
        <v>0</v>
      </c>
      <c r="P298" s="305">
        <v>0</v>
      </c>
      <c r="Q298" s="299">
        <f t="shared" si="1"/>
        <v>0</v>
      </c>
      <c r="R298" s="300" t="s">
        <v>230</v>
      </c>
      <c r="S298" s="300" t="s">
        <v>582</v>
      </c>
      <c r="T298" s="305" t="s">
        <v>583</v>
      </c>
      <c r="U298" s="305">
        <v>15</v>
      </c>
      <c r="V298" s="305">
        <v>5</v>
      </c>
      <c r="W298" s="303">
        <v>0.7</v>
      </c>
      <c r="X298" s="303">
        <v>0.7</v>
      </c>
      <c r="Y298" s="303">
        <v>0.7</v>
      </c>
      <c r="Z298" s="303">
        <v>1700</v>
      </c>
      <c r="AA298" s="303" t="s">
        <v>531</v>
      </c>
      <c r="AB298" s="303">
        <v>0.85</v>
      </c>
      <c r="AC298" s="303" t="s">
        <v>532</v>
      </c>
      <c r="AD298" s="303" t="s">
        <v>533</v>
      </c>
      <c r="AE298" s="303">
        <v>220</v>
      </c>
      <c r="AF298" s="133"/>
      <c r="AG298" s="322"/>
    </row>
    <row r="299" spans="1:33" ht="15.75">
      <c r="A299" s="302" t="s">
        <v>615</v>
      </c>
      <c r="B299" s="303">
        <v>18</v>
      </c>
      <c r="C299" s="303">
        <v>236</v>
      </c>
      <c r="D299" s="303" t="s">
        <v>598</v>
      </c>
      <c r="E299" s="303">
        <v>1.5</v>
      </c>
      <c r="F299" s="304">
        <v>45414.769444444442</v>
      </c>
      <c r="G299" s="303">
        <v>1</v>
      </c>
      <c r="H299" s="303">
        <v>51.374099999999999</v>
      </c>
      <c r="I299" s="303">
        <v>7.8085899999999997</v>
      </c>
      <c r="J299" s="303">
        <v>-21.657219000000001</v>
      </c>
      <c r="K299" s="303">
        <v>-20.816918999999999</v>
      </c>
      <c r="L299" s="303">
        <v>985.29899999999998</v>
      </c>
      <c r="M299" s="303">
        <v>143.99943200000001</v>
      </c>
      <c r="N299" s="303">
        <v>17679.03918</v>
      </c>
      <c r="O299" s="303">
        <v>0</v>
      </c>
      <c r="P299" s="305">
        <v>0</v>
      </c>
      <c r="Q299" s="299">
        <f t="shared" si="1"/>
        <v>0</v>
      </c>
      <c r="R299" s="300" t="s">
        <v>230</v>
      </c>
      <c r="S299" s="300" t="s">
        <v>582</v>
      </c>
      <c r="T299" s="305" t="s">
        <v>583</v>
      </c>
      <c r="U299" s="305">
        <v>15</v>
      </c>
      <c r="V299" s="305">
        <v>5</v>
      </c>
      <c r="W299" s="303">
        <v>0.7</v>
      </c>
      <c r="X299" s="303">
        <v>0.7</v>
      </c>
      <c r="Y299" s="303">
        <v>0.7</v>
      </c>
      <c r="Z299" s="303">
        <v>1700</v>
      </c>
      <c r="AA299" s="303" t="s">
        <v>531</v>
      </c>
      <c r="AB299" s="303">
        <v>0.85</v>
      </c>
      <c r="AC299" s="303" t="s">
        <v>532</v>
      </c>
      <c r="AD299" s="303" t="s">
        <v>533</v>
      </c>
      <c r="AE299" s="303">
        <v>220</v>
      </c>
      <c r="AF299" s="133"/>
      <c r="AG299" s="322"/>
    </row>
    <row r="300" spans="1:33" ht="15.75">
      <c r="A300" s="302" t="s">
        <v>616</v>
      </c>
      <c r="B300" s="303">
        <v>18</v>
      </c>
      <c r="C300" s="303">
        <v>236</v>
      </c>
      <c r="D300" s="303" t="s">
        <v>598</v>
      </c>
      <c r="E300" s="303">
        <v>1.5</v>
      </c>
      <c r="F300" s="304">
        <v>45414.773611111108</v>
      </c>
      <c r="G300" s="303">
        <v>1</v>
      </c>
      <c r="H300" s="303">
        <v>51.370800000000003</v>
      </c>
      <c r="I300" s="303">
        <v>7.6563600000000003</v>
      </c>
      <c r="J300" s="303">
        <v>-21.586962</v>
      </c>
      <c r="K300" s="303">
        <v>-20.753762999999999</v>
      </c>
      <c r="L300" s="303">
        <v>1000.22</v>
      </c>
      <c r="M300" s="303">
        <v>165.50066899999999</v>
      </c>
      <c r="N300" s="303">
        <v>17706.496879999999</v>
      </c>
      <c r="O300" s="303">
        <v>0</v>
      </c>
      <c r="P300" s="305">
        <v>0</v>
      </c>
      <c r="Q300" s="299">
        <f t="shared" si="1"/>
        <v>0</v>
      </c>
      <c r="R300" s="300" t="s">
        <v>230</v>
      </c>
      <c r="S300" s="300" t="s">
        <v>582</v>
      </c>
      <c r="T300" s="305" t="s">
        <v>583</v>
      </c>
      <c r="U300" s="305">
        <v>15</v>
      </c>
      <c r="V300" s="305">
        <v>5</v>
      </c>
      <c r="W300" s="303">
        <v>0.7</v>
      </c>
      <c r="X300" s="303">
        <v>0.7</v>
      </c>
      <c r="Y300" s="303">
        <v>0.7</v>
      </c>
      <c r="Z300" s="303">
        <v>1700</v>
      </c>
      <c r="AA300" s="303" t="s">
        <v>531</v>
      </c>
      <c r="AB300" s="303">
        <v>0.85</v>
      </c>
      <c r="AC300" s="303" t="s">
        <v>532</v>
      </c>
      <c r="AD300" s="303" t="s">
        <v>533</v>
      </c>
      <c r="AE300" s="303">
        <v>220</v>
      </c>
      <c r="AF300" s="133"/>
      <c r="AG300" s="322"/>
    </row>
    <row r="301" spans="1:33" ht="15.75">
      <c r="A301" s="302" t="s">
        <v>693</v>
      </c>
      <c r="B301" s="303">
        <v>18</v>
      </c>
      <c r="C301" s="303">
        <v>236</v>
      </c>
      <c r="D301" s="303" t="s">
        <v>598</v>
      </c>
      <c r="E301" s="303">
        <v>1.5</v>
      </c>
      <c r="F301" s="304">
        <v>45414.777777777781</v>
      </c>
      <c r="G301" s="303">
        <v>1</v>
      </c>
      <c r="H301" s="303">
        <v>51.374099999999999</v>
      </c>
      <c r="I301" s="303">
        <v>7.7080399999999996</v>
      </c>
      <c r="J301" s="303">
        <v>-21.554756000000001</v>
      </c>
      <c r="K301" s="303">
        <v>-20.741413000000001</v>
      </c>
      <c r="L301" s="303">
        <v>999.54899999999998</v>
      </c>
      <c r="M301" s="303">
        <v>136.00021699999999</v>
      </c>
      <c r="N301" s="303">
        <v>17626.453109999999</v>
      </c>
      <c r="O301" s="303">
        <v>0</v>
      </c>
      <c r="P301" s="305">
        <v>0</v>
      </c>
      <c r="Q301" s="299">
        <f t="shared" si="1"/>
        <v>0</v>
      </c>
      <c r="R301" s="300" t="s">
        <v>230</v>
      </c>
      <c r="S301" s="300" t="s">
        <v>582</v>
      </c>
      <c r="T301" s="305" t="s">
        <v>583</v>
      </c>
      <c r="U301" s="305">
        <v>15</v>
      </c>
      <c r="V301" s="305">
        <v>5</v>
      </c>
      <c r="W301" s="303">
        <v>0.7</v>
      </c>
      <c r="X301" s="303">
        <v>0.7</v>
      </c>
      <c r="Y301" s="303">
        <v>0.7</v>
      </c>
      <c r="Z301" s="303">
        <v>1700</v>
      </c>
      <c r="AA301" s="303" t="s">
        <v>531</v>
      </c>
      <c r="AB301" s="303">
        <v>0.85</v>
      </c>
      <c r="AC301" s="303" t="s">
        <v>532</v>
      </c>
      <c r="AD301" s="303" t="s">
        <v>533</v>
      </c>
      <c r="AE301" s="303">
        <v>220</v>
      </c>
      <c r="AF301" s="133"/>
      <c r="AG301" s="322"/>
    </row>
    <row r="302" spans="1:33" ht="15.75">
      <c r="A302" s="302" t="s">
        <v>694</v>
      </c>
      <c r="B302" s="303">
        <v>18</v>
      </c>
      <c r="C302" s="303">
        <v>236</v>
      </c>
      <c r="D302" s="303" t="s">
        <v>598</v>
      </c>
      <c r="E302" s="303">
        <v>1.5</v>
      </c>
      <c r="F302" s="304">
        <v>45414.78125</v>
      </c>
      <c r="G302" s="303">
        <v>1</v>
      </c>
      <c r="H302" s="303">
        <v>51.377400000000002</v>
      </c>
      <c r="I302" s="303">
        <v>7.68614</v>
      </c>
      <c r="J302" s="303">
        <v>-21.549906</v>
      </c>
      <c r="K302" s="303">
        <v>-20.714337</v>
      </c>
      <c r="L302" s="303">
        <v>983.10400000000004</v>
      </c>
      <c r="M302" s="303">
        <v>131.49934099999999</v>
      </c>
      <c r="N302" s="303">
        <v>17668.717949999998</v>
      </c>
      <c r="O302" s="303">
        <v>0</v>
      </c>
      <c r="P302" s="305">
        <v>0</v>
      </c>
      <c r="Q302" s="299">
        <f t="shared" si="1"/>
        <v>0</v>
      </c>
      <c r="R302" s="300" t="s">
        <v>230</v>
      </c>
      <c r="S302" s="300" t="s">
        <v>582</v>
      </c>
      <c r="T302" s="305" t="s">
        <v>583</v>
      </c>
      <c r="U302" s="305">
        <v>15</v>
      </c>
      <c r="V302" s="305">
        <v>5</v>
      </c>
      <c r="W302" s="303">
        <v>0.7</v>
      </c>
      <c r="X302" s="303">
        <v>0.7</v>
      </c>
      <c r="Y302" s="303">
        <v>0.7</v>
      </c>
      <c r="Z302" s="303">
        <v>1700</v>
      </c>
      <c r="AA302" s="303" t="s">
        <v>531</v>
      </c>
      <c r="AB302" s="303">
        <v>0.85</v>
      </c>
      <c r="AC302" s="303" t="s">
        <v>532</v>
      </c>
      <c r="AD302" s="303" t="s">
        <v>533</v>
      </c>
      <c r="AE302" s="303">
        <v>220</v>
      </c>
      <c r="AF302" s="133"/>
      <c r="AG302" s="322"/>
    </row>
    <row r="303" spans="1:33" ht="15.75">
      <c r="A303" s="302" t="s">
        <v>733</v>
      </c>
      <c r="B303" s="303">
        <v>18</v>
      </c>
      <c r="C303" s="303">
        <v>236</v>
      </c>
      <c r="D303" s="303" t="s">
        <v>598</v>
      </c>
      <c r="E303" s="303">
        <v>1.5</v>
      </c>
      <c r="F303" s="304">
        <v>45414.784722222219</v>
      </c>
      <c r="G303" s="303">
        <v>2</v>
      </c>
      <c r="H303" s="303">
        <v>51.370800000000003</v>
      </c>
      <c r="I303" s="303">
        <v>7.5688199999999997</v>
      </c>
      <c r="J303" s="303">
        <v>-21.760781000000001</v>
      </c>
      <c r="K303" s="303">
        <v>-20.911380999999999</v>
      </c>
      <c r="L303" s="303">
        <v>1008.77</v>
      </c>
      <c r="M303" s="303">
        <v>171.49952500000001</v>
      </c>
      <c r="N303" s="303">
        <v>17765.340489999999</v>
      </c>
      <c r="O303" s="303">
        <v>17659.639299999999</v>
      </c>
      <c r="P303" s="305">
        <v>2071.4099390000001</v>
      </c>
      <c r="Q303" s="299">
        <f t="shared" si="1"/>
        <v>2071.4099390000001</v>
      </c>
      <c r="R303" s="300" t="s">
        <v>230</v>
      </c>
      <c r="S303" s="300" t="s">
        <v>12</v>
      </c>
      <c r="T303" s="305" t="s">
        <v>545</v>
      </c>
      <c r="U303" s="305">
        <v>15</v>
      </c>
      <c r="V303" s="305">
        <v>5</v>
      </c>
      <c r="W303" s="303">
        <v>0.7</v>
      </c>
      <c r="X303" s="303">
        <v>0.7</v>
      </c>
      <c r="Y303" s="303">
        <v>0.7</v>
      </c>
      <c r="Z303" s="303">
        <v>1700</v>
      </c>
      <c r="AA303" s="303" t="s">
        <v>531</v>
      </c>
      <c r="AB303" s="303">
        <v>0.85</v>
      </c>
      <c r="AC303" s="303" t="s">
        <v>532</v>
      </c>
      <c r="AD303" s="303" t="s">
        <v>533</v>
      </c>
      <c r="AE303" s="303">
        <v>220</v>
      </c>
      <c r="AF303" s="133"/>
      <c r="AG303" s="322"/>
    </row>
    <row r="304" spans="1:33" ht="15.75">
      <c r="A304" s="302" t="s">
        <v>734</v>
      </c>
      <c r="B304" s="303">
        <v>18</v>
      </c>
      <c r="C304" s="303">
        <v>236</v>
      </c>
      <c r="D304" s="303" t="s">
        <v>598</v>
      </c>
      <c r="E304" s="303">
        <v>1.5</v>
      </c>
      <c r="F304" s="304">
        <v>45414.788888888892</v>
      </c>
      <c r="G304" s="303">
        <v>2</v>
      </c>
      <c r="H304" s="303">
        <v>51.370800000000003</v>
      </c>
      <c r="I304" s="303">
        <v>7.7083899999999996</v>
      </c>
      <c r="J304" s="303">
        <v>-21.607593999999999</v>
      </c>
      <c r="K304" s="303">
        <v>-20.864863</v>
      </c>
      <c r="L304" s="303">
        <v>981.00300000000004</v>
      </c>
      <c r="M304" s="303">
        <v>178.49994899999999</v>
      </c>
      <c r="N304" s="303">
        <v>17700.10915</v>
      </c>
      <c r="O304" s="303">
        <v>17659.639299999999</v>
      </c>
      <c r="P304" s="305">
        <v>2071.4099390000001</v>
      </c>
      <c r="Q304" s="299">
        <f t="shared" si="1"/>
        <v>2071.4099390000001</v>
      </c>
      <c r="R304" s="300" t="s">
        <v>230</v>
      </c>
      <c r="S304" s="300" t="s">
        <v>12</v>
      </c>
      <c r="T304" s="305" t="s">
        <v>545</v>
      </c>
      <c r="U304" s="305">
        <v>15</v>
      </c>
      <c r="V304" s="305">
        <v>5</v>
      </c>
      <c r="W304" s="303">
        <v>0.7</v>
      </c>
      <c r="X304" s="303">
        <v>0.7</v>
      </c>
      <c r="Y304" s="303">
        <v>0.7</v>
      </c>
      <c r="Z304" s="303">
        <v>1700</v>
      </c>
      <c r="AA304" s="303" t="s">
        <v>531</v>
      </c>
      <c r="AB304" s="303">
        <v>0.85</v>
      </c>
      <c r="AC304" s="303" t="s">
        <v>532</v>
      </c>
      <c r="AD304" s="303" t="s">
        <v>533</v>
      </c>
      <c r="AE304" s="303">
        <v>220</v>
      </c>
      <c r="AF304" s="133"/>
      <c r="AG304" s="322"/>
    </row>
    <row r="305" spans="1:33" ht="15.75">
      <c r="A305" s="318" t="s">
        <v>735</v>
      </c>
      <c r="B305" s="319">
        <v>18</v>
      </c>
      <c r="C305" s="319">
        <v>236</v>
      </c>
      <c r="D305" s="319" t="s">
        <v>598</v>
      </c>
      <c r="E305" s="319">
        <v>1.5</v>
      </c>
      <c r="F305" s="320">
        <v>45414.793055555558</v>
      </c>
      <c r="G305" s="319">
        <v>2</v>
      </c>
      <c r="H305" s="319">
        <v>51.370800000000003</v>
      </c>
      <c r="I305" s="319">
        <v>7.7706400000000002</v>
      </c>
      <c r="J305" s="319">
        <v>-21.585661999999999</v>
      </c>
      <c r="K305" s="319">
        <v>-20.737213000000001</v>
      </c>
      <c r="L305" s="319">
        <v>984.44</v>
      </c>
      <c r="M305" s="319">
        <v>128.001238</v>
      </c>
      <c r="N305" s="319">
        <v>17676.670590000002</v>
      </c>
      <c r="O305" s="319">
        <v>17659.639299999999</v>
      </c>
      <c r="P305" s="321">
        <v>2071.4099390000001</v>
      </c>
      <c r="Q305" s="299">
        <f t="shared" si="1"/>
        <v>2071.4099390000001</v>
      </c>
      <c r="R305" s="300" t="s">
        <v>230</v>
      </c>
      <c r="S305" s="300" t="s">
        <v>12</v>
      </c>
      <c r="T305" s="305" t="s">
        <v>530</v>
      </c>
      <c r="U305" s="305">
        <v>15</v>
      </c>
      <c r="V305" s="305">
        <v>5</v>
      </c>
      <c r="W305" s="303">
        <v>0.7</v>
      </c>
      <c r="X305" s="303">
        <v>0.7</v>
      </c>
      <c r="Y305" s="303">
        <v>0.7</v>
      </c>
      <c r="Z305" s="303">
        <v>1700</v>
      </c>
      <c r="AA305" s="303" t="s">
        <v>531</v>
      </c>
      <c r="AB305" s="303">
        <v>0.85</v>
      </c>
      <c r="AC305" s="303" t="s">
        <v>532</v>
      </c>
      <c r="AD305" s="303" t="s">
        <v>533</v>
      </c>
      <c r="AE305" s="303">
        <v>220</v>
      </c>
      <c r="AF305" s="133"/>
      <c r="AG305" s="322"/>
    </row>
    <row r="306" spans="1:33" ht="15.75">
      <c r="A306" s="318" t="s">
        <v>736</v>
      </c>
      <c r="B306" s="319">
        <v>18</v>
      </c>
      <c r="C306" s="319">
        <v>236</v>
      </c>
      <c r="D306" s="319" t="s">
        <v>598</v>
      </c>
      <c r="E306" s="319">
        <v>1.5</v>
      </c>
      <c r="F306" s="320">
        <v>45414.797222222223</v>
      </c>
      <c r="G306" s="319">
        <v>2</v>
      </c>
      <c r="H306" s="319">
        <v>51.3675</v>
      </c>
      <c r="I306" s="319">
        <v>7.7928100000000002</v>
      </c>
      <c r="J306" s="319">
        <v>-21.715150000000001</v>
      </c>
      <c r="K306" s="319">
        <v>-20.868843999999999</v>
      </c>
      <c r="L306" s="319">
        <v>986.149</v>
      </c>
      <c r="M306" s="319">
        <v>120.99881499999999</v>
      </c>
      <c r="N306" s="319">
        <v>17648.015599999999</v>
      </c>
      <c r="O306" s="319">
        <v>17659.639299999999</v>
      </c>
      <c r="P306" s="321">
        <v>2071.4099390000001</v>
      </c>
      <c r="Q306" s="299">
        <f t="shared" si="1"/>
        <v>2071.4099390000001</v>
      </c>
      <c r="R306" s="300" t="s">
        <v>230</v>
      </c>
      <c r="S306" s="300" t="s">
        <v>12</v>
      </c>
      <c r="T306" s="305" t="s">
        <v>530</v>
      </c>
      <c r="U306" s="305">
        <v>15</v>
      </c>
      <c r="V306" s="305">
        <v>5</v>
      </c>
      <c r="W306" s="303">
        <v>0.7</v>
      </c>
      <c r="X306" s="303">
        <v>0.7</v>
      </c>
      <c r="Y306" s="303">
        <v>0.7</v>
      </c>
      <c r="Z306" s="303">
        <v>1700</v>
      </c>
      <c r="AA306" s="303" t="s">
        <v>531</v>
      </c>
      <c r="AB306" s="303">
        <v>0.85</v>
      </c>
      <c r="AC306" s="303" t="s">
        <v>532</v>
      </c>
      <c r="AD306" s="303" t="s">
        <v>533</v>
      </c>
      <c r="AE306" s="303">
        <v>220</v>
      </c>
      <c r="AF306" s="133"/>
      <c r="AG306" s="322"/>
    </row>
    <row r="307" spans="1:33" ht="15.75">
      <c r="A307" s="318" t="s">
        <v>737</v>
      </c>
      <c r="B307" s="319">
        <v>18</v>
      </c>
      <c r="C307" s="319">
        <v>236</v>
      </c>
      <c r="D307" s="319" t="s">
        <v>598</v>
      </c>
      <c r="E307" s="319">
        <v>1.5</v>
      </c>
      <c r="F307" s="320">
        <v>45414.800694444442</v>
      </c>
      <c r="G307" s="319">
        <v>2</v>
      </c>
      <c r="H307" s="319">
        <v>51.377400000000002</v>
      </c>
      <c r="I307" s="319">
        <v>7.8226899999999997</v>
      </c>
      <c r="J307" s="319">
        <v>-21.480888</v>
      </c>
      <c r="K307" s="319">
        <v>-20.637930999999998</v>
      </c>
      <c r="L307" s="319">
        <v>980.678</v>
      </c>
      <c r="M307" s="319">
        <v>120.999188</v>
      </c>
      <c r="N307" s="319">
        <v>17654.23172</v>
      </c>
      <c r="O307" s="319">
        <v>17659.639299999999</v>
      </c>
      <c r="P307" s="321">
        <v>2071.4099390000001</v>
      </c>
      <c r="Q307" s="299">
        <f t="shared" si="1"/>
        <v>2071.4099390000001</v>
      </c>
      <c r="R307" s="300" t="s">
        <v>230</v>
      </c>
      <c r="S307" s="300" t="s">
        <v>12</v>
      </c>
      <c r="T307" s="305" t="s">
        <v>530</v>
      </c>
      <c r="U307" s="305">
        <v>15</v>
      </c>
      <c r="V307" s="305">
        <v>5</v>
      </c>
      <c r="W307" s="303">
        <v>0.7</v>
      </c>
      <c r="X307" s="303">
        <v>0.7</v>
      </c>
      <c r="Y307" s="303">
        <v>0.7</v>
      </c>
      <c r="Z307" s="303">
        <v>1700</v>
      </c>
      <c r="AA307" s="303" t="s">
        <v>531</v>
      </c>
      <c r="AB307" s="303">
        <v>0.85</v>
      </c>
      <c r="AC307" s="303" t="s">
        <v>532</v>
      </c>
      <c r="AD307" s="303" t="s">
        <v>533</v>
      </c>
      <c r="AE307" s="303">
        <v>220</v>
      </c>
      <c r="AF307" s="133"/>
      <c r="AG307" s="322"/>
    </row>
    <row r="308" spans="1:33" ht="15.75">
      <c r="A308" s="302" t="s">
        <v>617</v>
      </c>
      <c r="B308" s="303">
        <v>19</v>
      </c>
      <c r="C308" s="303">
        <v>275</v>
      </c>
      <c r="D308" s="303" t="s">
        <v>603</v>
      </c>
      <c r="E308" s="303">
        <v>1.5</v>
      </c>
      <c r="F308" s="304">
        <v>45414.804861111108</v>
      </c>
      <c r="G308" s="303">
        <v>1</v>
      </c>
      <c r="H308" s="303">
        <v>51.374099999999999</v>
      </c>
      <c r="I308" s="303">
        <v>7.7023000000000001</v>
      </c>
      <c r="J308" s="303">
        <v>-21.72795</v>
      </c>
      <c r="K308" s="303">
        <v>-20.947706</v>
      </c>
      <c r="L308" s="303">
        <v>994.60500000000002</v>
      </c>
      <c r="M308" s="303">
        <v>169.99945600000001</v>
      </c>
      <c r="N308" s="303">
        <v>17769.250059999998</v>
      </c>
      <c r="O308" s="303">
        <v>17699.795620000001</v>
      </c>
      <c r="P308" s="305">
        <v>2076.1138019999999</v>
      </c>
      <c r="Q308" s="299">
        <f t="shared" si="1"/>
        <v>2076.1138019999999</v>
      </c>
      <c r="R308" s="300" t="s">
        <v>230</v>
      </c>
      <c r="S308" s="300" t="s">
        <v>12</v>
      </c>
      <c r="T308" s="305" t="s">
        <v>545</v>
      </c>
      <c r="U308" s="305">
        <v>15</v>
      </c>
      <c r="V308" s="305">
        <v>5</v>
      </c>
      <c r="W308" s="303">
        <v>0.7</v>
      </c>
      <c r="X308" s="303">
        <v>0.7</v>
      </c>
      <c r="Y308" s="303">
        <v>0.7</v>
      </c>
      <c r="Z308" s="303">
        <v>1700</v>
      </c>
      <c r="AA308" s="303" t="s">
        <v>531</v>
      </c>
      <c r="AB308" s="303">
        <v>0.85</v>
      </c>
      <c r="AC308" s="303" t="s">
        <v>532</v>
      </c>
      <c r="AD308" s="303" t="s">
        <v>533</v>
      </c>
      <c r="AE308" s="303">
        <v>220</v>
      </c>
      <c r="AF308" s="133"/>
      <c r="AG308" s="322"/>
    </row>
    <row r="309" spans="1:33" ht="15.75">
      <c r="A309" s="302" t="s">
        <v>618</v>
      </c>
      <c r="B309" s="303">
        <v>19</v>
      </c>
      <c r="C309" s="303">
        <v>275</v>
      </c>
      <c r="D309" s="303" t="s">
        <v>603</v>
      </c>
      <c r="E309" s="303">
        <v>1.5</v>
      </c>
      <c r="F309" s="304">
        <v>45414.809027777781</v>
      </c>
      <c r="G309" s="303">
        <v>1</v>
      </c>
      <c r="H309" s="303">
        <v>51.370800000000003</v>
      </c>
      <c r="I309" s="303">
        <v>7.7864899999999997</v>
      </c>
      <c r="J309" s="303">
        <v>-21.629006</v>
      </c>
      <c r="K309" s="303">
        <v>-20.782806000000001</v>
      </c>
      <c r="L309" s="303">
        <v>988.59100000000001</v>
      </c>
      <c r="M309" s="303">
        <v>121.49984000000001</v>
      </c>
      <c r="N309" s="303">
        <v>17687.16662</v>
      </c>
      <c r="O309" s="303">
        <v>17699.795620000001</v>
      </c>
      <c r="P309" s="305">
        <v>2076.1138019999999</v>
      </c>
      <c r="Q309" s="299">
        <f t="shared" si="1"/>
        <v>2076.1138019999999</v>
      </c>
      <c r="R309" s="300" t="s">
        <v>230</v>
      </c>
      <c r="S309" s="300" t="s">
        <v>12</v>
      </c>
      <c r="T309" s="305" t="s">
        <v>530</v>
      </c>
      <c r="U309" s="305">
        <v>15</v>
      </c>
      <c r="V309" s="305">
        <v>5</v>
      </c>
      <c r="W309" s="303">
        <v>0.7</v>
      </c>
      <c r="X309" s="303">
        <v>0.7</v>
      </c>
      <c r="Y309" s="303">
        <v>0.7</v>
      </c>
      <c r="Z309" s="303">
        <v>1700</v>
      </c>
      <c r="AA309" s="303" t="s">
        <v>531</v>
      </c>
      <c r="AB309" s="303">
        <v>0.85</v>
      </c>
      <c r="AC309" s="303" t="s">
        <v>532</v>
      </c>
      <c r="AD309" s="303" t="s">
        <v>533</v>
      </c>
      <c r="AE309" s="303">
        <v>220</v>
      </c>
      <c r="AF309" s="133"/>
      <c r="AG309" s="322"/>
    </row>
    <row r="310" spans="1:33" ht="15.75">
      <c r="A310" s="302" t="s">
        <v>619</v>
      </c>
      <c r="B310" s="303">
        <v>19</v>
      </c>
      <c r="C310" s="303">
        <v>275</v>
      </c>
      <c r="D310" s="303" t="s">
        <v>603</v>
      </c>
      <c r="E310" s="303">
        <v>1.5</v>
      </c>
      <c r="F310" s="304">
        <v>45414.8125</v>
      </c>
      <c r="G310" s="303">
        <v>1</v>
      </c>
      <c r="H310" s="303">
        <v>51.374099999999999</v>
      </c>
      <c r="I310" s="303">
        <v>7.7950100000000004</v>
      </c>
      <c r="J310" s="303">
        <v>-21.825430999999998</v>
      </c>
      <c r="K310" s="303">
        <v>-20.988462999999999</v>
      </c>
      <c r="L310" s="303">
        <v>986.69899999999996</v>
      </c>
      <c r="M310" s="303">
        <v>139.50004899999999</v>
      </c>
      <c r="N310" s="303">
        <v>17703.346269999998</v>
      </c>
      <c r="O310" s="303">
        <v>17699.795620000001</v>
      </c>
      <c r="P310" s="305">
        <v>2076.1138019999999</v>
      </c>
      <c r="Q310" s="299">
        <f t="shared" si="1"/>
        <v>2076.1138019999999</v>
      </c>
      <c r="R310" s="300" t="s">
        <v>230</v>
      </c>
      <c r="S310" s="300" t="s">
        <v>12</v>
      </c>
      <c r="T310" s="305" t="s">
        <v>530</v>
      </c>
      <c r="U310" s="305">
        <v>15</v>
      </c>
      <c r="V310" s="305">
        <v>5</v>
      </c>
      <c r="W310" s="303">
        <v>0.7</v>
      </c>
      <c r="X310" s="303">
        <v>0.7</v>
      </c>
      <c r="Y310" s="303">
        <v>0.7</v>
      </c>
      <c r="Z310" s="303">
        <v>1700</v>
      </c>
      <c r="AA310" s="303" t="s">
        <v>531</v>
      </c>
      <c r="AB310" s="303">
        <v>0.85</v>
      </c>
      <c r="AC310" s="303" t="s">
        <v>532</v>
      </c>
      <c r="AD310" s="303" t="s">
        <v>533</v>
      </c>
      <c r="AE310" s="303">
        <v>220</v>
      </c>
      <c r="AF310" s="133"/>
      <c r="AG310" s="323"/>
    </row>
    <row r="311" spans="1:33" ht="15.75">
      <c r="A311" s="302" t="s">
        <v>620</v>
      </c>
      <c r="B311" s="303">
        <v>19</v>
      </c>
      <c r="C311" s="303">
        <v>275</v>
      </c>
      <c r="D311" s="303" t="s">
        <v>603</v>
      </c>
      <c r="E311" s="303">
        <v>1.5</v>
      </c>
      <c r="F311" s="304">
        <v>45414.815972222219</v>
      </c>
      <c r="G311" s="303">
        <v>1</v>
      </c>
      <c r="H311" s="303">
        <v>51.377400000000002</v>
      </c>
      <c r="I311" s="303">
        <v>7.72316</v>
      </c>
      <c r="J311" s="303">
        <v>-21.814693999999999</v>
      </c>
      <c r="K311" s="303">
        <v>-20.971619</v>
      </c>
      <c r="L311" s="303">
        <v>986.48500000000001</v>
      </c>
      <c r="M311" s="303">
        <v>163.99985899999999</v>
      </c>
      <c r="N311" s="303">
        <v>17757.002619999999</v>
      </c>
      <c r="O311" s="303">
        <v>17699.795620000001</v>
      </c>
      <c r="P311" s="305">
        <v>2076.1138019999999</v>
      </c>
      <c r="Q311" s="299">
        <f t="shared" si="1"/>
        <v>2076.1138019999999</v>
      </c>
      <c r="R311" s="300" t="s">
        <v>230</v>
      </c>
      <c r="S311" s="300" t="s">
        <v>12</v>
      </c>
      <c r="T311" s="305" t="s">
        <v>545</v>
      </c>
      <c r="U311" s="305">
        <v>15</v>
      </c>
      <c r="V311" s="305">
        <v>5</v>
      </c>
      <c r="W311" s="303">
        <v>0.7</v>
      </c>
      <c r="X311" s="303">
        <v>0.7</v>
      </c>
      <c r="Y311" s="303">
        <v>0.7</v>
      </c>
      <c r="Z311" s="303">
        <v>1700</v>
      </c>
      <c r="AA311" s="303" t="s">
        <v>531</v>
      </c>
      <c r="AB311" s="303">
        <v>0.85</v>
      </c>
      <c r="AC311" s="303" t="s">
        <v>532</v>
      </c>
      <c r="AD311" s="303" t="s">
        <v>533</v>
      </c>
      <c r="AE311" s="303">
        <v>220</v>
      </c>
      <c r="AF311" s="133"/>
      <c r="AG311" s="323"/>
    </row>
    <row r="312" spans="1:33" ht="15.75">
      <c r="A312" s="302" t="s">
        <v>621</v>
      </c>
      <c r="B312" s="303">
        <v>19</v>
      </c>
      <c r="C312" s="303">
        <v>275</v>
      </c>
      <c r="D312" s="303" t="s">
        <v>603</v>
      </c>
      <c r="E312" s="303">
        <v>1.5</v>
      </c>
      <c r="F312" s="304">
        <v>45414.820138888892</v>
      </c>
      <c r="G312" s="303">
        <v>1</v>
      </c>
      <c r="H312" s="303">
        <v>51.370800000000003</v>
      </c>
      <c r="I312" s="303">
        <v>7.8165100000000001</v>
      </c>
      <c r="J312" s="303">
        <v>-21.756131</v>
      </c>
      <c r="K312" s="303">
        <v>-20.906549999999999</v>
      </c>
      <c r="L312" s="303">
        <v>987.56200000000001</v>
      </c>
      <c r="M312" s="303">
        <v>128.50012599999999</v>
      </c>
      <c r="N312" s="303">
        <v>17708.873960000001</v>
      </c>
      <c r="O312" s="303">
        <v>17699.795620000001</v>
      </c>
      <c r="P312" s="305">
        <v>2076.1138019999999</v>
      </c>
      <c r="Q312" s="299">
        <f t="shared" si="1"/>
        <v>2076.1138019999999</v>
      </c>
      <c r="R312" s="300" t="s">
        <v>230</v>
      </c>
      <c r="S312" s="300" t="s">
        <v>12</v>
      </c>
      <c r="T312" s="305" t="s">
        <v>530</v>
      </c>
      <c r="U312" s="305">
        <v>15</v>
      </c>
      <c r="V312" s="305">
        <v>5</v>
      </c>
      <c r="W312" s="303">
        <v>0.7</v>
      </c>
      <c r="X312" s="303">
        <v>0.7</v>
      </c>
      <c r="Y312" s="303">
        <v>0.7</v>
      </c>
      <c r="Z312" s="303">
        <v>1700</v>
      </c>
      <c r="AA312" s="303" t="s">
        <v>531</v>
      </c>
      <c r="AB312" s="303">
        <v>0.85</v>
      </c>
      <c r="AC312" s="303" t="s">
        <v>532</v>
      </c>
      <c r="AD312" s="303" t="s">
        <v>533</v>
      </c>
      <c r="AE312" s="303">
        <v>220</v>
      </c>
      <c r="AF312" s="133"/>
      <c r="AG312" s="323"/>
    </row>
    <row r="313" spans="1:33" ht="15.75">
      <c r="A313" s="308" t="s">
        <v>627</v>
      </c>
      <c r="B313" s="309">
        <v>20</v>
      </c>
      <c r="C313" s="309"/>
      <c r="D313" s="309" t="s">
        <v>529</v>
      </c>
      <c r="E313" s="309">
        <v>1.5</v>
      </c>
      <c r="F313" s="310">
        <v>45414.824305555558</v>
      </c>
      <c r="G313" s="309">
        <v>1</v>
      </c>
      <c r="H313" s="309">
        <v>51.374099999999999</v>
      </c>
      <c r="I313" s="309">
        <v>7.7306499999999998</v>
      </c>
      <c r="J313" s="309">
        <v>-21.850569</v>
      </c>
      <c r="K313" s="309">
        <v>-21.002313000000001</v>
      </c>
      <c r="L313" s="309">
        <v>973.33600000000001</v>
      </c>
      <c r="M313" s="309">
        <v>124.499959</v>
      </c>
      <c r="N313" s="309">
        <v>17668.43489</v>
      </c>
      <c r="O313" s="309">
        <v>17636.065579999999</v>
      </c>
      <c r="P313" s="311">
        <v>2068.6681400000002</v>
      </c>
      <c r="Q313" s="299">
        <f t="shared" si="1"/>
        <v>2068.6681400000002</v>
      </c>
      <c r="R313" s="300" t="s">
        <v>230</v>
      </c>
      <c r="S313" s="300" t="s">
        <v>12</v>
      </c>
      <c r="T313" s="305" t="s">
        <v>545</v>
      </c>
      <c r="U313" s="305">
        <v>15</v>
      </c>
      <c r="V313" s="305">
        <v>5</v>
      </c>
      <c r="W313" s="303">
        <v>0.7</v>
      </c>
      <c r="X313" s="303">
        <v>0.7</v>
      </c>
      <c r="Y313" s="303">
        <v>0.7</v>
      </c>
      <c r="Z313" s="303">
        <v>1700</v>
      </c>
      <c r="AA313" s="303" t="s">
        <v>531</v>
      </c>
      <c r="AB313" s="303">
        <v>0.85</v>
      </c>
      <c r="AC313" s="303" t="s">
        <v>532</v>
      </c>
      <c r="AD313" s="303" t="s">
        <v>533</v>
      </c>
      <c r="AE313" s="303">
        <v>220</v>
      </c>
      <c r="AF313" s="133"/>
      <c r="AG313" s="323"/>
    </row>
    <row r="314" spans="1:33" ht="15.75">
      <c r="A314" s="308" t="s">
        <v>628</v>
      </c>
      <c r="B314" s="309">
        <v>20</v>
      </c>
      <c r="C314" s="309"/>
      <c r="D314" s="309" t="s">
        <v>529</v>
      </c>
      <c r="E314" s="309">
        <v>1.5</v>
      </c>
      <c r="F314" s="310">
        <v>45414.827777777777</v>
      </c>
      <c r="G314" s="309">
        <v>1</v>
      </c>
      <c r="H314" s="309">
        <v>51.377400000000002</v>
      </c>
      <c r="I314" s="309">
        <v>7.6089399999999996</v>
      </c>
      <c r="J314" s="309">
        <v>-21.793655999999999</v>
      </c>
      <c r="K314" s="309">
        <v>-20.949031000000002</v>
      </c>
      <c r="L314" s="309">
        <v>977.14200000000005</v>
      </c>
      <c r="M314" s="309">
        <v>178.99967100000001</v>
      </c>
      <c r="N314" s="309">
        <v>17646.845789999999</v>
      </c>
      <c r="O314" s="309">
        <v>17636.065579999999</v>
      </c>
      <c r="P314" s="311">
        <v>2068.6681400000002</v>
      </c>
      <c r="Q314" s="299">
        <f t="shared" si="1"/>
        <v>2068.6681400000002</v>
      </c>
      <c r="R314" s="300" t="s">
        <v>230</v>
      </c>
      <c r="S314" s="300" t="s">
        <v>12</v>
      </c>
      <c r="T314" s="305" t="s">
        <v>530</v>
      </c>
      <c r="U314" s="305">
        <v>15</v>
      </c>
      <c r="V314" s="305">
        <v>5</v>
      </c>
      <c r="W314" s="303">
        <v>0.7</v>
      </c>
      <c r="X314" s="303">
        <v>0.7</v>
      </c>
      <c r="Y314" s="303">
        <v>0.7</v>
      </c>
      <c r="Z314" s="303">
        <v>1700</v>
      </c>
      <c r="AA314" s="303" t="s">
        <v>531</v>
      </c>
      <c r="AB314" s="303">
        <v>0.85</v>
      </c>
      <c r="AC314" s="303" t="s">
        <v>532</v>
      </c>
      <c r="AD314" s="303" t="s">
        <v>533</v>
      </c>
      <c r="AE314" s="303">
        <v>220</v>
      </c>
      <c r="AF314" s="133"/>
      <c r="AG314" s="322"/>
    </row>
    <row r="315" spans="1:33" ht="15.75">
      <c r="A315" s="308" t="s">
        <v>629</v>
      </c>
      <c r="B315" s="309">
        <v>20</v>
      </c>
      <c r="C315" s="309"/>
      <c r="D315" s="309" t="s">
        <v>529</v>
      </c>
      <c r="E315" s="309">
        <v>1.5</v>
      </c>
      <c r="F315" s="310">
        <v>45414.831944444442</v>
      </c>
      <c r="G315" s="309">
        <v>1</v>
      </c>
      <c r="H315" s="309">
        <v>51.370800000000003</v>
      </c>
      <c r="I315" s="309">
        <v>7.6532499999999999</v>
      </c>
      <c r="J315" s="309">
        <v>-21.875730999999998</v>
      </c>
      <c r="K315" s="309">
        <v>-21.029194</v>
      </c>
      <c r="L315" s="309">
        <v>983.28599999999994</v>
      </c>
      <c r="M315" s="309">
        <v>149.49970400000001</v>
      </c>
      <c r="N315" s="309">
        <v>17627.620129999999</v>
      </c>
      <c r="O315" s="309">
        <v>17636.065579999999</v>
      </c>
      <c r="P315" s="311">
        <v>2068.6681400000002</v>
      </c>
      <c r="Q315" s="299">
        <f t="shared" si="1"/>
        <v>2068.6681400000002</v>
      </c>
      <c r="R315" s="300" t="s">
        <v>230</v>
      </c>
      <c r="S315" s="300" t="s">
        <v>12</v>
      </c>
      <c r="T315" s="305" t="s">
        <v>530</v>
      </c>
      <c r="U315" s="305">
        <v>15</v>
      </c>
      <c r="V315" s="305">
        <v>5</v>
      </c>
      <c r="W315" s="303">
        <v>0.7</v>
      </c>
      <c r="X315" s="303">
        <v>0.7</v>
      </c>
      <c r="Y315" s="303">
        <v>0.7</v>
      </c>
      <c r="Z315" s="303">
        <v>1700</v>
      </c>
      <c r="AA315" s="303" t="s">
        <v>531</v>
      </c>
      <c r="AB315" s="303">
        <v>0.85</v>
      </c>
      <c r="AC315" s="303" t="s">
        <v>532</v>
      </c>
      <c r="AD315" s="303" t="s">
        <v>533</v>
      </c>
      <c r="AE315" s="303">
        <v>220</v>
      </c>
      <c r="AF315" s="133"/>
      <c r="AG315" s="322"/>
    </row>
    <row r="316" spans="1:33" ht="15.75">
      <c r="A316" s="308" t="s">
        <v>630</v>
      </c>
      <c r="B316" s="309">
        <v>20</v>
      </c>
      <c r="C316" s="309"/>
      <c r="D316" s="309" t="s">
        <v>529</v>
      </c>
      <c r="E316" s="309">
        <v>1.5</v>
      </c>
      <c r="F316" s="310">
        <v>45414.836111111108</v>
      </c>
      <c r="G316" s="309">
        <v>1</v>
      </c>
      <c r="H316" s="309">
        <v>51.374099999999999</v>
      </c>
      <c r="I316" s="309">
        <v>7.5962100000000001</v>
      </c>
      <c r="J316" s="309">
        <v>-21.762063000000001</v>
      </c>
      <c r="K316" s="309">
        <v>-20.926919000000002</v>
      </c>
      <c r="L316" s="309">
        <v>985.88499999999999</v>
      </c>
      <c r="M316" s="309">
        <v>121.999014</v>
      </c>
      <c r="N316" s="309">
        <v>17633.73083</v>
      </c>
      <c r="O316" s="309">
        <v>17636.065579999999</v>
      </c>
      <c r="P316" s="311">
        <v>2068.6681400000002</v>
      </c>
      <c r="Q316" s="299">
        <f t="shared" si="1"/>
        <v>2068.6681400000002</v>
      </c>
      <c r="R316" s="300" t="s">
        <v>230</v>
      </c>
      <c r="S316" s="300" t="s">
        <v>12</v>
      </c>
      <c r="T316" s="305" t="s">
        <v>530</v>
      </c>
      <c r="U316" s="305">
        <v>15</v>
      </c>
      <c r="V316" s="305">
        <v>5</v>
      </c>
      <c r="W316" s="303">
        <v>0.7</v>
      </c>
      <c r="X316" s="303">
        <v>0.7</v>
      </c>
      <c r="Y316" s="303">
        <v>0.7</v>
      </c>
      <c r="Z316" s="303">
        <v>1700</v>
      </c>
      <c r="AA316" s="303" t="s">
        <v>531</v>
      </c>
      <c r="AB316" s="303">
        <v>0.85</v>
      </c>
      <c r="AC316" s="303" t="s">
        <v>532</v>
      </c>
      <c r="AD316" s="303" t="s">
        <v>533</v>
      </c>
      <c r="AE316" s="303">
        <v>220</v>
      </c>
      <c r="AF316" s="133"/>
      <c r="AG316" s="322"/>
    </row>
    <row r="317" spans="1:33" ht="15.75">
      <c r="A317" s="302" t="s">
        <v>526</v>
      </c>
      <c r="B317" s="303" t="s">
        <v>527</v>
      </c>
      <c r="C317" s="303" t="s">
        <v>528</v>
      </c>
      <c r="D317" s="303" t="s">
        <v>529</v>
      </c>
      <c r="E317" s="303">
        <v>1</v>
      </c>
      <c r="F317" s="304">
        <v>45415.379861111112</v>
      </c>
      <c r="G317" s="303">
        <v>1</v>
      </c>
      <c r="H317" s="303">
        <v>51.370800000000003</v>
      </c>
      <c r="I317" s="303">
        <v>10.2445</v>
      </c>
      <c r="J317" s="303">
        <v>-21.554787000000001</v>
      </c>
      <c r="K317" s="303">
        <v>-20.711881000000002</v>
      </c>
      <c r="L317" s="303">
        <v>885.66200000000003</v>
      </c>
      <c r="M317" s="303">
        <v>92.001141000000004</v>
      </c>
      <c r="N317" s="303">
        <v>11706.7397</v>
      </c>
      <c r="O317" s="303">
        <v>11706.7397</v>
      </c>
      <c r="P317" s="305">
        <v>2073.1712160000002</v>
      </c>
      <c r="Q317" s="299">
        <f t="shared" si="1"/>
        <v>2073.1712160000002</v>
      </c>
      <c r="R317" s="300" t="s">
        <v>230</v>
      </c>
      <c r="S317" s="300" t="s">
        <v>12</v>
      </c>
      <c r="T317" s="305" t="s">
        <v>530</v>
      </c>
      <c r="U317" s="305">
        <v>15</v>
      </c>
      <c r="V317" s="305">
        <v>5</v>
      </c>
      <c r="W317" s="303">
        <v>0.7</v>
      </c>
      <c r="X317" s="303">
        <v>0.7</v>
      </c>
      <c r="Y317" s="303">
        <v>0.7</v>
      </c>
      <c r="Z317" s="303">
        <v>1700</v>
      </c>
      <c r="AA317" s="303" t="s">
        <v>531</v>
      </c>
      <c r="AB317" s="303">
        <v>0.85</v>
      </c>
      <c r="AC317" s="303" t="s">
        <v>532</v>
      </c>
      <c r="AD317" s="303" t="s">
        <v>533</v>
      </c>
      <c r="AE317" s="303">
        <v>220</v>
      </c>
      <c r="AF317" s="133"/>
      <c r="AG317" s="322"/>
    </row>
    <row r="318" spans="1:33" ht="15.75">
      <c r="A318" s="302" t="s">
        <v>534</v>
      </c>
      <c r="B318" s="303" t="s">
        <v>527</v>
      </c>
      <c r="C318" s="303" t="s">
        <v>528</v>
      </c>
      <c r="D318" s="303" t="s">
        <v>529</v>
      </c>
      <c r="E318" s="303">
        <v>1</v>
      </c>
      <c r="F318" s="304">
        <v>45415.382638888892</v>
      </c>
      <c r="G318" s="303">
        <v>1</v>
      </c>
      <c r="H318" s="303">
        <v>51.370800000000003</v>
      </c>
      <c r="I318" s="303">
        <v>9.2751699999999992</v>
      </c>
      <c r="J318" s="303">
        <v>-21.734788000000002</v>
      </c>
      <c r="K318" s="303">
        <v>-20.886281</v>
      </c>
      <c r="L318" s="303">
        <v>887.79600000000005</v>
      </c>
      <c r="M318" s="303">
        <v>90.999328000000006</v>
      </c>
      <c r="N318" s="303">
        <v>11391.425869999999</v>
      </c>
      <c r="O318" s="303">
        <v>11391.425869999999</v>
      </c>
      <c r="P318" s="305">
        <v>2018.4061449999999</v>
      </c>
      <c r="Q318" s="299">
        <f t="shared" si="1"/>
        <v>2018.4061449999999</v>
      </c>
      <c r="R318" s="300" t="s">
        <v>230</v>
      </c>
      <c r="S318" s="300" t="s">
        <v>12</v>
      </c>
      <c r="T318" s="305" t="s">
        <v>530</v>
      </c>
      <c r="U318" s="305">
        <v>15</v>
      </c>
      <c r="V318" s="305">
        <v>5</v>
      </c>
      <c r="W318" s="303">
        <v>0.7</v>
      </c>
      <c r="X318" s="303">
        <v>0.7</v>
      </c>
      <c r="Y318" s="303">
        <v>0.7</v>
      </c>
      <c r="Z318" s="303">
        <v>1700</v>
      </c>
      <c r="AA318" s="303" t="s">
        <v>531</v>
      </c>
      <c r="AB318" s="303">
        <v>0.85</v>
      </c>
      <c r="AC318" s="303" t="s">
        <v>532</v>
      </c>
      <c r="AD318" s="303" t="s">
        <v>533</v>
      </c>
      <c r="AE318" s="303">
        <v>220</v>
      </c>
      <c r="AF318" s="133"/>
      <c r="AG318" s="322"/>
    </row>
    <row r="319" spans="1:33" ht="15.75">
      <c r="A319" s="302" t="s">
        <v>535</v>
      </c>
      <c r="B319" s="303" t="s">
        <v>527</v>
      </c>
      <c r="C319" s="303" t="s">
        <v>528</v>
      </c>
      <c r="D319" s="303" t="s">
        <v>529</v>
      </c>
      <c r="E319" s="303">
        <v>1</v>
      </c>
      <c r="F319" s="304">
        <v>45415.385416666664</v>
      </c>
      <c r="G319" s="303">
        <v>1</v>
      </c>
      <c r="H319" s="303">
        <v>51.364100000000001</v>
      </c>
      <c r="I319" s="303">
        <v>8.3890600000000006</v>
      </c>
      <c r="J319" s="303">
        <v>-21.804431000000001</v>
      </c>
      <c r="K319" s="303">
        <v>-20.955506</v>
      </c>
      <c r="L319" s="303">
        <v>878.18700000000001</v>
      </c>
      <c r="M319" s="303">
        <v>93.500033000000002</v>
      </c>
      <c r="N319" s="303">
        <v>11396.946169999999</v>
      </c>
      <c r="O319" s="303">
        <v>11396.946169999999</v>
      </c>
      <c r="P319" s="305">
        <v>2019.3649350000001</v>
      </c>
      <c r="Q319" s="299">
        <f t="shared" si="1"/>
        <v>2019.3649350000001</v>
      </c>
      <c r="R319" s="300" t="s">
        <v>230</v>
      </c>
      <c r="S319" s="300" t="s">
        <v>12</v>
      </c>
      <c r="T319" s="305" t="s">
        <v>530</v>
      </c>
      <c r="U319" s="305">
        <v>15</v>
      </c>
      <c r="V319" s="305">
        <v>5</v>
      </c>
      <c r="W319" s="303">
        <v>0.7</v>
      </c>
      <c r="X319" s="303">
        <v>0.7</v>
      </c>
      <c r="Y319" s="303">
        <v>0.7</v>
      </c>
      <c r="Z319" s="303">
        <v>1700</v>
      </c>
      <c r="AA319" s="303" t="s">
        <v>531</v>
      </c>
      <c r="AB319" s="303">
        <v>0.85</v>
      </c>
      <c r="AC319" s="303" t="s">
        <v>532</v>
      </c>
      <c r="AD319" s="303" t="s">
        <v>533</v>
      </c>
      <c r="AE319" s="303">
        <v>220</v>
      </c>
      <c r="AF319" s="133"/>
      <c r="AG319" s="322"/>
    </row>
    <row r="320" spans="1:33" ht="15.75">
      <c r="A320" s="302" t="s">
        <v>536</v>
      </c>
      <c r="B320" s="303" t="s">
        <v>527</v>
      </c>
      <c r="C320" s="303" t="s">
        <v>528</v>
      </c>
      <c r="D320" s="303" t="s">
        <v>529</v>
      </c>
      <c r="E320" s="303">
        <v>1</v>
      </c>
      <c r="F320" s="304">
        <v>45415.388888888891</v>
      </c>
      <c r="G320" s="303">
        <v>1</v>
      </c>
      <c r="H320" s="303">
        <v>51.370800000000003</v>
      </c>
      <c r="I320" s="303">
        <v>8.0736600000000003</v>
      </c>
      <c r="J320" s="303">
        <v>-21.772725000000001</v>
      </c>
      <c r="K320" s="303">
        <v>-20.926024999999999</v>
      </c>
      <c r="L320" s="303">
        <v>876.56200000000001</v>
      </c>
      <c r="M320" s="303">
        <v>91.499409</v>
      </c>
      <c r="N320" s="303">
        <v>11390.56244</v>
      </c>
      <c r="O320" s="303">
        <v>11390.56244</v>
      </c>
      <c r="P320" s="305">
        <v>2018.256181</v>
      </c>
      <c r="Q320" s="299">
        <f t="shared" si="1"/>
        <v>2018.256181</v>
      </c>
      <c r="R320" s="300" t="s">
        <v>230</v>
      </c>
      <c r="S320" s="300" t="s">
        <v>12</v>
      </c>
      <c r="T320" s="305" t="s">
        <v>530</v>
      </c>
      <c r="U320" s="305">
        <v>15</v>
      </c>
      <c r="V320" s="305">
        <v>5</v>
      </c>
      <c r="W320" s="303">
        <v>0.7</v>
      </c>
      <c r="X320" s="303">
        <v>0.7</v>
      </c>
      <c r="Y320" s="303">
        <v>0.7</v>
      </c>
      <c r="Z320" s="303">
        <v>1700</v>
      </c>
      <c r="AA320" s="303" t="s">
        <v>531</v>
      </c>
      <c r="AB320" s="303">
        <v>0.85</v>
      </c>
      <c r="AC320" s="303" t="s">
        <v>532</v>
      </c>
      <c r="AD320" s="303" t="s">
        <v>533</v>
      </c>
      <c r="AE320" s="303">
        <v>220</v>
      </c>
      <c r="AF320" s="133"/>
      <c r="AG320" s="322"/>
    </row>
    <row r="321" spans="1:33" ht="15.75">
      <c r="A321" s="302" t="s">
        <v>695</v>
      </c>
      <c r="B321" s="303" t="s">
        <v>543</v>
      </c>
      <c r="C321" s="303" t="s">
        <v>738</v>
      </c>
      <c r="D321" s="303" t="s">
        <v>529</v>
      </c>
      <c r="E321" s="303">
        <v>1.2</v>
      </c>
      <c r="F321" s="304">
        <v>45415.393750000003</v>
      </c>
      <c r="G321" s="303">
        <v>1</v>
      </c>
      <c r="H321" s="303">
        <v>51.3675</v>
      </c>
      <c r="I321" s="303">
        <v>8.1229800000000001</v>
      </c>
      <c r="J321" s="303">
        <v>-21.966418999999998</v>
      </c>
      <c r="K321" s="303">
        <v>-21.117868999999999</v>
      </c>
      <c r="L321" s="303">
        <v>971.18899999999996</v>
      </c>
      <c r="M321" s="303">
        <v>103.499646</v>
      </c>
      <c r="N321" s="303">
        <v>13974.68195</v>
      </c>
      <c r="O321" s="303">
        <v>14090.410470000001</v>
      </c>
      <c r="P321" s="305">
        <v>2070.35</v>
      </c>
      <c r="Q321" s="299">
        <f t="shared" si="1"/>
        <v>2070.35</v>
      </c>
      <c r="R321" s="300" t="s">
        <v>230</v>
      </c>
      <c r="S321" s="300" t="s">
        <v>12</v>
      </c>
      <c r="T321" s="305" t="s">
        <v>545</v>
      </c>
      <c r="U321" s="305">
        <v>15</v>
      </c>
      <c r="V321" s="305">
        <v>5</v>
      </c>
      <c r="W321" s="303">
        <v>0.7</v>
      </c>
      <c r="X321" s="303">
        <v>0.7</v>
      </c>
      <c r="Y321" s="303">
        <v>0.7</v>
      </c>
      <c r="Z321" s="303">
        <v>1700</v>
      </c>
      <c r="AA321" s="303" t="s">
        <v>531</v>
      </c>
      <c r="AB321" s="303">
        <v>0.85</v>
      </c>
      <c r="AC321" s="303" t="s">
        <v>532</v>
      </c>
      <c r="AD321" s="303" t="s">
        <v>533</v>
      </c>
      <c r="AE321" s="303">
        <v>220</v>
      </c>
      <c r="AF321" s="133"/>
      <c r="AG321" s="322"/>
    </row>
    <row r="322" spans="1:33" ht="15.75">
      <c r="A322" s="302" t="s">
        <v>697</v>
      </c>
      <c r="B322" s="303" t="s">
        <v>543</v>
      </c>
      <c r="C322" s="303" t="s">
        <v>738</v>
      </c>
      <c r="D322" s="303" t="s">
        <v>529</v>
      </c>
      <c r="E322" s="303">
        <v>1.2</v>
      </c>
      <c r="F322" s="304">
        <v>45415.397222222222</v>
      </c>
      <c r="G322" s="303">
        <v>1</v>
      </c>
      <c r="H322" s="303">
        <v>51.370800000000003</v>
      </c>
      <c r="I322" s="303">
        <v>8.0814199999999996</v>
      </c>
      <c r="J322" s="303">
        <v>-22.059881000000001</v>
      </c>
      <c r="K322" s="303">
        <v>-21.218406000000002</v>
      </c>
      <c r="L322" s="303">
        <v>955.851</v>
      </c>
      <c r="M322" s="303">
        <v>105.998723</v>
      </c>
      <c r="N322" s="303">
        <v>14103.72775</v>
      </c>
      <c r="O322" s="303">
        <v>14090.410470000001</v>
      </c>
      <c r="P322" s="305">
        <v>2070.35</v>
      </c>
      <c r="Q322" s="299">
        <f t="shared" si="1"/>
        <v>2070.35</v>
      </c>
      <c r="R322" s="300" t="s">
        <v>230</v>
      </c>
      <c r="S322" s="300" t="s">
        <v>12</v>
      </c>
      <c r="T322" s="305" t="s">
        <v>530</v>
      </c>
      <c r="U322" s="305">
        <v>15</v>
      </c>
      <c r="V322" s="305">
        <v>5</v>
      </c>
      <c r="W322" s="303">
        <v>0.7</v>
      </c>
      <c r="X322" s="303">
        <v>0.7</v>
      </c>
      <c r="Y322" s="303">
        <v>0.7</v>
      </c>
      <c r="Z322" s="303">
        <v>1700</v>
      </c>
      <c r="AA322" s="303" t="s">
        <v>531</v>
      </c>
      <c r="AB322" s="303">
        <v>0.85</v>
      </c>
      <c r="AC322" s="303" t="s">
        <v>532</v>
      </c>
      <c r="AD322" s="303" t="s">
        <v>533</v>
      </c>
      <c r="AE322" s="303">
        <v>220</v>
      </c>
      <c r="AF322" s="133"/>
      <c r="AG322" s="322"/>
    </row>
    <row r="323" spans="1:33" ht="15.75">
      <c r="A323" s="302" t="s">
        <v>698</v>
      </c>
      <c r="B323" s="303" t="s">
        <v>543</v>
      </c>
      <c r="C323" s="303" t="s">
        <v>738</v>
      </c>
      <c r="D323" s="303" t="s">
        <v>529</v>
      </c>
      <c r="E323" s="303">
        <v>1.2</v>
      </c>
      <c r="F323" s="304">
        <v>45415.4</v>
      </c>
      <c r="G323" s="303">
        <v>1</v>
      </c>
      <c r="H323" s="303">
        <v>51.370800000000003</v>
      </c>
      <c r="I323" s="303">
        <v>8.0508500000000005</v>
      </c>
      <c r="J323" s="303">
        <v>-22.069731000000001</v>
      </c>
      <c r="K323" s="303">
        <v>-21.223818999999999</v>
      </c>
      <c r="L323" s="303">
        <v>962.44799999999998</v>
      </c>
      <c r="M323" s="303">
        <v>113.99924799999999</v>
      </c>
      <c r="N323" s="303">
        <v>14060.884459999999</v>
      </c>
      <c r="O323" s="303">
        <v>14090.410470000001</v>
      </c>
      <c r="P323" s="305">
        <v>2070.35</v>
      </c>
      <c r="Q323" s="299">
        <f t="shared" si="1"/>
        <v>2070.35</v>
      </c>
      <c r="R323" s="300" t="s">
        <v>230</v>
      </c>
      <c r="S323" s="300" t="s">
        <v>12</v>
      </c>
      <c r="T323" s="305" t="s">
        <v>545</v>
      </c>
      <c r="U323" s="305">
        <v>15</v>
      </c>
      <c r="V323" s="305">
        <v>5</v>
      </c>
      <c r="W323" s="303">
        <v>0.7</v>
      </c>
      <c r="X323" s="303">
        <v>0.7</v>
      </c>
      <c r="Y323" s="303">
        <v>0.7</v>
      </c>
      <c r="Z323" s="303">
        <v>1700</v>
      </c>
      <c r="AA323" s="303" t="s">
        <v>531</v>
      </c>
      <c r="AB323" s="303">
        <v>0.85</v>
      </c>
      <c r="AC323" s="303" t="s">
        <v>532</v>
      </c>
      <c r="AD323" s="303" t="s">
        <v>533</v>
      </c>
      <c r="AE323" s="303">
        <v>220</v>
      </c>
      <c r="AF323" s="133"/>
      <c r="AG323" s="322"/>
    </row>
    <row r="324" spans="1:33" ht="15.75">
      <c r="A324" s="302" t="s">
        <v>699</v>
      </c>
      <c r="B324" s="303" t="s">
        <v>543</v>
      </c>
      <c r="C324" s="303" t="s">
        <v>738</v>
      </c>
      <c r="D324" s="303" t="s">
        <v>529</v>
      </c>
      <c r="E324" s="303">
        <v>1.2</v>
      </c>
      <c r="F324" s="304">
        <v>45415.40347222222</v>
      </c>
      <c r="G324" s="303">
        <v>1</v>
      </c>
      <c r="H324" s="303">
        <v>51.364100000000001</v>
      </c>
      <c r="I324" s="303">
        <v>8.0241699999999998</v>
      </c>
      <c r="J324" s="303">
        <v>-21.999025</v>
      </c>
      <c r="K324" s="303">
        <v>-21.167031000000001</v>
      </c>
      <c r="L324" s="303">
        <v>959.08199999999999</v>
      </c>
      <c r="M324" s="303">
        <v>105.00124599999999</v>
      </c>
      <c r="N324" s="303">
        <v>14086.091039999999</v>
      </c>
      <c r="O324" s="303">
        <v>14090.410470000001</v>
      </c>
      <c r="P324" s="305">
        <v>2070.35</v>
      </c>
      <c r="Q324" s="299">
        <f t="shared" si="1"/>
        <v>2070.35</v>
      </c>
      <c r="R324" s="300" t="s">
        <v>230</v>
      </c>
      <c r="S324" s="300" t="s">
        <v>12</v>
      </c>
      <c r="T324" s="305" t="s">
        <v>530</v>
      </c>
      <c r="U324" s="305">
        <v>15</v>
      </c>
      <c r="V324" s="305">
        <v>5</v>
      </c>
      <c r="W324" s="303">
        <v>0.7</v>
      </c>
      <c r="X324" s="303">
        <v>0.7</v>
      </c>
      <c r="Y324" s="303">
        <v>0.7</v>
      </c>
      <c r="Z324" s="303">
        <v>1700</v>
      </c>
      <c r="AA324" s="303" t="s">
        <v>531</v>
      </c>
      <c r="AB324" s="303">
        <v>0.85</v>
      </c>
      <c r="AC324" s="303" t="s">
        <v>532</v>
      </c>
      <c r="AD324" s="303" t="s">
        <v>533</v>
      </c>
      <c r="AE324" s="303">
        <v>220</v>
      </c>
      <c r="AF324" s="133"/>
      <c r="AG324" s="322"/>
    </row>
    <row r="325" spans="1:33" ht="15.75">
      <c r="A325" s="302" t="s">
        <v>739</v>
      </c>
      <c r="B325" s="303" t="s">
        <v>543</v>
      </c>
      <c r="C325" s="303" t="s">
        <v>738</v>
      </c>
      <c r="D325" s="303" t="s">
        <v>529</v>
      </c>
      <c r="E325" s="303">
        <v>1.2</v>
      </c>
      <c r="F325" s="304">
        <v>45415.406944444447</v>
      </c>
      <c r="G325" s="303">
        <v>1</v>
      </c>
      <c r="H325" s="303">
        <v>51.370800000000003</v>
      </c>
      <c r="I325" s="303">
        <v>7.9337099999999996</v>
      </c>
      <c r="J325" s="303">
        <v>-21.980419000000001</v>
      </c>
      <c r="K325" s="303">
        <v>-21.132231000000001</v>
      </c>
      <c r="L325" s="303">
        <v>978.68799999999999</v>
      </c>
      <c r="M325" s="303">
        <v>105.500638</v>
      </c>
      <c r="N325" s="303">
        <v>14081.412609999999</v>
      </c>
      <c r="O325" s="303">
        <v>14090.410470000001</v>
      </c>
      <c r="P325" s="305">
        <v>2070.35</v>
      </c>
      <c r="Q325" s="299">
        <f t="shared" si="1"/>
        <v>2070.35</v>
      </c>
      <c r="R325" s="300" t="s">
        <v>230</v>
      </c>
      <c r="S325" s="300" t="s">
        <v>12</v>
      </c>
      <c r="T325" s="305" t="s">
        <v>530</v>
      </c>
      <c r="U325" s="305">
        <v>15</v>
      </c>
      <c r="V325" s="305">
        <v>5</v>
      </c>
      <c r="W325" s="303">
        <v>0.7</v>
      </c>
      <c r="X325" s="303">
        <v>0.7</v>
      </c>
      <c r="Y325" s="303">
        <v>0.7</v>
      </c>
      <c r="Z325" s="303">
        <v>1700</v>
      </c>
      <c r="AA325" s="303" t="s">
        <v>531</v>
      </c>
      <c r="AB325" s="303">
        <v>0.85</v>
      </c>
      <c r="AC325" s="303" t="s">
        <v>532</v>
      </c>
      <c r="AD325" s="303" t="s">
        <v>533</v>
      </c>
      <c r="AE325" s="303">
        <v>220</v>
      </c>
      <c r="AF325" s="133"/>
      <c r="AG325" s="322"/>
    </row>
    <row r="326" spans="1:33" ht="15.75">
      <c r="A326" s="302" t="s">
        <v>700</v>
      </c>
      <c r="B326" s="303" t="s">
        <v>550</v>
      </c>
      <c r="C326" s="303" t="s">
        <v>738</v>
      </c>
      <c r="D326" s="303" t="s">
        <v>529</v>
      </c>
      <c r="E326" s="303">
        <v>1.5</v>
      </c>
      <c r="F326" s="304">
        <v>45415.410416666666</v>
      </c>
      <c r="G326" s="303">
        <v>1</v>
      </c>
      <c r="H326" s="303">
        <v>51.3675</v>
      </c>
      <c r="I326" s="303">
        <v>7.92753</v>
      </c>
      <c r="J326" s="303">
        <v>-22.054849999999998</v>
      </c>
      <c r="K326" s="303">
        <v>-21.221463</v>
      </c>
      <c r="L326" s="303">
        <v>980.66399999999999</v>
      </c>
      <c r="M326" s="303">
        <v>120.998991</v>
      </c>
      <c r="N326" s="303">
        <v>17603.369729999999</v>
      </c>
      <c r="O326" s="303">
        <v>17637.439129999999</v>
      </c>
      <c r="P326" s="305">
        <v>2070.35</v>
      </c>
      <c r="Q326" s="299">
        <f t="shared" si="1"/>
        <v>2070.35</v>
      </c>
      <c r="R326" s="300" t="s">
        <v>230</v>
      </c>
      <c r="S326" s="300" t="s">
        <v>12</v>
      </c>
      <c r="T326" s="305" t="s">
        <v>545</v>
      </c>
      <c r="U326" s="305">
        <v>15</v>
      </c>
      <c r="V326" s="305">
        <v>5</v>
      </c>
      <c r="W326" s="303">
        <v>0.7</v>
      </c>
      <c r="X326" s="303">
        <v>0.7</v>
      </c>
      <c r="Y326" s="303">
        <v>0.7</v>
      </c>
      <c r="Z326" s="303">
        <v>1700</v>
      </c>
      <c r="AA326" s="303" t="s">
        <v>531</v>
      </c>
      <c r="AB326" s="303">
        <v>0.85</v>
      </c>
      <c r="AC326" s="303" t="s">
        <v>532</v>
      </c>
      <c r="AD326" s="303" t="s">
        <v>533</v>
      </c>
      <c r="AE326" s="303">
        <v>220</v>
      </c>
      <c r="AF326" s="133"/>
      <c r="AG326" s="322"/>
    </row>
    <row r="327" spans="1:33" ht="15.75">
      <c r="A327" s="302" t="s">
        <v>701</v>
      </c>
      <c r="B327" s="303" t="s">
        <v>550</v>
      </c>
      <c r="C327" s="303" t="s">
        <v>738</v>
      </c>
      <c r="D327" s="303" t="s">
        <v>529</v>
      </c>
      <c r="E327" s="303">
        <v>1.5</v>
      </c>
      <c r="F327" s="304">
        <v>45415.413888888892</v>
      </c>
      <c r="G327" s="303">
        <v>1</v>
      </c>
      <c r="H327" s="303">
        <v>51.370800000000003</v>
      </c>
      <c r="I327" s="303">
        <v>7.8790100000000001</v>
      </c>
      <c r="J327" s="303">
        <v>-22.09985</v>
      </c>
      <c r="K327" s="303">
        <v>-21.282800000000002</v>
      </c>
      <c r="L327" s="303">
        <v>973.44899999999996</v>
      </c>
      <c r="M327" s="303">
        <v>180.49990399999999</v>
      </c>
      <c r="N327" s="303">
        <v>17649.95105</v>
      </c>
      <c r="O327" s="303">
        <v>17637.439129999999</v>
      </c>
      <c r="P327" s="305">
        <v>2070.35</v>
      </c>
      <c r="Q327" s="299">
        <f t="shared" si="1"/>
        <v>2070.35</v>
      </c>
      <c r="R327" s="300" t="s">
        <v>230</v>
      </c>
      <c r="S327" s="300" t="s">
        <v>12</v>
      </c>
      <c r="T327" s="305" t="s">
        <v>530</v>
      </c>
      <c r="U327" s="305">
        <v>15</v>
      </c>
      <c r="V327" s="305">
        <v>5</v>
      </c>
      <c r="W327" s="303">
        <v>0.7</v>
      </c>
      <c r="X327" s="303">
        <v>0.7</v>
      </c>
      <c r="Y327" s="303">
        <v>0.7</v>
      </c>
      <c r="Z327" s="303">
        <v>1700</v>
      </c>
      <c r="AA327" s="303" t="s">
        <v>531</v>
      </c>
      <c r="AB327" s="303">
        <v>0.85</v>
      </c>
      <c r="AC327" s="303" t="s">
        <v>532</v>
      </c>
      <c r="AD327" s="303" t="s">
        <v>533</v>
      </c>
      <c r="AE327" s="303">
        <v>220</v>
      </c>
      <c r="AF327" s="133"/>
      <c r="AG327" s="322"/>
    </row>
    <row r="328" spans="1:33" ht="15.75">
      <c r="A328" s="302" t="s">
        <v>702</v>
      </c>
      <c r="B328" s="303" t="s">
        <v>550</v>
      </c>
      <c r="C328" s="303" t="s">
        <v>738</v>
      </c>
      <c r="D328" s="303" t="s">
        <v>529</v>
      </c>
      <c r="E328" s="303">
        <v>1.5</v>
      </c>
      <c r="F328" s="304">
        <v>45415.418055555558</v>
      </c>
      <c r="G328" s="303">
        <v>1</v>
      </c>
      <c r="H328" s="303">
        <v>51.364100000000001</v>
      </c>
      <c r="I328" s="303">
        <v>7.8436300000000001</v>
      </c>
      <c r="J328" s="303">
        <v>-22.137588000000001</v>
      </c>
      <c r="K328" s="303">
        <v>-21.305837</v>
      </c>
      <c r="L328" s="303">
        <v>981.04100000000005</v>
      </c>
      <c r="M328" s="303">
        <v>115.00078499999999</v>
      </c>
      <c r="N328" s="303">
        <v>17618.732919999999</v>
      </c>
      <c r="O328" s="303">
        <v>17637.439129999999</v>
      </c>
      <c r="P328" s="305">
        <v>2070.35</v>
      </c>
      <c r="Q328" s="299">
        <f t="shared" si="1"/>
        <v>2070.35</v>
      </c>
      <c r="R328" s="300" t="s">
        <v>230</v>
      </c>
      <c r="S328" s="300" t="s">
        <v>12</v>
      </c>
      <c r="T328" s="305" t="s">
        <v>530</v>
      </c>
      <c r="U328" s="305">
        <v>15</v>
      </c>
      <c r="V328" s="305">
        <v>5</v>
      </c>
      <c r="W328" s="303">
        <v>0.7</v>
      </c>
      <c r="X328" s="303">
        <v>0.7</v>
      </c>
      <c r="Y328" s="303">
        <v>0.7</v>
      </c>
      <c r="Z328" s="303">
        <v>1700</v>
      </c>
      <c r="AA328" s="303" t="s">
        <v>531</v>
      </c>
      <c r="AB328" s="303">
        <v>0.85</v>
      </c>
      <c r="AC328" s="303" t="s">
        <v>532</v>
      </c>
      <c r="AD328" s="303" t="s">
        <v>533</v>
      </c>
      <c r="AE328" s="303">
        <v>220</v>
      </c>
      <c r="AF328" s="133"/>
      <c r="AG328" s="322"/>
    </row>
    <row r="329" spans="1:33" ht="15.75">
      <c r="A329" s="302" t="s">
        <v>740</v>
      </c>
      <c r="B329" s="303" t="s">
        <v>550</v>
      </c>
      <c r="C329" s="303" t="s">
        <v>738</v>
      </c>
      <c r="D329" s="303" t="s">
        <v>529</v>
      </c>
      <c r="E329" s="303">
        <v>1.5</v>
      </c>
      <c r="F329" s="304">
        <v>45415.421527777777</v>
      </c>
      <c r="G329" s="303">
        <v>1</v>
      </c>
      <c r="H329" s="303">
        <v>51.370800000000003</v>
      </c>
      <c r="I329" s="303">
        <v>7.8801699999999997</v>
      </c>
      <c r="J329" s="303">
        <v>-22.168800000000001</v>
      </c>
      <c r="K329" s="303">
        <v>-21.335912</v>
      </c>
      <c r="L329" s="303">
        <v>986.01400000000001</v>
      </c>
      <c r="M329" s="303">
        <v>126.999596</v>
      </c>
      <c r="N329" s="303">
        <v>17643.633419999998</v>
      </c>
      <c r="O329" s="303">
        <v>17637.439129999999</v>
      </c>
      <c r="P329" s="305">
        <v>2070.35</v>
      </c>
      <c r="Q329" s="299">
        <f t="shared" si="1"/>
        <v>2070.35</v>
      </c>
      <c r="R329" s="300" t="s">
        <v>230</v>
      </c>
      <c r="S329" s="300" t="s">
        <v>12</v>
      </c>
      <c r="T329" s="305" t="s">
        <v>530</v>
      </c>
      <c r="U329" s="305">
        <v>15</v>
      </c>
      <c r="V329" s="305">
        <v>5</v>
      </c>
      <c r="W329" s="303">
        <v>0.7</v>
      </c>
      <c r="X329" s="303">
        <v>0.7</v>
      </c>
      <c r="Y329" s="303">
        <v>0.7</v>
      </c>
      <c r="Z329" s="303">
        <v>1700</v>
      </c>
      <c r="AA329" s="303" t="s">
        <v>531</v>
      </c>
      <c r="AB329" s="303">
        <v>0.85</v>
      </c>
      <c r="AC329" s="303" t="s">
        <v>532</v>
      </c>
      <c r="AD329" s="303" t="s">
        <v>533</v>
      </c>
      <c r="AE329" s="303">
        <v>220</v>
      </c>
      <c r="AF329" s="133"/>
      <c r="AG329" s="322"/>
    </row>
    <row r="330" spans="1:33" ht="15.75">
      <c r="A330" s="302" t="s">
        <v>703</v>
      </c>
      <c r="B330" s="303" t="s">
        <v>554</v>
      </c>
      <c r="C330" s="303" t="s">
        <v>738</v>
      </c>
      <c r="D330" s="303" t="s">
        <v>529</v>
      </c>
      <c r="E330" s="303">
        <v>1.8</v>
      </c>
      <c r="F330" s="304">
        <v>45415.425694444442</v>
      </c>
      <c r="G330" s="303">
        <v>1</v>
      </c>
      <c r="H330" s="303">
        <v>51.3675</v>
      </c>
      <c r="I330" s="303">
        <v>7.8672599999999999</v>
      </c>
      <c r="J330" s="303">
        <v>-22.031068999999999</v>
      </c>
      <c r="K330" s="303">
        <v>-21.188030999999999</v>
      </c>
      <c r="L330" s="303">
        <v>1000.01</v>
      </c>
      <c r="M330" s="303">
        <v>109.999985</v>
      </c>
      <c r="N330" s="303">
        <v>21105.818380000001</v>
      </c>
      <c r="O330" s="303">
        <v>21167.785929999998</v>
      </c>
      <c r="P330" s="305">
        <v>2070.35</v>
      </c>
      <c r="Q330" s="299">
        <f t="shared" si="1"/>
        <v>2070.35</v>
      </c>
      <c r="R330" s="300" t="s">
        <v>230</v>
      </c>
      <c r="S330" s="300" t="s">
        <v>12</v>
      </c>
      <c r="T330" s="305" t="s">
        <v>545</v>
      </c>
      <c r="U330" s="305">
        <v>15</v>
      </c>
      <c r="V330" s="305">
        <v>5</v>
      </c>
      <c r="W330" s="303">
        <v>0.7</v>
      </c>
      <c r="X330" s="303">
        <v>0.7</v>
      </c>
      <c r="Y330" s="303">
        <v>0.7</v>
      </c>
      <c r="Z330" s="303">
        <v>1700</v>
      </c>
      <c r="AA330" s="303" t="s">
        <v>531</v>
      </c>
      <c r="AB330" s="303">
        <v>0.85</v>
      </c>
      <c r="AC330" s="303" t="s">
        <v>532</v>
      </c>
      <c r="AD330" s="303" t="s">
        <v>533</v>
      </c>
      <c r="AE330" s="303">
        <v>220</v>
      </c>
      <c r="AF330" s="133"/>
      <c r="AG330" s="322"/>
    </row>
    <row r="331" spans="1:33" ht="15.75">
      <c r="A331" s="302" t="s">
        <v>704</v>
      </c>
      <c r="B331" s="303" t="s">
        <v>554</v>
      </c>
      <c r="C331" s="303" t="s">
        <v>738</v>
      </c>
      <c r="D331" s="303" t="s">
        <v>529</v>
      </c>
      <c r="E331" s="303">
        <v>1.8</v>
      </c>
      <c r="F331" s="304">
        <v>45415.429166666669</v>
      </c>
      <c r="G331" s="303">
        <v>1</v>
      </c>
      <c r="H331" s="303">
        <v>51.370800000000003</v>
      </c>
      <c r="I331" s="303">
        <v>7.8979900000000001</v>
      </c>
      <c r="J331" s="303">
        <v>-22.162156</v>
      </c>
      <c r="K331" s="303">
        <v>-21.313313000000001</v>
      </c>
      <c r="L331" s="303">
        <v>1002.27</v>
      </c>
      <c r="M331" s="303">
        <v>150.49945399999999</v>
      </c>
      <c r="N331" s="303">
        <v>21156.136500000001</v>
      </c>
      <c r="O331" s="303">
        <v>21167.785929999998</v>
      </c>
      <c r="P331" s="305">
        <v>2070.35</v>
      </c>
      <c r="Q331" s="299">
        <f t="shared" si="1"/>
        <v>2070.35</v>
      </c>
      <c r="R331" s="300" t="s">
        <v>230</v>
      </c>
      <c r="S331" s="300" t="s">
        <v>12</v>
      </c>
      <c r="T331" s="305" t="s">
        <v>530</v>
      </c>
      <c r="U331" s="305">
        <v>15</v>
      </c>
      <c r="V331" s="305">
        <v>5</v>
      </c>
      <c r="W331" s="303">
        <v>0.7</v>
      </c>
      <c r="X331" s="303">
        <v>0.7</v>
      </c>
      <c r="Y331" s="303">
        <v>0.7</v>
      </c>
      <c r="Z331" s="303">
        <v>1700</v>
      </c>
      <c r="AA331" s="303" t="s">
        <v>531</v>
      </c>
      <c r="AB331" s="303">
        <v>0.85</v>
      </c>
      <c r="AC331" s="303" t="s">
        <v>532</v>
      </c>
      <c r="AD331" s="303" t="s">
        <v>533</v>
      </c>
      <c r="AE331" s="303">
        <v>220</v>
      </c>
      <c r="AF331" s="133"/>
      <c r="AG331" s="322"/>
    </row>
    <row r="332" spans="1:33" ht="15.75">
      <c r="A332" s="302" t="s">
        <v>705</v>
      </c>
      <c r="B332" s="303" t="s">
        <v>554</v>
      </c>
      <c r="C332" s="303" t="s">
        <v>738</v>
      </c>
      <c r="D332" s="303" t="s">
        <v>529</v>
      </c>
      <c r="E332" s="303">
        <v>1.8</v>
      </c>
      <c r="F332" s="304">
        <v>45415.432638888888</v>
      </c>
      <c r="G332" s="303">
        <v>1</v>
      </c>
      <c r="H332" s="303">
        <v>51.370800000000003</v>
      </c>
      <c r="I332" s="303">
        <v>7.7549999999999999</v>
      </c>
      <c r="J332" s="303">
        <v>-22.178519000000001</v>
      </c>
      <c r="K332" s="303">
        <v>-21.336380999999999</v>
      </c>
      <c r="L332" s="303">
        <v>1003.72</v>
      </c>
      <c r="M332" s="303">
        <v>137.49990099999999</v>
      </c>
      <c r="N332" s="303">
        <v>21185.350210000001</v>
      </c>
      <c r="O332" s="303">
        <v>21167.785929999998</v>
      </c>
      <c r="P332" s="305">
        <v>2070.35</v>
      </c>
      <c r="Q332" s="299">
        <f t="shared" si="1"/>
        <v>2070.35</v>
      </c>
      <c r="R332" s="300" t="s">
        <v>230</v>
      </c>
      <c r="S332" s="300" t="s">
        <v>12</v>
      </c>
      <c r="T332" s="305" t="s">
        <v>530</v>
      </c>
      <c r="U332" s="305">
        <v>15</v>
      </c>
      <c r="V332" s="305">
        <v>5</v>
      </c>
      <c r="W332" s="303">
        <v>0.7</v>
      </c>
      <c r="X332" s="303">
        <v>0.7</v>
      </c>
      <c r="Y332" s="303">
        <v>0.7</v>
      </c>
      <c r="Z332" s="303">
        <v>1700</v>
      </c>
      <c r="AA332" s="303" t="s">
        <v>531</v>
      </c>
      <c r="AB332" s="303">
        <v>0.85</v>
      </c>
      <c r="AC332" s="303" t="s">
        <v>532</v>
      </c>
      <c r="AD332" s="303" t="s">
        <v>533</v>
      </c>
      <c r="AE332" s="303">
        <v>220</v>
      </c>
      <c r="AF332" s="133"/>
      <c r="AG332" s="322"/>
    </row>
    <row r="333" spans="1:33" ht="15.75">
      <c r="A333" s="302" t="s">
        <v>706</v>
      </c>
      <c r="B333" s="303" t="s">
        <v>554</v>
      </c>
      <c r="C333" s="303" t="s">
        <v>738</v>
      </c>
      <c r="D333" s="303" t="s">
        <v>529</v>
      </c>
      <c r="E333" s="303">
        <v>1.8</v>
      </c>
      <c r="F333" s="304">
        <v>45415.436805555553</v>
      </c>
      <c r="G333" s="303">
        <v>1</v>
      </c>
      <c r="H333" s="303">
        <v>51.370800000000003</v>
      </c>
      <c r="I333" s="303">
        <v>7.8564600000000002</v>
      </c>
      <c r="J333" s="303">
        <v>-22.055306000000002</v>
      </c>
      <c r="K333" s="303">
        <v>-21.220569000000001</v>
      </c>
      <c r="L333" s="303">
        <v>992.12</v>
      </c>
      <c r="M333" s="303">
        <v>133.501125</v>
      </c>
      <c r="N333" s="303">
        <v>21100.246220000001</v>
      </c>
      <c r="O333" s="303">
        <v>21167.785929999998</v>
      </c>
      <c r="P333" s="305">
        <v>2070.35</v>
      </c>
      <c r="Q333" s="299">
        <f t="shared" si="1"/>
        <v>2070.35</v>
      </c>
      <c r="R333" s="300" t="s">
        <v>230</v>
      </c>
      <c r="S333" s="300" t="s">
        <v>12</v>
      </c>
      <c r="T333" s="305" t="s">
        <v>545</v>
      </c>
      <c r="U333" s="305">
        <v>15</v>
      </c>
      <c r="V333" s="305">
        <v>5</v>
      </c>
      <c r="W333" s="303">
        <v>0.7</v>
      </c>
      <c r="X333" s="303">
        <v>0.7</v>
      </c>
      <c r="Y333" s="303">
        <v>0.7</v>
      </c>
      <c r="Z333" s="303">
        <v>1700</v>
      </c>
      <c r="AA333" s="303" t="s">
        <v>531</v>
      </c>
      <c r="AB333" s="303">
        <v>0.85</v>
      </c>
      <c r="AC333" s="303" t="s">
        <v>532</v>
      </c>
      <c r="AD333" s="303" t="s">
        <v>533</v>
      </c>
      <c r="AE333" s="303">
        <v>220</v>
      </c>
      <c r="AF333" s="133"/>
      <c r="AG333" s="322"/>
    </row>
    <row r="334" spans="1:33" ht="15.75">
      <c r="A334" s="302" t="s">
        <v>707</v>
      </c>
      <c r="B334" s="303" t="s">
        <v>554</v>
      </c>
      <c r="C334" s="303" t="s">
        <v>738</v>
      </c>
      <c r="D334" s="303" t="s">
        <v>529</v>
      </c>
      <c r="E334" s="303">
        <v>1.8</v>
      </c>
      <c r="F334" s="304">
        <v>45415.44027777778</v>
      </c>
      <c r="G334" s="303">
        <v>1</v>
      </c>
      <c r="H334" s="303">
        <v>51.370800000000003</v>
      </c>
      <c r="I334" s="303">
        <v>7.8702800000000002</v>
      </c>
      <c r="J334" s="303">
        <v>-22.085688000000001</v>
      </c>
      <c r="K334" s="303">
        <v>-21.256263000000001</v>
      </c>
      <c r="L334" s="303">
        <v>996.36300000000006</v>
      </c>
      <c r="M334" s="303">
        <v>152.49959200000001</v>
      </c>
      <c r="N334" s="303">
        <v>21161.871080000001</v>
      </c>
      <c r="O334" s="303">
        <v>21167.785929999998</v>
      </c>
      <c r="P334" s="305">
        <v>2070.35</v>
      </c>
      <c r="Q334" s="299">
        <f t="shared" si="1"/>
        <v>2070.35</v>
      </c>
      <c r="R334" s="300" t="s">
        <v>230</v>
      </c>
      <c r="S334" s="300" t="s">
        <v>12</v>
      </c>
      <c r="T334" s="305" t="s">
        <v>530</v>
      </c>
      <c r="U334" s="305">
        <v>15</v>
      </c>
      <c r="V334" s="305">
        <v>5</v>
      </c>
      <c r="W334" s="303">
        <v>0.7</v>
      </c>
      <c r="X334" s="303">
        <v>0.7</v>
      </c>
      <c r="Y334" s="303">
        <v>0.7</v>
      </c>
      <c r="Z334" s="303">
        <v>1700</v>
      </c>
      <c r="AA334" s="303" t="s">
        <v>531</v>
      </c>
      <c r="AB334" s="303">
        <v>0.85</v>
      </c>
      <c r="AC334" s="303" t="s">
        <v>532</v>
      </c>
      <c r="AD334" s="303" t="s">
        <v>533</v>
      </c>
      <c r="AE334" s="303">
        <v>220</v>
      </c>
      <c r="AF334" s="133"/>
      <c r="AG334" s="322"/>
    </row>
    <row r="335" spans="1:33" ht="15.75">
      <c r="A335" s="302" t="s">
        <v>538</v>
      </c>
      <c r="B335" s="303">
        <v>2</v>
      </c>
      <c r="C335" s="303" t="s">
        <v>738</v>
      </c>
      <c r="D335" s="303" t="s">
        <v>529</v>
      </c>
      <c r="E335" s="303">
        <v>1.5</v>
      </c>
      <c r="F335" s="304">
        <v>45415.444444444445</v>
      </c>
      <c r="G335" s="303">
        <v>1</v>
      </c>
      <c r="H335" s="303">
        <v>51.3675</v>
      </c>
      <c r="I335" s="303">
        <v>7.8632900000000001</v>
      </c>
      <c r="J335" s="303">
        <v>-22.171593999999999</v>
      </c>
      <c r="K335" s="303">
        <v>-21.327012</v>
      </c>
      <c r="L335" s="303">
        <v>978.65300000000002</v>
      </c>
      <c r="M335" s="303">
        <v>139.99916999999999</v>
      </c>
      <c r="N335" s="303">
        <v>17622.363280000001</v>
      </c>
      <c r="O335" s="303">
        <v>0</v>
      </c>
      <c r="P335" s="305">
        <v>0</v>
      </c>
      <c r="Q335" s="299">
        <f t="shared" si="1"/>
        <v>0</v>
      </c>
      <c r="R335" s="300" t="s">
        <v>230</v>
      </c>
      <c r="S335" s="300" t="s">
        <v>582</v>
      </c>
      <c r="T335" s="305" t="s">
        <v>583</v>
      </c>
      <c r="U335" s="305">
        <v>15</v>
      </c>
      <c r="V335" s="305">
        <v>5</v>
      </c>
      <c r="W335" s="303">
        <v>0.7</v>
      </c>
      <c r="X335" s="303">
        <v>0.7</v>
      </c>
      <c r="Y335" s="303">
        <v>0.7</v>
      </c>
      <c r="Z335" s="303">
        <v>1700</v>
      </c>
      <c r="AA335" s="303" t="s">
        <v>531</v>
      </c>
      <c r="AB335" s="303">
        <v>0.85</v>
      </c>
      <c r="AC335" s="303" t="s">
        <v>532</v>
      </c>
      <c r="AD335" s="303" t="s">
        <v>533</v>
      </c>
      <c r="AE335" s="303">
        <v>220</v>
      </c>
      <c r="AF335" s="133"/>
      <c r="AG335" s="322"/>
    </row>
    <row r="336" spans="1:33" ht="15.75">
      <c r="A336" s="302" t="s">
        <v>708</v>
      </c>
      <c r="B336" s="303">
        <v>2</v>
      </c>
      <c r="C336" s="303" t="s">
        <v>738</v>
      </c>
      <c r="D336" s="303" t="s">
        <v>529</v>
      </c>
      <c r="E336" s="303">
        <v>1.5</v>
      </c>
      <c r="F336" s="304">
        <v>45415.448611111111</v>
      </c>
      <c r="G336" s="303">
        <v>1</v>
      </c>
      <c r="H336" s="303">
        <v>51.3675</v>
      </c>
      <c r="I336" s="303">
        <v>7.8514900000000001</v>
      </c>
      <c r="J336" s="303">
        <v>-22.114955999999999</v>
      </c>
      <c r="K336" s="303">
        <v>-21.323112999999999</v>
      </c>
      <c r="L336" s="303">
        <v>968.18200000000002</v>
      </c>
      <c r="M336" s="303">
        <v>155.999776</v>
      </c>
      <c r="N336" s="303">
        <v>17674.826410000001</v>
      </c>
      <c r="O336" s="303">
        <v>0</v>
      </c>
      <c r="P336" s="305">
        <v>0</v>
      </c>
      <c r="Q336" s="299">
        <f t="shared" si="1"/>
        <v>0</v>
      </c>
      <c r="R336" s="300" t="s">
        <v>230</v>
      </c>
      <c r="S336" s="300" t="s">
        <v>582</v>
      </c>
      <c r="T336" s="305" t="s">
        <v>583</v>
      </c>
      <c r="U336" s="305">
        <v>15</v>
      </c>
      <c r="V336" s="305">
        <v>5</v>
      </c>
      <c r="W336" s="303">
        <v>0.7</v>
      </c>
      <c r="X336" s="303">
        <v>0.7</v>
      </c>
      <c r="Y336" s="303">
        <v>0.7</v>
      </c>
      <c r="Z336" s="303">
        <v>1700</v>
      </c>
      <c r="AA336" s="303" t="s">
        <v>531</v>
      </c>
      <c r="AB336" s="303">
        <v>0.85</v>
      </c>
      <c r="AC336" s="303" t="s">
        <v>532</v>
      </c>
      <c r="AD336" s="303" t="s">
        <v>533</v>
      </c>
      <c r="AE336" s="303">
        <v>220</v>
      </c>
      <c r="AF336" s="133"/>
      <c r="AG336" s="322"/>
    </row>
    <row r="337" spans="1:33" ht="15.75">
      <c r="A337" s="302" t="s">
        <v>709</v>
      </c>
      <c r="B337" s="303">
        <v>2</v>
      </c>
      <c r="C337" s="303" t="s">
        <v>738</v>
      </c>
      <c r="D337" s="303" t="s">
        <v>529</v>
      </c>
      <c r="E337" s="303">
        <v>1.5</v>
      </c>
      <c r="F337" s="304">
        <v>45415.45208333333</v>
      </c>
      <c r="G337" s="303">
        <v>1</v>
      </c>
      <c r="H337" s="303">
        <v>51.3675</v>
      </c>
      <c r="I337" s="303">
        <v>7.8274999999999997</v>
      </c>
      <c r="J337" s="303">
        <v>-21.982419</v>
      </c>
      <c r="K337" s="303">
        <v>-21.138369000000001</v>
      </c>
      <c r="L337" s="303">
        <v>974</v>
      </c>
      <c r="M337" s="303">
        <v>122.00059</v>
      </c>
      <c r="N337" s="303">
        <v>17528.581549999999</v>
      </c>
      <c r="O337" s="303">
        <v>0</v>
      </c>
      <c r="P337" s="305">
        <v>0</v>
      </c>
      <c r="Q337" s="299">
        <f t="shared" si="1"/>
        <v>0</v>
      </c>
      <c r="R337" s="300" t="s">
        <v>230</v>
      </c>
      <c r="S337" s="300" t="s">
        <v>582</v>
      </c>
      <c r="T337" s="305" t="s">
        <v>583</v>
      </c>
      <c r="U337" s="305">
        <v>15</v>
      </c>
      <c r="V337" s="305">
        <v>5</v>
      </c>
      <c r="W337" s="303">
        <v>0.7</v>
      </c>
      <c r="X337" s="303">
        <v>0.7</v>
      </c>
      <c r="Y337" s="303">
        <v>0.7</v>
      </c>
      <c r="Z337" s="303">
        <v>1700</v>
      </c>
      <c r="AA337" s="303" t="s">
        <v>531</v>
      </c>
      <c r="AB337" s="303">
        <v>0.85</v>
      </c>
      <c r="AC337" s="303" t="s">
        <v>532</v>
      </c>
      <c r="AD337" s="303" t="s">
        <v>533</v>
      </c>
      <c r="AE337" s="303">
        <v>220</v>
      </c>
      <c r="AF337" s="133"/>
      <c r="AG337" s="322"/>
    </row>
    <row r="338" spans="1:33" ht="15.75">
      <c r="A338" s="302" t="s">
        <v>741</v>
      </c>
      <c r="B338" s="303">
        <v>2</v>
      </c>
      <c r="C338" s="303" t="s">
        <v>738</v>
      </c>
      <c r="D338" s="303" t="s">
        <v>529</v>
      </c>
      <c r="E338" s="303">
        <v>1.5</v>
      </c>
      <c r="F338" s="304">
        <v>45415.455555555556</v>
      </c>
      <c r="G338" s="303">
        <v>1</v>
      </c>
      <c r="H338" s="303">
        <v>51.374099999999999</v>
      </c>
      <c r="I338" s="303">
        <v>7.8744899999999998</v>
      </c>
      <c r="J338" s="303">
        <v>-22.082937000000001</v>
      </c>
      <c r="K338" s="303">
        <v>-21.234549999999999</v>
      </c>
      <c r="L338" s="303">
        <v>979.79399999999998</v>
      </c>
      <c r="M338" s="303">
        <v>128.50003799999999</v>
      </c>
      <c r="N338" s="303">
        <v>17648.381229999999</v>
      </c>
      <c r="O338" s="303">
        <v>0</v>
      </c>
      <c r="P338" s="305">
        <v>0</v>
      </c>
      <c r="Q338" s="299">
        <f t="shared" si="1"/>
        <v>0</v>
      </c>
      <c r="R338" s="300" t="s">
        <v>230</v>
      </c>
      <c r="S338" s="300" t="s">
        <v>582</v>
      </c>
      <c r="T338" s="305" t="s">
        <v>583</v>
      </c>
      <c r="U338" s="305">
        <v>15</v>
      </c>
      <c r="V338" s="305">
        <v>5</v>
      </c>
      <c r="W338" s="303">
        <v>0.7</v>
      </c>
      <c r="X338" s="303">
        <v>0.7</v>
      </c>
      <c r="Y338" s="303">
        <v>0.7</v>
      </c>
      <c r="Z338" s="303">
        <v>1700</v>
      </c>
      <c r="AA338" s="303" t="s">
        <v>531</v>
      </c>
      <c r="AB338" s="303">
        <v>0.85</v>
      </c>
      <c r="AC338" s="303" t="s">
        <v>532</v>
      </c>
      <c r="AD338" s="303" t="s">
        <v>533</v>
      </c>
      <c r="AE338" s="303">
        <v>220</v>
      </c>
      <c r="AF338" s="133"/>
      <c r="AG338" s="322"/>
    </row>
    <row r="339" spans="1:33" ht="15.75">
      <c r="A339" s="302" t="s">
        <v>742</v>
      </c>
      <c r="B339" s="303">
        <v>2</v>
      </c>
      <c r="C339" s="303" t="s">
        <v>738</v>
      </c>
      <c r="D339" s="303" t="s">
        <v>529</v>
      </c>
      <c r="E339" s="303">
        <v>1.5</v>
      </c>
      <c r="F339" s="304">
        <v>45415.459722222222</v>
      </c>
      <c r="G339" s="303">
        <v>1</v>
      </c>
      <c r="H339" s="303">
        <v>51.370800000000003</v>
      </c>
      <c r="I339" s="303">
        <v>7.8615700000000004</v>
      </c>
      <c r="J339" s="303">
        <v>-22.055112000000001</v>
      </c>
      <c r="K339" s="303">
        <v>-21.220725000000002</v>
      </c>
      <c r="L339" s="303">
        <v>977.43600000000004</v>
      </c>
      <c r="M339" s="303">
        <v>128.00106600000001</v>
      </c>
      <c r="N339" s="303">
        <v>17583.30935</v>
      </c>
      <c r="O339" s="303">
        <v>0</v>
      </c>
      <c r="P339" s="305">
        <v>0</v>
      </c>
      <c r="Q339" s="299">
        <f t="shared" si="1"/>
        <v>0</v>
      </c>
      <c r="R339" s="300" t="s">
        <v>230</v>
      </c>
      <c r="S339" s="300" t="s">
        <v>582</v>
      </c>
      <c r="T339" s="305" t="s">
        <v>583</v>
      </c>
      <c r="U339" s="305">
        <v>15</v>
      </c>
      <c r="V339" s="305">
        <v>5</v>
      </c>
      <c r="W339" s="303">
        <v>0.7</v>
      </c>
      <c r="X339" s="303">
        <v>0.7</v>
      </c>
      <c r="Y339" s="303">
        <v>0.7</v>
      </c>
      <c r="Z339" s="303">
        <v>1700</v>
      </c>
      <c r="AA339" s="303" t="s">
        <v>531</v>
      </c>
      <c r="AB339" s="303">
        <v>0.85</v>
      </c>
      <c r="AC339" s="303" t="s">
        <v>532</v>
      </c>
      <c r="AD339" s="303" t="s">
        <v>533</v>
      </c>
      <c r="AE339" s="303">
        <v>220</v>
      </c>
      <c r="AF339" s="133"/>
      <c r="AG339" s="322"/>
    </row>
    <row r="340" spans="1:33" ht="15.75">
      <c r="A340" s="302" t="s">
        <v>743</v>
      </c>
      <c r="B340" s="303">
        <v>2</v>
      </c>
      <c r="C340" s="303" t="s">
        <v>738</v>
      </c>
      <c r="D340" s="303" t="s">
        <v>529</v>
      </c>
      <c r="E340" s="303">
        <v>1.5</v>
      </c>
      <c r="F340" s="304">
        <v>45415.463194444441</v>
      </c>
      <c r="G340" s="303">
        <v>2</v>
      </c>
      <c r="H340" s="303">
        <v>51.374099999999999</v>
      </c>
      <c r="I340" s="303">
        <v>7.8290699999999998</v>
      </c>
      <c r="J340" s="303">
        <v>-22.154593999999999</v>
      </c>
      <c r="K340" s="303">
        <v>-21.319068999999999</v>
      </c>
      <c r="L340" s="303">
        <v>979.10699999999997</v>
      </c>
      <c r="M340" s="303">
        <v>134.50070199999999</v>
      </c>
      <c r="N340" s="303">
        <v>17636.476409999999</v>
      </c>
      <c r="O340" s="303">
        <v>17646.202010000001</v>
      </c>
      <c r="P340" s="305">
        <v>2071.3777879999998</v>
      </c>
      <c r="Q340" s="299">
        <f t="shared" si="1"/>
        <v>2071.3777879999998</v>
      </c>
      <c r="R340" s="300" t="s">
        <v>230</v>
      </c>
      <c r="S340" s="300" t="s">
        <v>12</v>
      </c>
      <c r="T340" s="305" t="s">
        <v>530</v>
      </c>
      <c r="U340" s="305">
        <v>15</v>
      </c>
      <c r="V340" s="305">
        <v>5</v>
      </c>
      <c r="W340" s="303">
        <v>0.7</v>
      </c>
      <c r="X340" s="303">
        <v>0.7</v>
      </c>
      <c r="Y340" s="303">
        <v>0.7</v>
      </c>
      <c r="Z340" s="303">
        <v>1700</v>
      </c>
      <c r="AA340" s="303" t="s">
        <v>531</v>
      </c>
      <c r="AB340" s="303">
        <v>0.85</v>
      </c>
      <c r="AC340" s="303" t="s">
        <v>532</v>
      </c>
      <c r="AD340" s="303" t="s">
        <v>533</v>
      </c>
      <c r="AE340" s="303">
        <v>220</v>
      </c>
      <c r="AF340" s="133"/>
      <c r="AG340" s="322"/>
    </row>
    <row r="341" spans="1:33" ht="15.75">
      <c r="A341" s="302" t="s">
        <v>744</v>
      </c>
      <c r="B341" s="303">
        <v>2</v>
      </c>
      <c r="C341" s="303" t="s">
        <v>738</v>
      </c>
      <c r="D341" s="303" t="s">
        <v>529</v>
      </c>
      <c r="E341" s="303">
        <v>1.5</v>
      </c>
      <c r="F341" s="304">
        <v>45415.466666666667</v>
      </c>
      <c r="G341" s="303">
        <v>2</v>
      </c>
      <c r="H341" s="303">
        <v>51.374099999999999</v>
      </c>
      <c r="I341" s="303">
        <v>7.7789999999999999</v>
      </c>
      <c r="J341" s="303">
        <v>-22.100013000000001</v>
      </c>
      <c r="K341" s="303">
        <v>-21.289349999999999</v>
      </c>
      <c r="L341" s="303">
        <v>986.75800000000004</v>
      </c>
      <c r="M341" s="303">
        <v>138.500494</v>
      </c>
      <c r="N341" s="303">
        <v>17659.25434</v>
      </c>
      <c r="O341" s="303">
        <v>17646.202010000001</v>
      </c>
      <c r="P341" s="305">
        <v>2071.3777879999998</v>
      </c>
      <c r="Q341" s="299">
        <f t="shared" si="1"/>
        <v>2071.3777879999998</v>
      </c>
      <c r="R341" s="300" t="s">
        <v>230</v>
      </c>
      <c r="S341" s="300" t="s">
        <v>12</v>
      </c>
      <c r="T341" s="305" t="s">
        <v>530</v>
      </c>
      <c r="U341" s="305">
        <v>15</v>
      </c>
      <c r="V341" s="305">
        <v>5</v>
      </c>
      <c r="W341" s="303">
        <v>0.7</v>
      </c>
      <c r="X341" s="303">
        <v>0.7</v>
      </c>
      <c r="Y341" s="303">
        <v>0.7</v>
      </c>
      <c r="Z341" s="303">
        <v>1700</v>
      </c>
      <c r="AA341" s="303" t="s">
        <v>531</v>
      </c>
      <c r="AB341" s="303">
        <v>0.85</v>
      </c>
      <c r="AC341" s="303" t="s">
        <v>532</v>
      </c>
      <c r="AD341" s="303" t="s">
        <v>533</v>
      </c>
      <c r="AE341" s="303">
        <v>220</v>
      </c>
      <c r="AF341" s="133"/>
      <c r="AG341" s="322"/>
    </row>
    <row r="342" spans="1:33" ht="15.75">
      <c r="A342" s="302" t="s">
        <v>745</v>
      </c>
      <c r="B342" s="303">
        <v>2</v>
      </c>
      <c r="C342" s="303" t="s">
        <v>738</v>
      </c>
      <c r="D342" s="303" t="s">
        <v>529</v>
      </c>
      <c r="E342" s="303">
        <v>1.5</v>
      </c>
      <c r="F342" s="304">
        <v>45415.470833333333</v>
      </c>
      <c r="G342" s="303">
        <v>2</v>
      </c>
      <c r="H342" s="303">
        <v>51.374099999999999</v>
      </c>
      <c r="I342" s="303">
        <v>7.7812900000000003</v>
      </c>
      <c r="J342" s="303">
        <v>-22.082630999999999</v>
      </c>
      <c r="K342" s="303">
        <v>-21.284700000000001</v>
      </c>
      <c r="L342" s="303">
        <v>977.16300000000001</v>
      </c>
      <c r="M342" s="303">
        <v>146.00152</v>
      </c>
      <c r="N342" s="303">
        <v>17642.87529</v>
      </c>
      <c r="O342" s="303">
        <v>17646.202010000001</v>
      </c>
      <c r="P342" s="305">
        <v>2071.3777879999998</v>
      </c>
      <c r="Q342" s="299">
        <f t="shared" si="1"/>
        <v>2071.3777879999998</v>
      </c>
      <c r="R342" s="300" t="s">
        <v>230</v>
      </c>
      <c r="S342" s="300" t="s">
        <v>12</v>
      </c>
      <c r="T342" s="305" t="s">
        <v>530</v>
      </c>
      <c r="U342" s="305">
        <v>15</v>
      </c>
      <c r="V342" s="305">
        <v>5</v>
      </c>
      <c r="W342" s="303">
        <v>0.7</v>
      </c>
      <c r="X342" s="303">
        <v>0.7</v>
      </c>
      <c r="Y342" s="303">
        <v>0.7</v>
      </c>
      <c r="Z342" s="303">
        <v>1700</v>
      </c>
      <c r="AA342" s="303" t="s">
        <v>531</v>
      </c>
      <c r="AB342" s="303">
        <v>0.85</v>
      </c>
      <c r="AC342" s="303" t="s">
        <v>532</v>
      </c>
      <c r="AD342" s="303" t="s">
        <v>533</v>
      </c>
      <c r="AE342" s="303">
        <v>220</v>
      </c>
      <c r="AF342" s="133"/>
      <c r="AG342" s="322"/>
    </row>
    <row r="343" spans="1:33" ht="15.75">
      <c r="A343" s="302" t="s">
        <v>539</v>
      </c>
      <c r="B343" s="303">
        <v>3</v>
      </c>
      <c r="C343" s="303">
        <v>106</v>
      </c>
      <c r="D343" s="303" t="s">
        <v>561</v>
      </c>
      <c r="E343" s="303">
        <v>1.5</v>
      </c>
      <c r="F343" s="304">
        <v>45415.474999999999</v>
      </c>
      <c r="G343" s="303">
        <v>1</v>
      </c>
      <c r="H343" s="303">
        <v>51.377400000000002</v>
      </c>
      <c r="I343" s="303">
        <v>7.8236100000000004</v>
      </c>
      <c r="J343" s="303">
        <v>-22.138287999999999</v>
      </c>
      <c r="K343" s="303">
        <v>-21.292000000000002</v>
      </c>
      <c r="L343" s="303">
        <v>986.14099999999996</v>
      </c>
      <c r="M343" s="303">
        <v>115.50059299999999</v>
      </c>
      <c r="N343" s="303">
        <v>17684.07401</v>
      </c>
      <c r="O343" s="303">
        <v>17685.335019999999</v>
      </c>
      <c r="P343" s="305">
        <v>2075.9676490000002</v>
      </c>
      <c r="Q343" s="299">
        <f t="shared" si="1"/>
        <v>2075.9676490000002</v>
      </c>
      <c r="R343" s="300" t="s">
        <v>230</v>
      </c>
      <c r="S343" s="300" t="s">
        <v>12</v>
      </c>
      <c r="T343" s="305" t="s">
        <v>530</v>
      </c>
      <c r="U343" s="305">
        <v>15</v>
      </c>
      <c r="V343" s="305">
        <v>5</v>
      </c>
      <c r="W343" s="303">
        <v>0.7</v>
      </c>
      <c r="X343" s="303">
        <v>0.7</v>
      </c>
      <c r="Y343" s="303">
        <v>0.7</v>
      </c>
      <c r="Z343" s="303">
        <v>1700</v>
      </c>
      <c r="AA343" s="303" t="s">
        <v>531</v>
      </c>
      <c r="AB343" s="303">
        <v>0.85</v>
      </c>
      <c r="AC343" s="303" t="s">
        <v>532</v>
      </c>
      <c r="AD343" s="303" t="s">
        <v>533</v>
      </c>
      <c r="AE343" s="303">
        <v>220</v>
      </c>
      <c r="AF343" s="133"/>
      <c r="AG343" s="322"/>
    </row>
    <row r="344" spans="1:33" ht="15.75">
      <c r="A344" s="302" t="s">
        <v>710</v>
      </c>
      <c r="B344" s="303">
        <v>3</v>
      </c>
      <c r="C344" s="303">
        <v>106</v>
      </c>
      <c r="D344" s="303" t="s">
        <v>561</v>
      </c>
      <c r="E344" s="303">
        <v>1.5</v>
      </c>
      <c r="F344" s="304">
        <v>45415.478472222225</v>
      </c>
      <c r="G344" s="303">
        <v>1</v>
      </c>
      <c r="H344" s="303">
        <v>51.374099999999999</v>
      </c>
      <c r="I344" s="303">
        <v>7.6989599999999996</v>
      </c>
      <c r="J344" s="303">
        <v>-22.133187</v>
      </c>
      <c r="K344" s="303">
        <v>-21.289625000000001</v>
      </c>
      <c r="L344" s="303">
        <v>980.29</v>
      </c>
      <c r="M344" s="303">
        <v>157.000361</v>
      </c>
      <c r="N344" s="303">
        <v>17733.677899999999</v>
      </c>
      <c r="O344" s="303">
        <v>17685.335019999999</v>
      </c>
      <c r="P344" s="305">
        <v>2075.9676490000002</v>
      </c>
      <c r="Q344" s="299">
        <f t="shared" si="1"/>
        <v>2075.9676490000002</v>
      </c>
      <c r="R344" s="300" t="s">
        <v>230</v>
      </c>
      <c r="S344" s="300" t="s">
        <v>12</v>
      </c>
      <c r="T344" s="305" t="s">
        <v>545</v>
      </c>
      <c r="U344" s="305">
        <v>15</v>
      </c>
      <c r="V344" s="305">
        <v>5</v>
      </c>
      <c r="W344" s="303">
        <v>0.7</v>
      </c>
      <c r="X344" s="303">
        <v>0.7</v>
      </c>
      <c r="Y344" s="303">
        <v>0.7</v>
      </c>
      <c r="Z344" s="303">
        <v>1700</v>
      </c>
      <c r="AA344" s="303" t="s">
        <v>531</v>
      </c>
      <c r="AB344" s="303">
        <v>0.85</v>
      </c>
      <c r="AC344" s="303" t="s">
        <v>532</v>
      </c>
      <c r="AD344" s="303" t="s">
        <v>533</v>
      </c>
      <c r="AE344" s="303">
        <v>220</v>
      </c>
      <c r="AF344" s="133"/>
      <c r="AG344" s="322"/>
    </row>
    <row r="345" spans="1:33" ht="15.75">
      <c r="A345" s="302" t="s">
        <v>711</v>
      </c>
      <c r="B345" s="303">
        <v>3</v>
      </c>
      <c r="C345" s="303">
        <v>106</v>
      </c>
      <c r="D345" s="303" t="s">
        <v>561</v>
      </c>
      <c r="E345" s="303">
        <v>1.5</v>
      </c>
      <c r="F345" s="304">
        <v>45415.482638888891</v>
      </c>
      <c r="G345" s="303">
        <v>1</v>
      </c>
      <c r="H345" s="303">
        <v>51.374099999999999</v>
      </c>
      <c r="I345" s="303">
        <v>7.7735599999999998</v>
      </c>
      <c r="J345" s="303">
        <v>-22.008488</v>
      </c>
      <c r="K345" s="303">
        <v>-21.218481000000001</v>
      </c>
      <c r="L345" s="303">
        <v>984.13300000000004</v>
      </c>
      <c r="M345" s="303">
        <v>122.001564</v>
      </c>
      <c r="N345" s="303">
        <v>17696.963619999999</v>
      </c>
      <c r="O345" s="303">
        <v>17685.335019999999</v>
      </c>
      <c r="P345" s="305">
        <v>2075.9676490000002</v>
      </c>
      <c r="Q345" s="299">
        <f t="shared" si="1"/>
        <v>2075.9676490000002</v>
      </c>
      <c r="R345" s="300" t="s">
        <v>230</v>
      </c>
      <c r="S345" s="300" t="s">
        <v>12</v>
      </c>
      <c r="T345" s="305" t="s">
        <v>530</v>
      </c>
      <c r="U345" s="305">
        <v>15</v>
      </c>
      <c r="V345" s="305">
        <v>5</v>
      </c>
      <c r="W345" s="303">
        <v>0.7</v>
      </c>
      <c r="X345" s="303">
        <v>0.7</v>
      </c>
      <c r="Y345" s="303">
        <v>0.7</v>
      </c>
      <c r="Z345" s="303">
        <v>1700</v>
      </c>
      <c r="AA345" s="303" t="s">
        <v>531</v>
      </c>
      <c r="AB345" s="303">
        <v>0.85</v>
      </c>
      <c r="AC345" s="303" t="s">
        <v>532</v>
      </c>
      <c r="AD345" s="303" t="s">
        <v>533</v>
      </c>
      <c r="AE345" s="303">
        <v>220</v>
      </c>
      <c r="AF345" s="133"/>
      <c r="AG345" s="322"/>
    </row>
    <row r="346" spans="1:33" ht="15.75">
      <c r="A346" s="302" t="s">
        <v>712</v>
      </c>
      <c r="B346" s="303">
        <v>3</v>
      </c>
      <c r="C346" s="303">
        <v>106</v>
      </c>
      <c r="D346" s="303" t="s">
        <v>561</v>
      </c>
      <c r="E346" s="303">
        <v>1.5</v>
      </c>
      <c r="F346" s="304">
        <v>45415.486111111109</v>
      </c>
      <c r="G346" s="303">
        <v>1</v>
      </c>
      <c r="H346" s="303">
        <v>51.374099999999999</v>
      </c>
      <c r="I346" s="303">
        <v>7.8420699999999997</v>
      </c>
      <c r="J346" s="303">
        <v>-22.074930999999999</v>
      </c>
      <c r="K346" s="303">
        <v>-21.231475</v>
      </c>
      <c r="L346" s="303">
        <v>983.89599999999996</v>
      </c>
      <c r="M346" s="303">
        <v>128.50059200000001</v>
      </c>
      <c r="N346" s="303">
        <v>17674.967420000001</v>
      </c>
      <c r="O346" s="303">
        <v>17685.335019999999</v>
      </c>
      <c r="P346" s="305">
        <v>2075.9676490000002</v>
      </c>
      <c r="Q346" s="299">
        <f t="shared" si="1"/>
        <v>2075.9676490000002</v>
      </c>
      <c r="R346" s="300" t="s">
        <v>230</v>
      </c>
      <c r="S346" s="300" t="s">
        <v>12</v>
      </c>
      <c r="T346" s="305" t="s">
        <v>530</v>
      </c>
      <c r="U346" s="305">
        <v>15</v>
      </c>
      <c r="V346" s="305">
        <v>5</v>
      </c>
      <c r="W346" s="303">
        <v>0.7</v>
      </c>
      <c r="X346" s="303">
        <v>0.7</v>
      </c>
      <c r="Y346" s="303">
        <v>0.7</v>
      </c>
      <c r="Z346" s="303">
        <v>1700</v>
      </c>
      <c r="AA346" s="303" t="s">
        <v>531</v>
      </c>
      <c r="AB346" s="303">
        <v>0.85</v>
      </c>
      <c r="AC346" s="303" t="s">
        <v>532</v>
      </c>
      <c r="AD346" s="303" t="s">
        <v>533</v>
      </c>
      <c r="AE346" s="303">
        <v>220</v>
      </c>
      <c r="AF346" s="133"/>
      <c r="AG346" s="323"/>
    </row>
    <row r="347" spans="1:33" ht="15.75">
      <c r="A347" s="302" t="s">
        <v>540</v>
      </c>
      <c r="B347" s="303">
        <v>4</v>
      </c>
      <c r="C347" s="303">
        <v>300</v>
      </c>
      <c r="D347" s="303" t="s">
        <v>565</v>
      </c>
      <c r="E347" s="303">
        <v>1.5</v>
      </c>
      <c r="F347" s="304">
        <v>45415.490277777775</v>
      </c>
      <c r="G347" s="303">
        <v>1</v>
      </c>
      <c r="H347" s="303">
        <v>51.370800000000003</v>
      </c>
      <c r="I347" s="303">
        <v>7.7855299999999996</v>
      </c>
      <c r="J347" s="303">
        <v>-22.080213000000001</v>
      </c>
      <c r="K347" s="303">
        <v>-21.299838000000001</v>
      </c>
      <c r="L347" s="303">
        <v>974.82500000000005</v>
      </c>
      <c r="M347" s="303">
        <v>142.49913900000001</v>
      </c>
      <c r="N347" s="303">
        <v>17622.44585</v>
      </c>
      <c r="O347" s="303">
        <v>17623.38696</v>
      </c>
      <c r="P347" s="305">
        <v>2068.7095899999999</v>
      </c>
      <c r="Q347" s="299">
        <f t="shared" si="1"/>
        <v>2068.7095899999999</v>
      </c>
      <c r="R347" s="300" t="s">
        <v>230</v>
      </c>
      <c r="S347" s="300" t="s">
        <v>12</v>
      </c>
      <c r="T347" s="305" t="s">
        <v>530</v>
      </c>
      <c r="U347" s="305">
        <v>15</v>
      </c>
      <c r="V347" s="305">
        <v>5</v>
      </c>
      <c r="W347" s="303">
        <v>0.7</v>
      </c>
      <c r="X347" s="303">
        <v>0.7</v>
      </c>
      <c r="Y347" s="303">
        <v>0.7</v>
      </c>
      <c r="Z347" s="303">
        <v>1700</v>
      </c>
      <c r="AA347" s="303" t="s">
        <v>531</v>
      </c>
      <c r="AB347" s="303">
        <v>0.85</v>
      </c>
      <c r="AC347" s="303" t="s">
        <v>532</v>
      </c>
      <c r="AD347" s="303" t="s">
        <v>533</v>
      </c>
      <c r="AE347" s="303">
        <v>220</v>
      </c>
      <c r="AF347" s="133"/>
      <c r="AG347" s="323"/>
    </row>
    <row r="348" spans="1:33" ht="15.75">
      <c r="A348" s="302" t="s">
        <v>713</v>
      </c>
      <c r="B348" s="303">
        <v>4</v>
      </c>
      <c r="C348" s="303">
        <v>300</v>
      </c>
      <c r="D348" s="303" t="s">
        <v>565</v>
      </c>
      <c r="E348" s="303">
        <v>1.5</v>
      </c>
      <c r="F348" s="304">
        <v>45415.493750000001</v>
      </c>
      <c r="G348" s="303">
        <v>1</v>
      </c>
      <c r="H348" s="303">
        <v>51.370800000000003</v>
      </c>
      <c r="I348" s="303">
        <v>7.77182</v>
      </c>
      <c r="J348" s="303">
        <v>-22.041143999999999</v>
      </c>
      <c r="K348" s="303">
        <v>-21.217455999999999</v>
      </c>
      <c r="L348" s="303">
        <v>980.10799999999995</v>
      </c>
      <c r="M348" s="303">
        <v>121.499469</v>
      </c>
      <c r="N348" s="303">
        <v>17627.797030000002</v>
      </c>
      <c r="O348" s="303">
        <v>17623.38696</v>
      </c>
      <c r="P348" s="305">
        <v>2068.7095899999999</v>
      </c>
      <c r="Q348" s="299">
        <f t="shared" si="1"/>
        <v>2068.7095899999999</v>
      </c>
      <c r="R348" s="300" t="s">
        <v>230</v>
      </c>
      <c r="S348" s="300" t="s">
        <v>12</v>
      </c>
      <c r="T348" s="305" t="s">
        <v>530</v>
      </c>
      <c r="U348" s="305">
        <v>15</v>
      </c>
      <c r="V348" s="305">
        <v>5</v>
      </c>
      <c r="W348" s="303">
        <v>0.7</v>
      </c>
      <c r="X348" s="303">
        <v>0.7</v>
      </c>
      <c r="Y348" s="303">
        <v>0.7</v>
      </c>
      <c r="Z348" s="303">
        <v>1700</v>
      </c>
      <c r="AA348" s="303" t="s">
        <v>531</v>
      </c>
      <c r="AB348" s="303">
        <v>0.85</v>
      </c>
      <c r="AC348" s="303" t="s">
        <v>532</v>
      </c>
      <c r="AD348" s="303" t="s">
        <v>533</v>
      </c>
      <c r="AE348" s="303">
        <v>220</v>
      </c>
      <c r="AF348" s="133"/>
      <c r="AG348" s="323"/>
    </row>
    <row r="349" spans="1:33" ht="15.75">
      <c r="A349" s="302" t="s">
        <v>714</v>
      </c>
      <c r="B349" s="303">
        <v>4</v>
      </c>
      <c r="C349" s="303">
        <v>300</v>
      </c>
      <c r="D349" s="303" t="s">
        <v>565</v>
      </c>
      <c r="E349" s="303">
        <v>1.5</v>
      </c>
      <c r="F349" s="304">
        <v>45415.49722222222</v>
      </c>
      <c r="G349" s="303">
        <v>1</v>
      </c>
      <c r="H349" s="303">
        <v>51.374099999999999</v>
      </c>
      <c r="I349" s="303">
        <v>7.7930900000000003</v>
      </c>
      <c r="J349" s="303">
        <v>-22.130030999999999</v>
      </c>
      <c r="K349" s="303">
        <v>-21.292019</v>
      </c>
      <c r="L349" s="303">
        <v>973.93899999999996</v>
      </c>
      <c r="M349" s="303">
        <v>133.50091699999999</v>
      </c>
      <c r="N349" s="303">
        <v>17619.918010000001</v>
      </c>
      <c r="O349" s="303">
        <v>17623.38696</v>
      </c>
      <c r="P349" s="305">
        <v>2068.7095899999999</v>
      </c>
      <c r="Q349" s="299">
        <f t="shared" si="1"/>
        <v>2068.7095899999999</v>
      </c>
      <c r="R349" s="300" t="s">
        <v>230</v>
      </c>
      <c r="S349" s="300" t="s">
        <v>12</v>
      </c>
      <c r="T349" s="305" t="s">
        <v>530</v>
      </c>
      <c r="U349" s="305">
        <v>15</v>
      </c>
      <c r="V349" s="305">
        <v>5</v>
      </c>
      <c r="W349" s="303">
        <v>0.7</v>
      </c>
      <c r="X349" s="303">
        <v>0.7</v>
      </c>
      <c r="Y349" s="303">
        <v>0.7</v>
      </c>
      <c r="Z349" s="303">
        <v>1700</v>
      </c>
      <c r="AA349" s="303" t="s">
        <v>531</v>
      </c>
      <c r="AB349" s="303">
        <v>0.85</v>
      </c>
      <c r="AC349" s="303" t="s">
        <v>532</v>
      </c>
      <c r="AD349" s="303" t="s">
        <v>533</v>
      </c>
      <c r="AE349" s="303">
        <v>220</v>
      </c>
      <c r="AF349" s="133"/>
      <c r="AG349" s="323"/>
    </row>
    <row r="350" spans="1:33" ht="15.75">
      <c r="A350" s="302" t="s">
        <v>541</v>
      </c>
      <c r="B350" s="303">
        <v>5</v>
      </c>
      <c r="C350" s="303">
        <v>301</v>
      </c>
      <c r="D350" s="303" t="s">
        <v>570</v>
      </c>
      <c r="E350" s="303">
        <v>1.5</v>
      </c>
      <c r="F350" s="304">
        <v>45415.501388888886</v>
      </c>
      <c r="G350" s="303">
        <v>1</v>
      </c>
      <c r="H350" s="303">
        <v>51.370800000000003</v>
      </c>
      <c r="I350" s="303">
        <v>7.7326300000000003</v>
      </c>
      <c r="J350" s="303">
        <v>-22.050044</v>
      </c>
      <c r="K350" s="303">
        <v>-21.217281</v>
      </c>
      <c r="L350" s="303">
        <v>971.59299999999996</v>
      </c>
      <c r="M350" s="303">
        <v>142.001294</v>
      </c>
      <c r="N350" s="303">
        <v>17654.29783</v>
      </c>
      <c r="O350" s="303">
        <v>0</v>
      </c>
      <c r="P350" s="305">
        <v>0</v>
      </c>
      <c r="Q350" s="299">
        <f t="shared" si="1"/>
        <v>0</v>
      </c>
      <c r="R350" s="300" t="s">
        <v>230</v>
      </c>
      <c r="S350" s="300" t="s">
        <v>582</v>
      </c>
      <c r="T350" s="305" t="s">
        <v>583</v>
      </c>
      <c r="U350" s="305">
        <v>15</v>
      </c>
      <c r="V350" s="305">
        <v>5</v>
      </c>
      <c r="W350" s="303">
        <v>0.7</v>
      </c>
      <c r="X350" s="303">
        <v>0.7</v>
      </c>
      <c r="Y350" s="303">
        <v>0.7</v>
      </c>
      <c r="Z350" s="303">
        <v>1700</v>
      </c>
      <c r="AA350" s="303" t="s">
        <v>531</v>
      </c>
      <c r="AB350" s="303">
        <v>0.85</v>
      </c>
      <c r="AC350" s="303" t="s">
        <v>532</v>
      </c>
      <c r="AD350" s="303" t="s">
        <v>533</v>
      </c>
      <c r="AE350" s="303">
        <v>220</v>
      </c>
      <c r="AF350" s="133"/>
      <c r="AG350" s="323"/>
    </row>
    <row r="351" spans="1:33" ht="15.75">
      <c r="A351" s="302" t="s">
        <v>715</v>
      </c>
      <c r="B351" s="303">
        <v>5</v>
      </c>
      <c r="C351" s="303">
        <v>301</v>
      </c>
      <c r="D351" s="303" t="s">
        <v>570</v>
      </c>
      <c r="E351" s="303">
        <v>1.5</v>
      </c>
      <c r="F351" s="304">
        <v>45415.505555555559</v>
      </c>
      <c r="G351" s="303">
        <v>1</v>
      </c>
      <c r="H351" s="303">
        <v>51.370800000000003</v>
      </c>
      <c r="I351" s="303">
        <v>7.7550100000000004</v>
      </c>
      <c r="J351" s="303">
        <v>-22.118769</v>
      </c>
      <c r="K351" s="303">
        <v>-21.322493999999999</v>
      </c>
      <c r="L351" s="303">
        <v>981.41499999999996</v>
      </c>
      <c r="M351" s="303">
        <v>172.49983</v>
      </c>
      <c r="N351" s="303">
        <v>17681.33397</v>
      </c>
      <c r="O351" s="303">
        <v>0</v>
      </c>
      <c r="P351" s="305">
        <v>0</v>
      </c>
      <c r="Q351" s="299">
        <f t="shared" si="1"/>
        <v>0</v>
      </c>
      <c r="R351" s="300" t="s">
        <v>230</v>
      </c>
      <c r="S351" s="300" t="s">
        <v>582</v>
      </c>
      <c r="T351" s="305" t="s">
        <v>583</v>
      </c>
      <c r="U351" s="305">
        <v>15</v>
      </c>
      <c r="V351" s="305">
        <v>5</v>
      </c>
      <c r="W351" s="303">
        <v>0.7</v>
      </c>
      <c r="X351" s="303">
        <v>0.7</v>
      </c>
      <c r="Y351" s="303">
        <v>0.7</v>
      </c>
      <c r="Z351" s="303">
        <v>1700</v>
      </c>
      <c r="AA351" s="303" t="s">
        <v>531</v>
      </c>
      <c r="AB351" s="303">
        <v>0.85</v>
      </c>
      <c r="AC351" s="303" t="s">
        <v>532</v>
      </c>
      <c r="AD351" s="303" t="s">
        <v>533</v>
      </c>
      <c r="AE351" s="303">
        <v>220</v>
      </c>
      <c r="AF351" s="133"/>
      <c r="AG351" s="323"/>
    </row>
    <row r="352" spans="1:33" ht="15.75">
      <c r="A352" s="302" t="s">
        <v>716</v>
      </c>
      <c r="B352" s="303">
        <v>5</v>
      </c>
      <c r="C352" s="303">
        <v>301</v>
      </c>
      <c r="D352" s="303" t="s">
        <v>570</v>
      </c>
      <c r="E352" s="303">
        <v>1.5</v>
      </c>
      <c r="F352" s="304">
        <v>45415.509722222225</v>
      </c>
      <c r="G352" s="303">
        <v>1</v>
      </c>
      <c r="H352" s="303">
        <v>51.370800000000003</v>
      </c>
      <c r="I352" s="303">
        <v>7.8413300000000001</v>
      </c>
      <c r="J352" s="303">
        <v>-22.044044</v>
      </c>
      <c r="K352" s="303">
        <v>-21.203531000000002</v>
      </c>
      <c r="L352" s="303">
        <v>978.17399999999998</v>
      </c>
      <c r="M352" s="303">
        <v>128.99998299999999</v>
      </c>
      <c r="N352" s="303">
        <v>17589.20793</v>
      </c>
      <c r="O352" s="303">
        <v>0</v>
      </c>
      <c r="P352" s="305">
        <v>0</v>
      </c>
      <c r="Q352" s="299">
        <f t="shared" si="1"/>
        <v>0</v>
      </c>
      <c r="R352" s="300" t="s">
        <v>230</v>
      </c>
      <c r="S352" s="300" t="s">
        <v>582</v>
      </c>
      <c r="T352" s="305" t="s">
        <v>583</v>
      </c>
      <c r="U352" s="305">
        <v>15</v>
      </c>
      <c r="V352" s="305">
        <v>5</v>
      </c>
      <c r="W352" s="303">
        <v>0.7</v>
      </c>
      <c r="X352" s="303">
        <v>0.7</v>
      </c>
      <c r="Y352" s="303">
        <v>0.7</v>
      </c>
      <c r="Z352" s="303">
        <v>1700</v>
      </c>
      <c r="AA352" s="303" t="s">
        <v>531</v>
      </c>
      <c r="AB352" s="303">
        <v>0.85</v>
      </c>
      <c r="AC352" s="303" t="s">
        <v>532</v>
      </c>
      <c r="AD352" s="303" t="s">
        <v>533</v>
      </c>
      <c r="AE352" s="303">
        <v>220</v>
      </c>
      <c r="AF352" s="133"/>
      <c r="AG352" s="322"/>
    </row>
    <row r="353" spans="1:33" ht="15.75">
      <c r="A353" s="302" t="s">
        <v>717</v>
      </c>
      <c r="B353" s="303">
        <v>5</v>
      </c>
      <c r="C353" s="303">
        <v>301</v>
      </c>
      <c r="D353" s="303" t="s">
        <v>570</v>
      </c>
      <c r="E353" s="303">
        <v>1.5</v>
      </c>
      <c r="F353" s="304">
        <v>45415.513194444444</v>
      </c>
      <c r="G353" s="303">
        <v>1</v>
      </c>
      <c r="H353" s="303">
        <v>51.377400000000002</v>
      </c>
      <c r="I353" s="303">
        <v>7.7895799999999999</v>
      </c>
      <c r="J353" s="303">
        <v>-22.138513</v>
      </c>
      <c r="K353" s="303">
        <v>-21.288637999999999</v>
      </c>
      <c r="L353" s="303">
        <v>974.59100000000001</v>
      </c>
      <c r="M353" s="303">
        <v>140.998963</v>
      </c>
      <c r="N353" s="303">
        <v>17640.512610000002</v>
      </c>
      <c r="O353" s="303">
        <v>0</v>
      </c>
      <c r="P353" s="305">
        <v>0</v>
      </c>
      <c r="Q353" s="299">
        <f t="shared" si="1"/>
        <v>0</v>
      </c>
      <c r="R353" s="300" t="s">
        <v>230</v>
      </c>
      <c r="S353" s="300" t="s">
        <v>582</v>
      </c>
      <c r="T353" s="305" t="s">
        <v>583</v>
      </c>
      <c r="U353" s="305">
        <v>15</v>
      </c>
      <c r="V353" s="305">
        <v>5</v>
      </c>
      <c r="W353" s="303">
        <v>0.7</v>
      </c>
      <c r="X353" s="303">
        <v>0.7</v>
      </c>
      <c r="Y353" s="303">
        <v>0.7</v>
      </c>
      <c r="Z353" s="303">
        <v>1700</v>
      </c>
      <c r="AA353" s="303" t="s">
        <v>531</v>
      </c>
      <c r="AB353" s="303">
        <v>0.85</v>
      </c>
      <c r="AC353" s="303" t="s">
        <v>532</v>
      </c>
      <c r="AD353" s="303" t="s">
        <v>533</v>
      </c>
      <c r="AE353" s="303">
        <v>220</v>
      </c>
      <c r="AF353" s="133"/>
      <c r="AG353" s="322"/>
    </row>
    <row r="354" spans="1:33" ht="15.75">
      <c r="A354" s="302" t="s">
        <v>718</v>
      </c>
      <c r="B354" s="303">
        <v>5</v>
      </c>
      <c r="C354" s="303">
        <v>301</v>
      </c>
      <c r="D354" s="303" t="s">
        <v>570</v>
      </c>
      <c r="E354" s="303">
        <v>1.5</v>
      </c>
      <c r="F354" s="304">
        <v>45415.517361111109</v>
      </c>
      <c r="G354" s="303">
        <v>1</v>
      </c>
      <c r="H354" s="303">
        <v>51.374099999999999</v>
      </c>
      <c r="I354" s="303">
        <v>7.76084</v>
      </c>
      <c r="J354" s="303">
        <v>-22.129144</v>
      </c>
      <c r="K354" s="303">
        <v>-21.28265</v>
      </c>
      <c r="L354" s="303">
        <v>974.88900000000001</v>
      </c>
      <c r="M354" s="303">
        <v>138.000077</v>
      </c>
      <c r="N354" s="303">
        <v>17607.86735</v>
      </c>
      <c r="O354" s="303">
        <v>0</v>
      </c>
      <c r="P354" s="305">
        <v>0</v>
      </c>
      <c r="Q354" s="299">
        <f t="shared" si="1"/>
        <v>0</v>
      </c>
      <c r="R354" s="300" t="s">
        <v>230</v>
      </c>
      <c r="S354" s="300" t="s">
        <v>582</v>
      </c>
      <c r="T354" s="305" t="s">
        <v>583</v>
      </c>
      <c r="U354" s="305">
        <v>15</v>
      </c>
      <c r="V354" s="305">
        <v>5</v>
      </c>
      <c r="W354" s="303">
        <v>0.7</v>
      </c>
      <c r="X354" s="303">
        <v>0.7</v>
      </c>
      <c r="Y354" s="303">
        <v>0.7</v>
      </c>
      <c r="Z354" s="303">
        <v>1700</v>
      </c>
      <c r="AA354" s="303" t="s">
        <v>531</v>
      </c>
      <c r="AB354" s="303">
        <v>0.85</v>
      </c>
      <c r="AC354" s="303" t="s">
        <v>532</v>
      </c>
      <c r="AD354" s="303" t="s">
        <v>533</v>
      </c>
      <c r="AE354" s="303">
        <v>220</v>
      </c>
      <c r="AF354" s="133"/>
      <c r="AG354" s="322"/>
    </row>
    <row r="355" spans="1:33" ht="15.75">
      <c r="A355" s="302" t="s">
        <v>746</v>
      </c>
      <c r="B355" s="303">
        <v>5</v>
      </c>
      <c r="C355" s="303">
        <v>301</v>
      </c>
      <c r="D355" s="303" t="s">
        <v>570</v>
      </c>
      <c r="E355" s="303">
        <v>1.5</v>
      </c>
      <c r="F355" s="304">
        <v>45415.520833333336</v>
      </c>
      <c r="G355" s="303">
        <v>2</v>
      </c>
      <c r="H355" s="303">
        <v>51.374099999999999</v>
      </c>
      <c r="I355" s="303">
        <v>7.7332299999999998</v>
      </c>
      <c r="J355" s="303">
        <v>-22.128862000000002</v>
      </c>
      <c r="K355" s="303">
        <v>-21.336355999999999</v>
      </c>
      <c r="L355" s="303">
        <v>974.04300000000001</v>
      </c>
      <c r="M355" s="303">
        <v>184.49813700000001</v>
      </c>
      <c r="N355" s="303">
        <v>17693.343700000001</v>
      </c>
      <c r="O355" s="303">
        <v>17675.19584</v>
      </c>
      <c r="P355" s="305">
        <v>2074.7784379999998</v>
      </c>
      <c r="Q355" s="299">
        <f t="shared" si="1"/>
        <v>2074.7784379999998</v>
      </c>
      <c r="R355" s="300" t="s">
        <v>230</v>
      </c>
      <c r="S355" s="300" t="s">
        <v>12</v>
      </c>
      <c r="T355" s="305" t="s">
        <v>530</v>
      </c>
      <c r="U355" s="305">
        <v>15</v>
      </c>
      <c r="V355" s="305">
        <v>5</v>
      </c>
      <c r="W355" s="303">
        <v>0.7</v>
      </c>
      <c r="X355" s="303">
        <v>0.7</v>
      </c>
      <c r="Y355" s="303">
        <v>0.7</v>
      </c>
      <c r="Z355" s="303">
        <v>1700</v>
      </c>
      <c r="AA355" s="303" t="s">
        <v>531</v>
      </c>
      <c r="AB355" s="303">
        <v>0.85</v>
      </c>
      <c r="AC355" s="303" t="s">
        <v>532</v>
      </c>
      <c r="AD355" s="303" t="s">
        <v>533</v>
      </c>
      <c r="AE355" s="303">
        <v>220</v>
      </c>
      <c r="AF355" s="133"/>
      <c r="AG355" s="322"/>
    </row>
    <row r="356" spans="1:33" ht="15.75">
      <c r="A356" s="302" t="s">
        <v>747</v>
      </c>
      <c r="B356" s="303">
        <v>5</v>
      </c>
      <c r="C356" s="303">
        <v>301</v>
      </c>
      <c r="D356" s="303" t="s">
        <v>570</v>
      </c>
      <c r="E356" s="303">
        <v>1.5</v>
      </c>
      <c r="F356" s="304">
        <v>45415.525000000001</v>
      </c>
      <c r="G356" s="303">
        <v>2</v>
      </c>
      <c r="H356" s="303">
        <v>51.370800000000003</v>
      </c>
      <c r="I356" s="303">
        <v>7.8092699999999997</v>
      </c>
      <c r="J356" s="303">
        <v>-22.242699999999999</v>
      </c>
      <c r="K356" s="303">
        <v>-21.395769000000001</v>
      </c>
      <c r="L356" s="303">
        <v>983.05499999999995</v>
      </c>
      <c r="M356" s="303">
        <v>159.00101699999999</v>
      </c>
      <c r="N356" s="303">
        <v>17713.999100000001</v>
      </c>
      <c r="O356" s="303">
        <v>17675.19584</v>
      </c>
      <c r="P356" s="305">
        <v>2074.7784379999998</v>
      </c>
      <c r="Q356" s="299">
        <f t="shared" si="1"/>
        <v>2074.7784379999998</v>
      </c>
      <c r="R356" s="300" t="s">
        <v>230</v>
      </c>
      <c r="S356" s="300" t="s">
        <v>12</v>
      </c>
      <c r="T356" s="305" t="s">
        <v>545</v>
      </c>
      <c r="U356" s="305">
        <v>15</v>
      </c>
      <c r="V356" s="305">
        <v>5</v>
      </c>
      <c r="W356" s="303">
        <v>0.7</v>
      </c>
      <c r="X356" s="303">
        <v>0.7</v>
      </c>
      <c r="Y356" s="303">
        <v>0.7</v>
      </c>
      <c r="Z356" s="303">
        <v>1700</v>
      </c>
      <c r="AA356" s="303" t="s">
        <v>531</v>
      </c>
      <c r="AB356" s="303">
        <v>0.85</v>
      </c>
      <c r="AC356" s="303" t="s">
        <v>532</v>
      </c>
      <c r="AD356" s="303" t="s">
        <v>533</v>
      </c>
      <c r="AE356" s="303">
        <v>220</v>
      </c>
      <c r="AF356" s="133"/>
      <c r="AG356" s="322"/>
    </row>
    <row r="357" spans="1:33" ht="15.75">
      <c r="A357" s="302" t="s">
        <v>748</v>
      </c>
      <c r="B357" s="303">
        <v>5</v>
      </c>
      <c r="C357" s="303">
        <v>301</v>
      </c>
      <c r="D357" s="303" t="s">
        <v>570</v>
      </c>
      <c r="E357" s="303">
        <v>1.5</v>
      </c>
      <c r="F357" s="304">
        <v>45415.529166666667</v>
      </c>
      <c r="G357" s="303">
        <v>2</v>
      </c>
      <c r="H357" s="303">
        <v>51.374099999999999</v>
      </c>
      <c r="I357" s="303">
        <v>7.7206400000000004</v>
      </c>
      <c r="J357" s="303">
        <v>-22.134730999999999</v>
      </c>
      <c r="K357" s="303">
        <v>-21.28585</v>
      </c>
      <c r="L357" s="303">
        <v>991.24300000000005</v>
      </c>
      <c r="M357" s="303">
        <v>123.000467</v>
      </c>
      <c r="N357" s="303">
        <v>17667.229309999999</v>
      </c>
      <c r="O357" s="303">
        <v>17675.19584</v>
      </c>
      <c r="P357" s="305">
        <v>2074.7784379999998</v>
      </c>
      <c r="Q357" s="299">
        <f t="shared" si="1"/>
        <v>2074.7784379999998</v>
      </c>
      <c r="R357" s="300" t="s">
        <v>230</v>
      </c>
      <c r="S357" s="300" t="s">
        <v>12</v>
      </c>
      <c r="T357" s="305" t="s">
        <v>530</v>
      </c>
      <c r="U357" s="305">
        <v>15</v>
      </c>
      <c r="V357" s="305">
        <v>5</v>
      </c>
      <c r="W357" s="303">
        <v>0.7</v>
      </c>
      <c r="X357" s="303">
        <v>0.7</v>
      </c>
      <c r="Y357" s="303">
        <v>0.7</v>
      </c>
      <c r="Z357" s="303">
        <v>1700</v>
      </c>
      <c r="AA357" s="303" t="s">
        <v>531</v>
      </c>
      <c r="AB357" s="303">
        <v>0.85</v>
      </c>
      <c r="AC357" s="303" t="s">
        <v>532</v>
      </c>
      <c r="AD357" s="303" t="s">
        <v>533</v>
      </c>
      <c r="AE357" s="303">
        <v>220</v>
      </c>
      <c r="AF357" s="133"/>
      <c r="AG357" s="322"/>
    </row>
    <row r="358" spans="1:33" ht="15.75">
      <c r="A358" s="302" t="s">
        <v>749</v>
      </c>
      <c r="B358" s="303">
        <v>5</v>
      </c>
      <c r="C358" s="303">
        <v>301</v>
      </c>
      <c r="D358" s="303" t="s">
        <v>570</v>
      </c>
      <c r="E358" s="303">
        <v>1.5</v>
      </c>
      <c r="F358" s="304">
        <v>45415.532638888886</v>
      </c>
      <c r="G358" s="303">
        <v>2</v>
      </c>
      <c r="H358" s="303">
        <v>51.370800000000003</v>
      </c>
      <c r="I358" s="303">
        <v>7.70303</v>
      </c>
      <c r="J358" s="303">
        <v>-22.183444000000001</v>
      </c>
      <c r="K358" s="303">
        <v>-21.438618999999999</v>
      </c>
      <c r="L358" s="303">
        <v>972.05399999999997</v>
      </c>
      <c r="M358" s="303">
        <v>219.99928399999999</v>
      </c>
      <c r="N358" s="303">
        <v>17665.014520000001</v>
      </c>
      <c r="O358" s="303">
        <v>17675.19584</v>
      </c>
      <c r="P358" s="305">
        <v>2074.7784379999998</v>
      </c>
      <c r="Q358" s="299">
        <f t="shared" si="1"/>
        <v>2074.7784379999998</v>
      </c>
      <c r="R358" s="300" t="s">
        <v>230</v>
      </c>
      <c r="S358" s="300" t="s">
        <v>12</v>
      </c>
      <c r="T358" s="305" t="s">
        <v>530</v>
      </c>
      <c r="U358" s="305">
        <v>15</v>
      </c>
      <c r="V358" s="305">
        <v>5</v>
      </c>
      <c r="W358" s="303">
        <v>0.7</v>
      </c>
      <c r="X358" s="303">
        <v>0.7</v>
      </c>
      <c r="Y358" s="303">
        <v>0.7</v>
      </c>
      <c r="Z358" s="303">
        <v>1700</v>
      </c>
      <c r="AA358" s="303" t="s">
        <v>531</v>
      </c>
      <c r="AB358" s="303">
        <v>0.85</v>
      </c>
      <c r="AC358" s="303" t="s">
        <v>532</v>
      </c>
      <c r="AD358" s="303" t="s">
        <v>533</v>
      </c>
      <c r="AE358" s="303">
        <v>220</v>
      </c>
      <c r="AF358" s="133"/>
      <c r="AG358" s="322"/>
    </row>
    <row r="359" spans="1:33" ht="15.75">
      <c r="A359" s="302" t="s">
        <v>657</v>
      </c>
      <c r="B359" s="303">
        <v>6</v>
      </c>
      <c r="C359" s="303">
        <v>313</v>
      </c>
      <c r="D359" s="303" t="s">
        <v>575</v>
      </c>
      <c r="E359" s="303">
        <v>1.5</v>
      </c>
      <c r="F359" s="304">
        <v>45415.538194444445</v>
      </c>
      <c r="G359" s="303">
        <v>1</v>
      </c>
      <c r="H359" s="303">
        <v>51.370800000000003</v>
      </c>
      <c r="I359" s="303">
        <v>7.7243399999999998</v>
      </c>
      <c r="J359" s="303">
        <v>-22.053213</v>
      </c>
      <c r="K359" s="303">
        <v>-21.207037</v>
      </c>
      <c r="L359" s="303">
        <v>983.30200000000002</v>
      </c>
      <c r="M359" s="303">
        <v>108.99943399999999</v>
      </c>
      <c r="N359" s="303">
        <v>17694.479080000001</v>
      </c>
      <c r="O359" s="303">
        <v>17698.315129999999</v>
      </c>
      <c r="P359" s="305">
        <v>2077.4900710000002</v>
      </c>
      <c r="Q359" s="299">
        <f t="shared" si="1"/>
        <v>2077.4900710000002</v>
      </c>
      <c r="R359" s="300" t="s">
        <v>230</v>
      </c>
      <c r="S359" s="300" t="s">
        <v>12</v>
      </c>
      <c r="T359" s="305" t="s">
        <v>530</v>
      </c>
      <c r="U359" s="305">
        <v>15</v>
      </c>
      <c r="V359" s="305">
        <v>5</v>
      </c>
      <c r="W359" s="303">
        <v>0.7</v>
      </c>
      <c r="X359" s="303">
        <v>0.7</v>
      </c>
      <c r="Y359" s="303">
        <v>0.7</v>
      </c>
      <c r="Z359" s="303">
        <v>1700</v>
      </c>
      <c r="AA359" s="303" t="s">
        <v>531</v>
      </c>
      <c r="AB359" s="303">
        <v>0.85</v>
      </c>
      <c r="AC359" s="303" t="s">
        <v>532</v>
      </c>
      <c r="AD359" s="303" t="s">
        <v>533</v>
      </c>
      <c r="AE359" s="303">
        <v>220</v>
      </c>
      <c r="AF359" s="133"/>
      <c r="AG359" s="322"/>
    </row>
    <row r="360" spans="1:33" ht="15.75">
      <c r="A360" s="302" t="s">
        <v>719</v>
      </c>
      <c r="B360" s="303">
        <v>6</v>
      </c>
      <c r="C360" s="303">
        <v>313</v>
      </c>
      <c r="D360" s="303" t="s">
        <v>575</v>
      </c>
      <c r="E360" s="303">
        <v>1.5</v>
      </c>
      <c r="F360" s="304">
        <v>45415.541666666664</v>
      </c>
      <c r="G360" s="303">
        <v>1</v>
      </c>
      <c r="H360" s="303">
        <v>51.370800000000003</v>
      </c>
      <c r="I360" s="303">
        <v>7.7876899999999996</v>
      </c>
      <c r="J360" s="303">
        <v>-22.193750000000001</v>
      </c>
      <c r="K360" s="303">
        <v>-21.358862999999999</v>
      </c>
      <c r="L360" s="303">
        <v>983.92899999999997</v>
      </c>
      <c r="M360" s="303">
        <v>117.501043</v>
      </c>
      <c r="N360" s="303">
        <v>17715.92265</v>
      </c>
      <c r="O360" s="303">
        <v>17698.315129999999</v>
      </c>
      <c r="P360" s="305">
        <v>2077.4900710000002</v>
      </c>
      <c r="Q360" s="299">
        <f t="shared" si="1"/>
        <v>2077.4900710000002</v>
      </c>
      <c r="R360" s="300" t="s">
        <v>230</v>
      </c>
      <c r="S360" s="300" t="s">
        <v>12</v>
      </c>
      <c r="T360" s="305" t="s">
        <v>530</v>
      </c>
      <c r="U360" s="305">
        <v>15</v>
      </c>
      <c r="V360" s="305">
        <v>5</v>
      </c>
      <c r="W360" s="303">
        <v>0.7</v>
      </c>
      <c r="X360" s="303">
        <v>0.7</v>
      </c>
      <c r="Y360" s="303">
        <v>0.7</v>
      </c>
      <c r="Z360" s="303">
        <v>1700</v>
      </c>
      <c r="AA360" s="303" t="s">
        <v>531</v>
      </c>
      <c r="AB360" s="303">
        <v>0.85</v>
      </c>
      <c r="AC360" s="303" t="s">
        <v>532</v>
      </c>
      <c r="AD360" s="303" t="s">
        <v>533</v>
      </c>
      <c r="AE360" s="303">
        <v>220</v>
      </c>
      <c r="AF360" s="133"/>
      <c r="AG360" s="322"/>
    </row>
    <row r="361" spans="1:33" ht="15.75">
      <c r="A361" s="302" t="s">
        <v>720</v>
      </c>
      <c r="B361" s="303">
        <v>6</v>
      </c>
      <c r="C361" s="303">
        <v>313</v>
      </c>
      <c r="D361" s="303" t="s">
        <v>575</v>
      </c>
      <c r="E361" s="303">
        <v>1.5</v>
      </c>
      <c r="F361" s="304">
        <v>45415.545138888891</v>
      </c>
      <c r="G361" s="303">
        <v>1</v>
      </c>
      <c r="H361" s="303">
        <v>51.3675</v>
      </c>
      <c r="I361" s="303">
        <v>7.73034</v>
      </c>
      <c r="J361" s="303">
        <v>-22.148975</v>
      </c>
      <c r="K361" s="303">
        <v>-21.301044000000001</v>
      </c>
      <c r="L361" s="303">
        <v>977.51900000000001</v>
      </c>
      <c r="M361" s="303">
        <v>113.999559</v>
      </c>
      <c r="N361" s="303">
        <v>17684.543659999999</v>
      </c>
      <c r="O361" s="303">
        <v>17698.315129999999</v>
      </c>
      <c r="P361" s="305">
        <v>2077.4900710000002</v>
      </c>
      <c r="Q361" s="299">
        <f t="shared" si="1"/>
        <v>2077.4900710000002</v>
      </c>
      <c r="R361" s="300" t="s">
        <v>230</v>
      </c>
      <c r="S361" s="300" t="s">
        <v>12</v>
      </c>
      <c r="T361" s="305" t="s">
        <v>530</v>
      </c>
      <c r="U361" s="305">
        <v>15</v>
      </c>
      <c r="V361" s="305">
        <v>5</v>
      </c>
      <c r="W361" s="303">
        <v>0.7</v>
      </c>
      <c r="X361" s="303">
        <v>0.7</v>
      </c>
      <c r="Y361" s="303">
        <v>0.7</v>
      </c>
      <c r="Z361" s="303">
        <v>1700</v>
      </c>
      <c r="AA361" s="303" t="s">
        <v>531</v>
      </c>
      <c r="AB361" s="303">
        <v>0.85</v>
      </c>
      <c r="AC361" s="303" t="s">
        <v>532</v>
      </c>
      <c r="AD361" s="303" t="s">
        <v>533</v>
      </c>
      <c r="AE361" s="303">
        <v>220</v>
      </c>
      <c r="AF361" s="133"/>
      <c r="AG361" s="322"/>
    </row>
    <row r="362" spans="1:33" ht="15.75">
      <c r="A362" s="302" t="s">
        <v>557</v>
      </c>
      <c r="B362" s="303">
        <v>7</v>
      </c>
      <c r="C362" s="303">
        <v>314</v>
      </c>
      <c r="D362" s="303" t="s">
        <v>581</v>
      </c>
      <c r="E362" s="303">
        <v>1.5</v>
      </c>
      <c r="F362" s="304">
        <v>45415.549305555556</v>
      </c>
      <c r="G362" s="303">
        <v>1</v>
      </c>
      <c r="H362" s="303">
        <v>51.370800000000003</v>
      </c>
      <c r="I362" s="303">
        <v>7.8250200000000003</v>
      </c>
      <c r="J362" s="303">
        <v>-22.114187999999999</v>
      </c>
      <c r="K362" s="303">
        <v>-21.281806</v>
      </c>
      <c r="L362" s="303">
        <v>983.58799999999997</v>
      </c>
      <c r="M362" s="303">
        <v>114.500388</v>
      </c>
      <c r="N362" s="303">
        <v>17669.66446</v>
      </c>
      <c r="O362" s="303">
        <v>17680.958569999999</v>
      </c>
      <c r="P362" s="305">
        <v>2075.454342</v>
      </c>
      <c r="Q362" s="299">
        <f t="shared" si="1"/>
        <v>2075.454342</v>
      </c>
      <c r="R362" s="300" t="s">
        <v>230</v>
      </c>
      <c r="S362" s="300" t="s">
        <v>12</v>
      </c>
      <c r="T362" s="305" t="s">
        <v>530</v>
      </c>
      <c r="U362" s="305">
        <v>15</v>
      </c>
      <c r="V362" s="305">
        <v>5</v>
      </c>
      <c r="W362" s="303">
        <v>0.7</v>
      </c>
      <c r="X362" s="303">
        <v>0.7</v>
      </c>
      <c r="Y362" s="303">
        <v>0.7</v>
      </c>
      <c r="Z362" s="303">
        <v>1700</v>
      </c>
      <c r="AA362" s="303" t="s">
        <v>531</v>
      </c>
      <c r="AB362" s="303">
        <v>0.85</v>
      </c>
      <c r="AC362" s="303" t="s">
        <v>532</v>
      </c>
      <c r="AD362" s="303" t="s">
        <v>533</v>
      </c>
      <c r="AE362" s="303">
        <v>220</v>
      </c>
      <c r="AF362" s="133"/>
      <c r="AG362" s="322"/>
    </row>
    <row r="363" spans="1:33" ht="15.75">
      <c r="A363" s="302" t="s">
        <v>558</v>
      </c>
      <c r="B363" s="303">
        <v>7</v>
      </c>
      <c r="C363" s="303">
        <v>314</v>
      </c>
      <c r="D363" s="303" t="s">
        <v>581</v>
      </c>
      <c r="E363" s="303">
        <v>1.5</v>
      </c>
      <c r="F363" s="304">
        <v>45415.552777777775</v>
      </c>
      <c r="G363" s="303">
        <v>1</v>
      </c>
      <c r="H363" s="303">
        <v>51.374099999999999</v>
      </c>
      <c r="I363" s="303">
        <v>7.7140599999999999</v>
      </c>
      <c r="J363" s="303">
        <v>-22.097463000000001</v>
      </c>
      <c r="K363" s="303">
        <v>-21.251894</v>
      </c>
      <c r="L363" s="303">
        <v>991.29700000000003</v>
      </c>
      <c r="M363" s="303">
        <v>193.50128900000001</v>
      </c>
      <c r="N363" s="303">
        <v>17687.92814</v>
      </c>
      <c r="O363" s="303">
        <v>17680.958569999999</v>
      </c>
      <c r="P363" s="305">
        <v>2075.454342</v>
      </c>
      <c r="Q363" s="299">
        <f t="shared" si="1"/>
        <v>2075.454342</v>
      </c>
      <c r="R363" s="300" t="s">
        <v>230</v>
      </c>
      <c r="S363" s="300" t="s">
        <v>12</v>
      </c>
      <c r="T363" s="305" t="s">
        <v>530</v>
      </c>
      <c r="U363" s="305">
        <v>15</v>
      </c>
      <c r="V363" s="305">
        <v>5</v>
      </c>
      <c r="W363" s="303">
        <v>0.7</v>
      </c>
      <c r="X363" s="303">
        <v>0.7</v>
      </c>
      <c r="Y363" s="303">
        <v>0.7</v>
      </c>
      <c r="Z363" s="303">
        <v>1700</v>
      </c>
      <c r="AA363" s="303" t="s">
        <v>531</v>
      </c>
      <c r="AB363" s="303">
        <v>0.85</v>
      </c>
      <c r="AC363" s="303" t="s">
        <v>532</v>
      </c>
      <c r="AD363" s="303" t="s">
        <v>533</v>
      </c>
      <c r="AE363" s="303">
        <v>220</v>
      </c>
      <c r="AF363" s="133"/>
      <c r="AG363" s="322"/>
    </row>
    <row r="364" spans="1:33" ht="15.75">
      <c r="A364" s="302" t="s">
        <v>559</v>
      </c>
      <c r="B364" s="303">
        <v>7</v>
      </c>
      <c r="C364" s="303">
        <v>314</v>
      </c>
      <c r="D364" s="303" t="s">
        <v>581</v>
      </c>
      <c r="E364" s="303">
        <v>1.5</v>
      </c>
      <c r="F364" s="304">
        <v>45415.556944444441</v>
      </c>
      <c r="G364" s="303">
        <v>1</v>
      </c>
      <c r="H364" s="303">
        <v>51.374099999999999</v>
      </c>
      <c r="I364" s="303">
        <v>7.6906100000000004</v>
      </c>
      <c r="J364" s="303">
        <v>-22.211769</v>
      </c>
      <c r="K364" s="303">
        <v>-21.378855999999999</v>
      </c>
      <c r="L364" s="303">
        <v>978.64800000000002</v>
      </c>
      <c r="M364" s="303">
        <v>146.99933999999999</v>
      </c>
      <c r="N364" s="303">
        <v>17685.28313</v>
      </c>
      <c r="O364" s="303">
        <v>17680.958569999999</v>
      </c>
      <c r="P364" s="305">
        <v>2075.454342</v>
      </c>
      <c r="Q364" s="299">
        <f t="shared" si="1"/>
        <v>2075.454342</v>
      </c>
      <c r="R364" s="300" t="s">
        <v>230</v>
      </c>
      <c r="S364" s="300" t="s">
        <v>12</v>
      </c>
      <c r="T364" s="305" t="s">
        <v>530</v>
      </c>
      <c r="U364" s="305">
        <v>15</v>
      </c>
      <c r="V364" s="305">
        <v>5</v>
      </c>
      <c r="W364" s="303">
        <v>0.7</v>
      </c>
      <c r="X364" s="303">
        <v>0.7</v>
      </c>
      <c r="Y364" s="303">
        <v>0.7</v>
      </c>
      <c r="Z364" s="303">
        <v>1700</v>
      </c>
      <c r="AA364" s="303" t="s">
        <v>531</v>
      </c>
      <c r="AB364" s="303">
        <v>0.85</v>
      </c>
      <c r="AC364" s="303" t="s">
        <v>532</v>
      </c>
      <c r="AD364" s="303" t="s">
        <v>533</v>
      </c>
      <c r="AE364" s="303">
        <v>220</v>
      </c>
      <c r="AF364" s="133"/>
      <c r="AG364" s="322"/>
    </row>
    <row r="365" spans="1:33" ht="15.75">
      <c r="A365" s="302" t="s">
        <v>560</v>
      </c>
      <c r="B365" s="303">
        <v>8</v>
      </c>
      <c r="C365" s="303">
        <v>287</v>
      </c>
      <c r="D365" s="303" t="s">
        <v>594</v>
      </c>
      <c r="E365" s="303">
        <v>1.5</v>
      </c>
      <c r="F365" s="304">
        <v>45415.561111111114</v>
      </c>
      <c r="G365" s="303">
        <v>1</v>
      </c>
      <c r="H365" s="303">
        <v>51.370800000000003</v>
      </c>
      <c r="I365" s="303">
        <v>7.8647200000000002</v>
      </c>
      <c r="J365" s="303">
        <v>-22.133780999999999</v>
      </c>
      <c r="K365" s="303">
        <v>-21.294118999999998</v>
      </c>
      <c r="L365" s="303">
        <v>1001.61</v>
      </c>
      <c r="M365" s="303">
        <v>125.50033000000001</v>
      </c>
      <c r="N365" s="303">
        <v>17714.525119999998</v>
      </c>
      <c r="O365" s="303">
        <v>17698.446360000002</v>
      </c>
      <c r="P365" s="305">
        <v>2077.505463</v>
      </c>
      <c r="Q365" s="299">
        <f t="shared" si="1"/>
        <v>2077.505463</v>
      </c>
      <c r="R365" s="300" t="s">
        <v>230</v>
      </c>
      <c r="S365" s="300" t="s">
        <v>12</v>
      </c>
      <c r="T365" s="305" t="s">
        <v>530</v>
      </c>
      <c r="U365" s="305">
        <v>15</v>
      </c>
      <c r="V365" s="305">
        <v>5</v>
      </c>
      <c r="W365" s="303">
        <v>0.7</v>
      </c>
      <c r="X365" s="303">
        <v>0.7</v>
      </c>
      <c r="Y365" s="303">
        <v>0.7</v>
      </c>
      <c r="Z365" s="303">
        <v>1700</v>
      </c>
      <c r="AA365" s="303" t="s">
        <v>531</v>
      </c>
      <c r="AB365" s="303">
        <v>0.85</v>
      </c>
      <c r="AC365" s="303" t="s">
        <v>532</v>
      </c>
      <c r="AD365" s="303" t="s">
        <v>533</v>
      </c>
      <c r="AE365" s="303">
        <v>220</v>
      </c>
      <c r="AF365" s="133"/>
      <c r="AG365" s="322"/>
    </row>
    <row r="366" spans="1:33" ht="15.75">
      <c r="A366" s="302" t="s">
        <v>562</v>
      </c>
      <c r="B366" s="303">
        <v>8</v>
      </c>
      <c r="C366" s="303">
        <v>287</v>
      </c>
      <c r="D366" s="303" t="s">
        <v>594</v>
      </c>
      <c r="E366" s="303">
        <v>1.5</v>
      </c>
      <c r="F366" s="304">
        <v>45415.564583333333</v>
      </c>
      <c r="G366" s="303">
        <v>1</v>
      </c>
      <c r="H366" s="303">
        <v>51.374099999999999</v>
      </c>
      <c r="I366" s="303">
        <v>7.7899900000000004</v>
      </c>
      <c r="J366" s="303">
        <v>-22.264744</v>
      </c>
      <c r="K366" s="303">
        <v>-21.451494</v>
      </c>
      <c r="L366" s="303">
        <v>980.25400000000002</v>
      </c>
      <c r="M366" s="303">
        <v>144.500733</v>
      </c>
      <c r="N366" s="303">
        <v>17743.297020000002</v>
      </c>
      <c r="O366" s="303">
        <v>17698.446360000002</v>
      </c>
      <c r="P366" s="305">
        <v>2077.505463</v>
      </c>
      <c r="Q366" s="299">
        <f t="shared" si="1"/>
        <v>2077.505463</v>
      </c>
      <c r="R366" s="300" t="s">
        <v>230</v>
      </c>
      <c r="S366" s="300" t="s">
        <v>12</v>
      </c>
      <c r="T366" s="305" t="s">
        <v>545</v>
      </c>
      <c r="U366" s="305">
        <v>15</v>
      </c>
      <c r="V366" s="305">
        <v>5</v>
      </c>
      <c r="W366" s="303">
        <v>0.7</v>
      </c>
      <c r="X366" s="303">
        <v>0.7</v>
      </c>
      <c r="Y366" s="303">
        <v>0.7</v>
      </c>
      <c r="Z366" s="303">
        <v>1700</v>
      </c>
      <c r="AA366" s="303" t="s">
        <v>531</v>
      </c>
      <c r="AB366" s="303">
        <v>0.85</v>
      </c>
      <c r="AC366" s="303" t="s">
        <v>532</v>
      </c>
      <c r="AD366" s="303" t="s">
        <v>533</v>
      </c>
      <c r="AE366" s="303">
        <v>220</v>
      </c>
      <c r="AF366" s="133"/>
      <c r="AG366" s="322"/>
    </row>
    <row r="367" spans="1:33" ht="15.75">
      <c r="A367" s="302" t="s">
        <v>563</v>
      </c>
      <c r="B367" s="303">
        <v>8</v>
      </c>
      <c r="C367" s="303">
        <v>287</v>
      </c>
      <c r="D367" s="303" t="s">
        <v>594</v>
      </c>
      <c r="E367" s="303">
        <v>1.5</v>
      </c>
      <c r="F367" s="304">
        <v>45415.568749999999</v>
      </c>
      <c r="G367" s="303">
        <v>1</v>
      </c>
      <c r="H367" s="303">
        <v>51.374099999999999</v>
      </c>
      <c r="I367" s="303">
        <v>7.7906599999999999</v>
      </c>
      <c r="J367" s="303">
        <v>-22.250944</v>
      </c>
      <c r="K367" s="303">
        <v>-21.4251</v>
      </c>
      <c r="L367" s="303">
        <v>986.428</v>
      </c>
      <c r="M367" s="303">
        <v>180.49995999999999</v>
      </c>
      <c r="N367" s="303">
        <v>17754.051090000001</v>
      </c>
      <c r="O367" s="303">
        <v>17698.446360000002</v>
      </c>
      <c r="P367" s="305">
        <v>2077.505463</v>
      </c>
      <c r="Q367" s="299">
        <f t="shared" si="1"/>
        <v>2077.505463</v>
      </c>
      <c r="R367" s="300" t="s">
        <v>230</v>
      </c>
      <c r="S367" s="300" t="s">
        <v>12</v>
      </c>
      <c r="T367" s="305" t="s">
        <v>545</v>
      </c>
      <c r="U367" s="305">
        <v>15</v>
      </c>
      <c r="V367" s="305">
        <v>5</v>
      </c>
      <c r="W367" s="303">
        <v>0.7</v>
      </c>
      <c r="X367" s="303">
        <v>0.7</v>
      </c>
      <c r="Y367" s="303">
        <v>0.7</v>
      </c>
      <c r="Z367" s="303">
        <v>1700</v>
      </c>
      <c r="AA367" s="303" t="s">
        <v>531</v>
      </c>
      <c r="AB367" s="303">
        <v>0.85</v>
      </c>
      <c r="AC367" s="303" t="s">
        <v>532</v>
      </c>
      <c r="AD367" s="303" t="s">
        <v>533</v>
      </c>
      <c r="AE367" s="303">
        <v>220</v>
      </c>
      <c r="AF367" s="133"/>
      <c r="AG367" s="322"/>
    </row>
    <row r="368" spans="1:33" ht="15.75">
      <c r="A368" s="302" t="s">
        <v>750</v>
      </c>
      <c r="B368" s="303">
        <v>8</v>
      </c>
      <c r="C368" s="303">
        <v>287</v>
      </c>
      <c r="D368" s="303" t="s">
        <v>594</v>
      </c>
      <c r="E368" s="303">
        <v>1.5</v>
      </c>
      <c r="F368" s="304">
        <v>45415.572916666664</v>
      </c>
      <c r="G368" s="303">
        <v>1</v>
      </c>
      <c r="H368" s="303">
        <v>51.370800000000003</v>
      </c>
      <c r="I368" s="303">
        <v>7.8428100000000001</v>
      </c>
      <c r="J368" s="303">
        <v>-22.250437999999999</v>
      </c>
      <c r="K368" s="303">
        <v>-21.416694</v>
      </c>
      <c r="L368" s="303">
        <v>982.65499999999997</v>
      </c>
      <c r="M368" s="303">
        <v>135.50043600000001</v>
      </c>
      <c r="N368" s="303">
        <v>17687.888739999999</v>
      </c>
      <c r="O368" s="303">
        <v>17698.446360000002</v>
      </c>
      <c r="P368" s="305">
        <v>2077.505463</v>
      </c>
      <c r="Q368" s="299">
        <f t="shared" si="1"/>
        <v>2077.505463</v>
      </c>
      <c r="R368" s="300" t="s">
        <v>230</v>
      </c>
      <c r="S368" s="300" t="s">
        <v>12</v>
      </c>
      <c r="T368" s="305" t="s">
        <v>530</v>
      </c>
      <c r="U368" s="305">
        <v>15</v>
      </c>
      <c r="V368" s="305">
        <v>5</v>
      </c>
      <c r="W368" s="303">
        <v>0.7</v>
      </c>
      <c r="X368" s="303">
        <v>0.7</v>
      </c>
      <c r="Y368" s="303">
        <v>0.7</v>
      </c>
      <c r="Z368" s="303">
        <v>1700</v>
      </c>
      <c r="AA368" s="303" t="s">
        <v>531</v>
      </c>
      <c r="AB368" s="303">
        <v>0.85</v>
      </c>
      <c r="AC368" s="303" t="s">
        <v>532</v>
      </c>
      <c r="AD368" s="303" t="s">
        <v>533</v>
      </c>
      <c r="AE368" s="303">
        <v>220</v>
      </c>
      <c r="AF368" s="133"/>
      <c r="AG368" s="322"/>
    </row>
    <row r="369" spans="1:33" ht="15.75">
      <c r="A369" s="302" t="s">
        <v>751</v>
      </c>
      <c r="B369" s="303">
        <v>8</v>
      </c>
      <c r="C369" s="303">
        <v>287</v>
      </c>
      <c r="D369" s="303" t="s">
        <v>594</v>
      </c>
      <c r="E369" s="303">
        <v>1.5</v>
      </c>
      <c r="F369" s="304">
        <v>45415.576388888891</v>
      </c>
      <c r="G369" s="303">
        <v>1</v>
      </c>
      <c r="H369" s="303">
        <v>51.374099999999999</v>
      </c>
      <c r="I369" s="303">
        <v>7.7477</v>
      </c>
      <c r="J369" s="303">
        <v>-22.201906000000001</v>
      </c>
      <c r="K369" s="303">
        <v>-21.361543999999999</v>
      </c>
      <c r="L369" s="303">
        <v>995.37</v>
      </c>
      <c r="M369" s="303">
        <v>122.501334</v>
      </c>
      <c r="N369" s="303">
        <v>17692.925220000001</v>
      </c>
      <c r="O369" s="303">
        <v>17698.446360000002</v>
      </c>
      <c r="P369" s="305">
        <v>2077.505463</v>
      </c>
      <c r="Q369" s="299">
        <f t="shared" si="1"/>
        <v>2077.505463</v>
      </c>
      <c r="R369" s="300" t="s">
        <v>230</v>
      </c>
      <c r="S369" s="300" t="s">
        <v>12</v>
      </c>
      <c r="T369" s="305" t="s">
        <v>530</v>
      </c>
      <c r="U369" s="305">
        <v>15</v>
      </c>
      <c r="V369" s="305">
        <v>5</v>
      </c>
      <c r="W369" s="303">
        <v>0.7</v>
      </c>
      <c r="X369" s="303">
        <v>0.7</v>
      </c>
      <c r="Y369" s="303">
        <v>0.7</v>
      </c>
      <c r="Z369" s="303">
        <v>1700</v>
      </c>
      <c r="AA369" s="303" t="s">
        <v>531</v>
      </c>
      <c r="AB369" s="303">
        <v>0.85</v>
      </c>
      <c r="AC369" s="303" t="s">
        <v>532</v>
      </c>
      <c r="AD369" s="303" t="s">
        <v>533</v>
      </c>
      <c r="AE369" s="303">
        <v>220</v>
      </c>
      <c r="AF369" s="133"/>
      <c r="AG369" s="322"/>
    </row>
    <row r="370" spans="1:33" ht="15.75">
      <c r="A370" s="302" t="s">
        <v>564</v>
      </c>
      <c r="B370" s="303">
        <v>9</v>
      </c>
      <c r="C370" s="303">
        <v>288</v>
      </c>
      <c r="D370" s="303" t="s">
        <v>598</v>
      </c>
      <c r="E370" s="303">
        <v>1.5</v>
      </c>
      <c r="F370" s="304">
        <v>45415.580555555556</v>
      </c>
      <c r="G370" s="303">
        <v>1</v>
      </c>
      <c r="H370" s="303">
        <v>51.370800000000003</v>
      </c>
      <c r="I370" s="303">
        <v>7.7613399999999997</v>
      </c>
      <c r="J370" s="303">
        <v>-22.186406000000002</v>
      </c>
      <c r="K370" s="303">
        <v>-21.338262</v>
      </c>
      <c r="L370" s="303">
        <v>977.07799999999997</v>
      </c>
      <c r="M370" s="303">
        <v>123.999961</v>
      </c>
      <c r="N370" s="303">
        <v>17716.84114</v>
      </c>
      <c r="O370" s="303">
        <v>17733.203570000001</v>
      </c>
      <c r="P370" s="305">
        <v>2081.5820920000001</v>
      </c>
      <c r="Q370" s="299">
        <f t="shared" si="1"/>
        <v>2081.5820920000001</v>
      </c>
      <c r="R370" s="300" t="s">
        <v>230</v>
      </c>
      <c r="S370" s="300" t="s">
        <v>12</v>
      </c>
      <c r="T370" s="305" t="s">
        <v>530</v>
      </c>
      <c r="U370" s="305">
        <v>15</v>
      </c>
      <c r="V370" s="305">
        <v>5</v>
      </c>
      <c r="W370" s="303">
        <v>0.7</v>
      </c>
      <c r="X370" s="303">
        <v>0.7</v>
      </c>
      <c r="Y370" s="303">
        <v>0.7</v>
      </c>
      <c r="Z370" s="303">
        <v>1700</v>
      </c>
      <c r="AA370" s="303" t="s">
        <v>531</v>
      </c>
      <c r="AB370" s="303">
        <v>0.85</v>
      </c>
      <c r="AC370" s="303" t="s">
        <v>532</v>
      </c>
      <c r="AD370" s="303" t="s">
        <v>533</v>
      </c>
      <c r="AE370" s="303">
        <v>220</v>
      </c>
      <c r="AF370" s="133"/>
      <c r="AG370" s="322"/>
    </row>
    <row r="371" spans="1:33" ht="15.75">
      <c r="A371" s="302" t="s">
        <v>566</v>
      </c>
      <c r="B371" s="303">
        <v>9</v>
      </c>
      <c r="C371" s="303">
        <v>288</v>
      </c>
      <c r="D371" s="303" t="s">
        <v>598</v>
      </c>
      <c r="E371" s="303">
        <v>1.5</v>
      </c>
      <c r="F371" s="304">
        <v>45415.584722222222</v>
      </c>
      <c r="G371" s="303">
        <v>1</v>
      </c>
      <c r="H371" s="303">
        <v>51.374099999999999</v>
      </c>
      <c r="I371" s="303">
        <v>7.7723399999999998</v>
      </c>
      <c r="J371" s="303">
        <v>-22.222180999999999</v>
      </c>
      <c r="K371" s="303">
        <v>-21.384405999999998</v>
      </c>
      <c r="L371" s="303">
        <v>981.01099999999997</v>
      </c>
      <c r="M371" s="303">
        <v>127.499466</v>
      </c>
      <c r="N371" s="303">
        <v>17736.023379999999</v>
      </c>
      <c r="O371" s="303">
        <v>17733.203570000001</v>
      </c>
      <c r="P371" s="305">
        <v>2081.5820920000001</v>
      </c>
      <c r="Q371" s="299">
        <f t="shared" si="1"/>
        <v>2081.5820920000001</v>
      </c>
      <c r="R371" s="300" t="s">
        <v>230</v>
      </c>
      <c r="S371" s="300" t="s">
        <v>12</v>
      </c>
      <c r="T371" s="305" t="s">
        <v>530</v>
      </c>
      <c r="U371" s="305">
        <v>15</v>
      </c>
      <c r="V371" s="305">
        <v>5</v>
      </c>
      <c r="W371" s="303">
        <v>0.7</v>
      </c>
      <c r="X371" s="303">
        <v>0.7</v>
      </c>
      <c r="Y371" s="303">
        <v>0.7</v>
      </c>
      <c r="Z371" s="303">
        <v>1700</v>
      </c>
      <c r="AA371" s="303" t="s">
        <v>531</v>
      </c>
      <c r="AB371" s="303">
        <v>0.85</v>
      </c>
      <c r="AC371" s="303" t="s">
        <v>532</v>
      </c>
      <c r="AD371" s="303" t="s">
        <v>533</v>
      </c>
      <c r="AE371" s="303">
        <v>220</v>
      </c>
      <c r="AF371" s="133"/>
      <c r="AG371" s="322"/>
    </row>
    <row r="372" spans="1:33" ht="15.75">
      <c r="A372" s="302" t="s">
        <v>567</v>
      </c>
      <c r="B372" s="303">
        <v>9</v>
      </c>
      <c r="C372" s="303">
        <v>288</v>
      </c>
      <c r="D372" s="303" t="s">
        <v>598</v>
      </c>
      <c r="E372" s="303">
        <v>1.5</v>
      </c>
      <c r="F372" s="304">
        <v>45415.588194444441</v>
      </c>
      <c r="G372" s="303">
        <v>1</v>
      </c>
      <c r="H372" s="303">
        <v>51.377400000000002</v>
      </c>
      <c r="I372" s="303">
        <v>7.8059799999999999</v>
      </c>
      <c r="J372" s="303">
        <v>-22.060987999999998</v>
      </c>
      <c r="K372" s="303">
        <v>-21.211849999999998</v>
      </c>
      <c r="L372" s="303">
        <v>983.44600000000003</v>
      </c>
      <c r="M372" s="303">
        <v>160.500248</v>
      </c>
      <c r="N372" s="303">
        <v>17746.746179999998</v>
      </c>
      <c r="O372" s="303">
        <v>17733.203570000001</v>
      </c>
      <c r="P372" s="305">
        <v>2081.5820920000001</v>
      </c>
      <c r="Q372" s="299">
        <f t="shared" si="1"/>
        <v>2081.5820920000001</v>
      </c>
      <c r="R372" s="300" t="s">
        <v>230</v>
      </c>
      <c r="S372" s="300" t="s">
        <v>12</v>
      </c>
      <c r="T372" s="305" t="s">
        <v>530</v>
      </c>
      <c r="U372" s="305">
        <v>15</v>
      </c>
      <c r="V372" s="305">
        <v>5</v>
      </c>
      <c r="W372" s="303">
        <v>0.7</v>
      </c>
      <c r="X372" s="303">
        <v>0.7</v>
      </c>
      <c r="Y372" s="303">
        <v>0.7</v>
      </c>
      <c r="Z372" s="303">
        <v>1700</v>
      </c>
      <c r="AA372" s="303" t="s">
        <v>531</v>
      </c>
      <c r="AB372" s="303">
        <v>0.85</v>
      </c>
      <c r="AC372" s="303" t="s">
        <v>532</v>
      </c>
      <c r="AD372" s="303" t="s">
        <v>533</v>
      </c>
      <c r="AE372" s="303">
        <v>220</v>
      </c>
      <c r="AF372" s="133"/>
      <c r="AG372" s="322"/>
    </row>
    <row r="373" spans="1:33" ht="15.75">
      <c r="A373" s="302" t="s">
        <v>569</v>
      </c>
      <c r="B373" s="303">
        <v>10</v>
      </c>
      <c r="C373" s="303">
        <v>105</v>
      </c>
      <c r="D373" s="303" t="s">
        <v>603</v>
      </c>
      <c r="E373" s="303">
        <v>1.5</v>
      </c>
      <c r="F373" s="304">
        <v>45415.592361111114</v>
      </c>
      <c r="G373" s="303">
        <v>1</v>
      </c>
      <c r="H373" s="303">
        <v>51.374099999999999</v>
      </c>
      <c r="I373" s="303">
        <v>7.7262899999999997</v>
      </c>
      <c r="J373" s="303">
        <v>-22.194737</v>
      </c>
      <c r="K373" s="303">
        <v>-21.359674999999999</v>
      </c>
      <c r="L373" s="303">
        <v>974.47199999999998</v>
      </c>
      <c r="M373" s="303">
        <v>136.00044500000001</v>
      </c>
      <c r="N373" s="303">
        <v>17577.25475</v>
      </c>
      <c r="O373" s="303">
        <v>17685.474269999999</v>
      </c>
      <c r="P373" s="305">
        <v>2075.9839820000002</v>
      </c>
      <c r="Q373" s="299">
        <f t="shared" si="1"/>
        <v>2075.9839820000002</v>
      </c>
      <c r="R373" s="300" t="s">
        <v>230</v>
      </c>
      <c r="S373" s="300" t="s">
        <v>12</v>
      </c>
      <c r="T373" s="305" t="s">
        <v>545</v>
      </c>
      <c r="U373" s="305">
        <v>15</v>
      </c>
      <c r="V373" s="305">
        <v>5</v>
      </c>
      <c r="W373" s="303">
        <v>0.7</v>
      </c>
      <c r="X373" s="303">
        <v>0.7</v>
      </c>
      <c r="Y373" s="303">
        <v>0.7</v>
      </c>
      <c r="Z373" s="303">
        <v>1700</v>
      </c>
      <c r="AA373" s="303" t="s">
        <v>531</v>
      </c>
      <c r="AB373" s="303">
        <v>0.85</v>
      </c>
      <c r="AC373" s="303" t="s">
        <v>532</v>
      </c>
      <c r="AD373" s="303" t="s">
        <v>533</v>
      </c>
      <c r="AE373" s="303">
        <v>220</v>
      </c>
      <c r="AF373" s="133"/>
      <c r="AG373" s="322"/>
    </row>
    <row r="374" spans="1:33" ht="15.75">
      <c r="A374" s="302" t="s">
        <v>571</v>
      </c>
      <c r="B374" s="303">
        <v>10</v>
      </c>
      <c r="C374" s="303">
        <v>105</v>
      </c>
      <c r="D374" s="303" t="s">
        <v>603</v>
      </c>
      <c r="E374" s="303">
        <v>1.5</v>
      </c>
      <c r="F374" s="304">
        <v>45415.59652777778</v>
      </c>
      <c r="G374" s="303">
        <v>1</v>
      </c>
      <c r="H374" s="303">
        <v>51.377400000000002</v>
      </c>
      <c r="I374" s="303">
        <v>7.7109199999999998</v>
      </c>
      <c r="J374" s="303">
        <v>-22.032599999999999</v>
      </c>
      <c r="K374" s="303">
        <v>-21.202874999999999</v>
      </c>
      <c r="L374" s="303">
        <v>974.86300000000006</v>
      </c>
      <c r="M374" s="303">
        <v>139.00034500000001</v>
      </c>
      <c r="N374" s="303">
        <v>17654.80198</v>
      </c>
      <c r="O374" s="303">
        <v>17685.474269999999</v>
      </c>
      <c r="P374" s="305">
        <v>2075.9839820000002</v>
      </c>
      <c r="Q374" s="299">
        <f t="shared" si="1"/>
        <v>2075.9839820000002</v>
      </c>
      <c r="R374" s="300" t="s">
        <v>230</v>
      </c>
      <c r="S374" s="300" t="s">
        <v>12</v>
      </c>
      <c r="T374" s="305" t="s">
        <v>545</v>
      </c>
      <c r="U374" s="305">
        <v>15</v>
      </c>
      <c r="V374" s="305">
        <v>5</v>
      </c>
      <c r="W374" s="303">
        <v>0.7</v>
      </c>
      <c r="X374" s="303">
        <v>0.7</v>
      </c>
      <c r="Y374" s="303">
        <v>0.7</v>
      </c>
      <c r="Z374" s="303">
        <v>1700</v>
      </c>
      <c r="AA374" s="303" t="s">
        <v>531</v>
      </c>
      <c r="AB374" s="303">
        <v>0.85</v>
      </c>
      <c r="AC374" s="303" t="s">
        <v>532</v>
      </c>
      <c r="AD374" s="303" t="s">
        <v>533</v>
      </c>
      <c r="AE374" s="303">
        <v>220</v>
      </c>
      <c r="AF374" s="133"/>
      <c r="AG374" s="322"/>
    </row>
    <row r="375" spans="1:33" ht="15.75">
      <c r="A375" s="302" t="s">
        <v>572</v>
      </c>
      <c r="B375" s="303">
        <v>10</v>
      </c>
      <c r="C375" s="303">
        <v>105</v>
      </c>
      <c r="D375" s="303" t="s">
        <v>603</v>
      </c>
      <c r="E375" s="303">
        <v>1.5</v>
      </c>
      <c r="F375" s="304">
        <v>45415.6</v>
      </c>
      <c r="G375" s="303">
        <v>1</v>
      </c>
      <c r="H375" s="303">
        <v>51.377400000000002</v>
      </c>
      <c r="I375" s="303">
        <v>7.7700699999999996</v>
      </c>
      <c r="J375" s="303">
        <v>-22.287849999999999</v>
      </c>
      <c r="K375" s="303">
        <v>-21.455500000000001</v>
      </c>
      <c r="L375" s="303">
        <v>969.98500000000001</v>
      </c>
      <c r="M375" s="303">
        <v>124.00017699999999</v>
      </c>
      <c r="N375" s="303">
        <v>17685.738689999998</v>
      </c>
      <c r="O375" s="303">
        <v>17685.474269999999</v>
      </c>
      <c r="P375" s="305">
        <v>2075.9839820000002</v>
      </c>
      <c r="Q375" s="299">
        <f t="shared" si="1"/>
        <v>2075.9839820000002</v>
      </c>
      <c r="R375" s="300" t="s">
        <v>230</v>
      </c>
      <c r="S375" s="300" t="s">
        <v>12</v>
      </c>
      <c r="T375" s="305" t="s">
        <v>530</v>
      </c>
      <c r="U375" s="305">
        <v>15</v>
      </c>
      <c r="V375" s="305">
        <v>5</v>
      </c>
      <c r="W375" s="303">
        <v>0.7</v>
      </c>
      <c r="X375" s="303">
        <v>0.7</v>
      </c>
      <c r="Y375" s="303">
        <v>0.7</v>
      </c>
      <c r="Z375" s="303">
        <v>1700</v>
      </c>
      <c r="AA375" s="303" t="s">
        <v>531</v>
      </c>
      <c r="AB375" s="303">
        <v>0.85</v>
      </c>
      <c r="AC375" s="303" t="s">
        <v>532</v>
      </c>
      <c r="AD375" s="303" t="s">
        <v>533</v>
      </c>
      <c r="AE375" s="303">
        <v>220</v>
      </c>
      <c r="AF375" s="133"/>
      <c r="AG375" s="322"/>
    </row>
    <row r="376" spans="1:33" ht="15.75">
      <c r="A376" s="302" t="s">
        <v>573</v>
      </c>
      <c r="B376" s="303">
        <v>10</v>
      </c>
      <c r="C376" s="303">
        <v>105</v>
      </c>
      <c r="D376" s="303" t="s">
        <v>603</v>
      </c>
      <c r="E376" s="303">
        <v>1.5</v>
      </c>
      <c r="F376" s="304">
        <v>45415.603472222225</v>
      </c>
      <c r="G376" s="303">
        <v>1</v>
      </c>
      <c r="H376" s="303">
        <v>51.380699999999997</v>
      </c>
      <c r="I376" s="303">
        <v>7.7258399999999998</v>
      </c>
      <c r="J376" s="303">
        <v>-22.141738</v>
      </c>
      <c r="K376" s="303">
        <v>-21.306087000000002</v>
      </c>
      <c r="L376" s="303">
        <v>981.81799999999998</v>
      </c>
      <c r="M376" s="303">
        <v>117.49989100000001</v>
      </c>
      <c r="N376" s="303">
        <v>17688.455979999999</v>
      </c>
      <c r="O376" s="303">
        <v>17685.474269999999</v>
      </c>
      <c r="P376" s="305">
        <v>2075.9839820000002</v>
      </c>
      <c r="Q376" s="299">
        <f t="shared" si="1"/>
        <v>2075.9839820000002</v>
      </c>
      <c r="R376" s="300" t="s">
        <v>230</v>
      </c>
      <c r="S376" s="300" t="s">
        <v>12</v>
      </c>
      <c r="T376" s="305" t="s">
        <v>530</v>
      </c>
      <c r="U376" s="305">
        <v>15</v>
      </c>
      <c r="V376" s="305">
        <v>5</v>
      </c>
      <c r="W376" s="303">
        <v>0.7</v>
      </c>
      <c r="X376" s="303">
        <v>0.7</v>
      </c>
      <c r="Y376" s="303">
        <v>0.7</v>
      </c>
      <c r="Z376" s="303">
        <v>1700</v>
      </c>
      <c r="AA376" s="303" t="s">
        <v>531</v>
      </c>
      <c r="AB376" s="303">
        <v>0.85</v>
      </c>
      <c r="AC376" s="303" t="s">
        <v>532</v>
      </c>
      <c r="AD376" s="303" t="s">
        <v>533</v>
      </c>
      <c r="AE376" s="303">
        <v>220</v>
      </c>
      <c r="AF376" s="133"/>
      <c r="AG376" s="322"/>
    </row>
    <row r="377" spans="1:33" ht="15.75">
      <c r="A377" s="302" t="s">
        <v>752</v>
      </c>
      <c r="B377" s="303">
        <v>10</v>
      </c>
      <c r="C377" s="303">
        <v>105</v>
      </c>
      <c r="D377" s="303" t="s">
        <v>603</v>
      </c>
      <c r="E377" s="303">
        <v>1.5</v>
      </c>
      <c r="F377" s="304">
        <v>45415.606944444444</v>
      </c>
      <c r="G377" s="303">
        <v>1</v>
      </c>
      <c r="H377" s="303">
        <v>51.374099999999999</v>
      </c>
      <c r="I377" s="303">
        <v>7.7561200000000001</v>
      </c>
      <c r="J377" s="303">
        <v>-21.966999999999999</v>
      </c>
      <c r="K377" s="303">
        <v>-21.117661999999999</v>
      </c>
      <c r="L377" s="303">
        <v>985.86</v>
      </c>
      <c r="M377" s="303">
        <v>153.500496</v>
      </c>
      <c r="N377" s="303">
        <v>17682.228139999999</v>
      </c>
      <c r="O377" s="303">
        <v>17685.474269999999</v>
      </c>
      <c r="P377" s="305">
        <v>2075.9839820000002</v>
      </c>
      <c r="Q377" s="299">
        <f t="shared" si="1"/>
        <v>2075.9839820000002</v>
      </c>
      <c r="R377" s="300" t="s">
        <v>230</v>
      </c>
      <c r="S377" s="300" t="s">
        <v>12</v>
      </c>
      <c r="T377" s="305" t="s">
        <v>530</v>
      </c>
      <c r="U377" s="305">
        <v>15</v>
      </c>
      <c r="V377" s="305">
        <v>5</v>
      </c>
      <c r="W377" s="303">
        <v>0.7</v>
      </c>
      <c r="X377" s="303">
        <v>0.7</v>
      </c>
      <c r="Y377" s="303">
        <v>0.7</v>
      </c>
      <c r="Z377" s="303">
        <v>1700</v>
      </c>
      <c r="AA377" s="303" t="s">
        <v>531</v>
      </c>
      <c r="AB377" s="303">
        <v>0.85</v>
      </c>
      <c r="AC377" s="303" t="s">
        <v>532</v>
      </c>
      <c r="AD377" s="303" t="s">
        <v>533</v>
      </c>
      <c r="AE377" s="303">
        <v>220</v>
      </c>
      <c r="AF377" s="133"/>
      <c r="AG377" s="323"/>
    </row>
    <row r="378" spans="1:33" ht="15.75">
      <c r="A378" s="308" t="s">
        <v>574</v>
      </c>
      <c r="B378" s="309">
        <v>11</v>
      </c>
      <c r="C378" s="309" t="s">
        <v>738</v>
      </c>
      <c r="D378" s="309" t="s">
        <v>529</v>
      </c>
      <c r="E378" s="309">
        <v>1.5</v>
      </c>
      <c r="F378" s="310">
        <v>45415.611805555556</v>
      </c>
      <c r="G378" s="309">
        <v>1</v>
      </c>
      <c r="H378" s="309">
        <v>51.370800000000003</v>
      </c>
      <c r="I378" s="309">
        <v>7.7687999999999997</v>
      </c>
      <c r="J378" s="309">
        <v>-22.214680999999999</v>
      </c>
      <c r="K378" s="309">
        <v>-21.366094</v>
      </c>
      <c r="L378" s="309">
        <v>979.76599999999996</v>
      </c>
      <c r="M378" s="309">
        <v>134.50073399999999</v>
      </c>
      <c r="N378" s="309">
        <v>17643.55312</v>
      </c>
      <c r="O378" s="309">
        <v>17637.078519999999</v>
      </c>
      <c r="P378" s="311">
        <v>2070.3079039999998</v>
      </c>
      <c r="Q378" s="299">
        <f t="shared" si="1"/>
        <v>2070.3079039999998</v>
      </c>
      <c r="R378" s="300" t="s">
        <v>230</v>
      </c>
      <c r="S378" s="300" t="s">
        <v>12</v>
      </c>
      <c r="T378" s="305" t="s">
        <v>530</v>
      </c>
      <c r="U378" s="305">
        <v>15</v>
      </c>
      <c r="V378" s="305">
        <v>5</v>
      </c>
      <c r="W378" s="303">
        <v>0.7</v>
      </c>
      <c r="X378" s="303">
        <v>0.7</v>
      </c>
      <c r="Y378" s="303">
        <v>0.7</v>
      </c>
      <c r="Z378" s="303">
        <v>1700</v>
      </c>
      <c r="AA378" s="303" t="s">
        <v>531</v>
      </c>
      <c r="AB378" s="303">
        <v>0.85</v>
      </c>
      <c r="AC378" s="303" t="s">
        <v>532</v>
      </c>
      <c r="AD378" s="303" t="s">
        <v>533</v>
      </c>
      <c r="AE378" s="303">
        <v>220</v>
      </c>
      <c r="AF378" s="133"/>
      <c r="AG378" s="323"/>
    </row>
    <row r="379" spans="1:33" ht="15.75">
      <c r="A379" s="308" t="s">
        <v>576</v>
      </c>
      <c r="B379" s="309">
        <v>11</v>
      </c>
      <c r="C379" s="309" t="s">
        <v>738</v>
      </c>
      <c r="D379" s="309" t="s">
        <v>529</v>
      </c>
      <c r="E379" s="309">
        <v>1.5</v>
      </c>
      <c r="F379" s="310">
        <v>45415.615277777775</v>
      </c>
      <c r="G379" s="309">
        <v>1</v>
      </c>
      <c r="H379" s="309">
        <v>51.374099999999999</v>
      </c>
      <c r="I379" s="309">
        <v>7.6459400000000004</v>
      </c>
      <c r="J379" s="309">
        <v>-22.307562000000001</v>
      </c>
      <c r="K379" s="309">
        <v>-21.467718999999999</v>
      </c>
      <c r="L379" s="309">
        <v>988.55399999999997</v>
      </c>
      <c r="M379" s="309">
        <v>139.99986999999999</v>
      </c>
      <c r="N379" s="309">
        <v>17649.335159999999</v>
      </c>
      <c r="O379" s="309">
        <v>17637.078519999999</v>
      </c>
      <c r="P379" s="311">
        <v>2070.3079039999998</v>
      </c>
      <c r="Q379" s="299">
        <f t="shared" si="1"/>
        <v>2070.3079039999998</v>
      </c>
      <c r="R379" s="300" t="s">
        <v>230</v>
      </c>
      <c r="S379" s="300" t="s">
        <v>12</v>
      </c>
      <c r="T379" s="305" t="s">
        <v>530</v>
      </c>
      <c r="U379" s="305">
        <v>15</v>
      </c>
      <c r="V379" s="305">
        <v>5</v>
      </c>
      <c r="W379" s="303">
        <v>0.7</v>
      </c>
      <c r="X379" s="303">
        <v>0.7</v>
      </c>
      <c r="Y379" s="303">
        <v>0.7</v>
      </c>
      <c r="Z379" s="303">
        <v>1700</v>
      </c>
      <c r="AA379" s="303" t="s">
        <v>531</v>
      </c>
      <c r="AB379" s="303">
        <v>0.85</v>
      </c>
      <c r="AC379" s="303" t="s">
        <v>532</v>
      </c>
      <c r="AD379" s="303" t="s">
        <v>533</v>
      </c>
      <c r="AE379" s="303">
        <v>220</v>
      </c>
      <c r="AF379" s="133"/>
      <c r="AG379" s="323"/>
    </row>
    <row r="380" spans="1:33" ht="15.75">
      <c r="A380" s="308" t="s">
        <v>577</v>
      </c>
      <c r="B380" s="309">
        <v>11</v>
      </c>
      <c r="C380" s="309" t="s">
        <v>738</v>
      </c>
      <c r="D380" s="309" t="s">
        <v>529</v>
      </c>
      <c r="E380" s="309">
        <v>1.5</v>
      </c>
      <c r="F380" s="310">
        <v>45415.619444444441</v>
      </c>
      <c r="G380" s="309">
        <v>1</v>
      </c>
      <c r="H380" s="309">
        <v>51.374099999999999</v>
      </c>
      <c r="I380" s="309">
        <v>7.7030000000000003</v>
      </c>
      <c r="J380" s="309">
        <v>-22.139806</v>
      </c>
      <c r="K380" s="309">
        <v>-21.302363</v>
      </c>
      <c r="L380" s="309">
        <v>982.346</v>
      </c>
      <c r="M380" s="309">
        <v>118.00105000000001</v>
      </c>
      <c r="N380" s="309">
        <v>17607.013330000002</v>
      </c>
      <c r="O380" s="309">
        <v>17637.078519999999</v>
      </c>
      <c r="P380" s="311">
        <v>2070.3079039999998</v>
      </c>
      <c r="Q380" s="299">
        <f t="shared" si="1"/>
        <v>2070.3079039999998</v>
      </c>
      <c r="R380" s="300" t="s">
        <v>230</v>
      </c>
      <c r="S380" s="300" t="s">
        <v>12</v>
      </c>
      <c r="T380" s="305" t="s">
        <v>545</v>
      </c>
      <c r="U380" s="305">
        <v>15</v>
      </c>
      <c r="V380" s="305">
        <v>5</v>
      </c>
      <c r="W380" s="303">
        <v>0.7</v>
      </c>
      <c r="X380" s="303">
        <v>0.7</v>
      </c>
      <c r="Y380" s="303">
        <v>0.7</v>
      </c>
      <c r="Z380" s="303">
        <v>1700</v>
      </c>
      <c r="AA380" s="303" t="s">
        <v>531</v>
      </c>
      <c r="AB380" s="303">
        <v>0.85</v>
      </c>
      <c r="AC380" s="303" t="s">
        <v>532</v>
      </c>
      <c r="AD380" s="303" t="s">
        <v>533</v>
      </c>
      <c r="AE380" s="303">
        <v>220</v>
      </c>
      <c r="AF380" s="133"/>
      <c r="AG380" s="323"/>
    </row>
    <row r="381" spans="1:33" ht="15.75">
      <c r="A381" s="302" t="s">
        <v>578</v>
      </c>
      <c r="B381" s="303">
        <v>11</v>
      </c>
      <c r="C381" s="303" t="s">
        <v>738</v>
      </c>
      <c r="D381" s="303" t="s">
        <v>529</v>
      </c>
      <c r="E381" s="303">
        <v>1.5</v>
      </c>
      <c r="F381" s="304">
        <v>45415.622916666667</v>
      </c>
      <c r="G381" s="303">
        <v>1</v>
      </c>
      <c r="H381" s="303">
        <v>51.380699999999997</v>
      </c>
      <c r="I381" s="303">
        <v>7.7725099999999996</v>
      </c>
      <c r="J381" s="303">
        <v>-22.196569</v>
      </c>
      <c r="K381" s="303">
        <v>-21.358581000000001</v>
      </c>
      <c r="L381" s="303">
        <v>970.12400000000002</v>
      </c>
      <c r="M381" s="303">
        <v>117.999315</v>
      </c>
      <c r="N381" s="303">
        <v>17618.347280000002</v>
      </c>
      <c r="O381" s="303">
        <v>17637.078519999999</v>
      </c>
      <c r="P381" s="305">
        <v>2070.3079039999998</v>
      </c>
      <c r="Q381" s="299">
        <f t="shared" si="1"/>
        <v>2070.3079039999998</v>
      </c>
      <c r="R381" s="300" t="s">
        <v>230</v>
      </c>
      <c r="S381" s="300" t="s">
        <v>12</v>
      </c>
      <c r="T381" s="305" t="s">
        <v>530</v>
      </c>
      <c r="U381" s="305">
        <v>15</v>
      </c>
      <c r="V381" s="305">
        <v>5</v>
      </c>
      <c r="W381" s="303">
        <v>0.7</v>
      </c>
      <c r="X381" s="303">
        <v>0.7</v>
      </c>
      <c r="Y381" s="303">
        <v>0.7</v>
      </c>
      <c r="Z381" s="303">
        <v>1700</v>
      </c>
      <c r="AA381" s="303" t="s">
        <v>531</v>
      </c>
      <c r="AB381" s="303">
        <v>0.85</v>
      </c>
      <c r="AC381" s="303" t="s">
        <v>532</v>
      </c>
      <c r="AD381" s="303" t="s">
        <v>533</v>
      </c>
      <c r="AE381" s="303">
        <v>220</v>
      </c>
      <c r="AF381" s="133"/>
      <c r="AG381" s="322"/>
    </row>
    <row r="382" spans="1:33" ht="15.75">
      <c r="A382" s="302" t="s">
        <v>580</v>
      </c>
      <c r="B382" s="303">
        <v>12</v>
      </c>
      <c r="C382" s="303">
        <v>326</v>
      </c>
      <c r="D382" s="303" t="s">
        <v>561</v>
      </c>
      <c r="E382" s="303">
        <v>1.5</v>
      </c>
      <c r="F382" s="304">
        <v>45415.627083333333</v>
      </c>
      <c r="G382" s="303">
        <v>1</v>
      </c>
      <c r="H382" s="303">
        <v>51.374099999999999</v>
      </c>
      <c r="I382" s="303">
        <v>7.6569000000000003</v>
      </c>
      <c r="J382" s="303">
        <v>-22.241143999999998</v>
      </c>
      <c r="K382" s="303">
        <v>-21.434899999999999</v>
      </c>
      <c r="L382" s="303">
        <v>980.62699999999995</v>
      </c>
      <c r="M382" s="303">
        <v>207.999247</v>
      </c>
      <c r="N382" s="303">
        <v>17656.814470000001</v>
      </c>
      <c r="O382" s="303">
        <v>17730.70047</v>
      </c>
      <c r="P382" s="305">
        <v>2081.2885070000002</v>
      </c>
      <c r="Q382" s="299">
        <f t="shared" si="1"/>
        <v>2081.2885070000002</v>
      </c>
      <c r="R382" s="300" t="s">
        <v>230</v>
      </c>
      <c r="S382" s="300" t="s">
        <v>12</v>
      </c>
      <c r="T382" s="305" t="s">
        <v>545</v>
      </c>
      <c r="U382" s="305">
        <v>15</v>
      </c>
      <c r="V382" s="305">
        <v>5</v>
      </c>
      <c r="W382" s="303">
        <v>0.7</v>
      </c>
      <c r="X382" s="303">
        <v>0.7</v>
      </c>
      <c r="Y382" s="303">
        <v>0.7</v>
      </c>
      <c r="Z382" s="303">
        <v>1700</v>
      </c>
      <c r="AA382" s="303" t="s">
        <v>531</v>
      </c>
      <c r="AB382" s="303">
        <v>0.85</v>
      </c>
      <c r="AC382" s="303" t="s">
        <v>532</v>
      </c>
      <c r="AD382" s="303" t="s">
        <v>533</v>
      </c>
      <c r="AE382" s="303">
        <v>220</v>
      </c>
      <c r="AF382" s="133"/>
      <c r="AG382" s="322"/>
    </row>
    <row r="383" spans="1:33" ht="15.75">
      <c r="A383" s="302" t="s">
        <v>584</v>
      </c>
      <c r="B383" s="303">
        <v>12</v>
      </c>
      <c r="C383" s="303">
        <v>326</v>
      </c>
      <c r="D383" s="303" t="s">
        <v>561</v>
      </c>
      <c r="E383" s="303">
        <v>1.5</v>
      </c>
      <c r="F383" s="304">
        <v>45415.631249999999</v>
      </c>
      <c r="G383" s="303">
        <v>1</v>
      </c>
      <c r="H383" s="303">
        <v>51.374099999999999</v>
      </c>
      <c r="I383" s="303">
        <v>7.7132800000000001</v>
      </c>
      <c r="J383" s="303">
        <v>-22.218906</v>
      </c>
      <c r="K383" s="303">
        <v>-21.374355999999999</v>
      </c>
      <c r="L383" s="303">
        <v>984.14599999999996</v>
      </c>
      <c r="M383" s="303">
        <v>136.000606</v>
      </c>
      <c r="N383" s="303">
        <v>17782.91519</v>
      </c>
      <c r="O383" s="303">
        <v>17730.70047</v>
      </c>
      <c r="P383" s="305">
        <v>2081.2885070000002</v>
      </c>
      <c r="Q383" s="299">
        <f t="shared" si="1"/>
        <v>2081.2885070000002</v>
      </c>
      <c r="R383" s="300" t="s">
        <v>230</v>
      </c>
      <c r="S383" s="300" t="s">
        <v>12</v>
      </c>
      <c r="T383" s="305" t="s">
        <v>545</v>
      </c>
      <c r="U383" s="305">
        <v>15</v>
      </c>
      <c r="V383" s="305">
        <v>5</v>
      </c>
      <c r="W383" s="303">
        <v>0.7</v>
      </c>
      <c r="X383" s="303">
        <v>0.7</v>
      </c>
      <c r="Y383" s="303">
        <v>0.7</v>
      </c>
      <c r="Z383" s="303">
        <v>1700</v>
      </c>
      <c r="AA383" s="303" t="s">
        <v>531</v>
      </c>
      <c r="AB383" s="303">
        <v>0.85</v>
      </c>
      <c r="AC383" s="303" t="s">
        <v>532</v>
      </c>
      <c r="AD383" s="303" t="s">
        <v>533</v>
      </c>
      <c r="AE383" s="303">
        <v>220</v>
      </c>
      <c r="AF383" s="133"/>
      <c r="AG383" s="322"/>
    </row>
    <row r="384" spans="1:33" ht="15.75">
      <c r="A384" s="302" t="s">
        <v>585</v>
      </c>
      <c r="B384" s="303">
        <v>12</v>
      </c>
      <c r="C384" s="303">
        <v>326</v>
      </c>
      <c r="D384" s="303" t="s">
        <v>561</v>
      </c>
      <c r="E384" s="303">
        <v>1.5</v>
      </c>
      <c r="F384" s="304">
        <v>45415.635416666664</v>
      </c>
      <c r="G384" s="303">
        <v>1</v>
      </c>
      <c r="H384" s="303">
        <v>51.377400000000002</v>
      </c>
      <c r="I384" s="303">
        <v>7.6737900000000003</v>
      </c>
      <c r="J384" s="303">
        <v>-22.232787999999999</v>
      </c>
      <c r="K384" s="303">
        <v>-21.427325</v>
      </c>
      <c r="L384" s="303">
        <v>993.97299999999996</v>
      </c>
      <c r="M384" s="303">
        <v>130.99938599999999</v>
      </c>
      <c r="N384" s="303">
        <v>17734.69528</v>
      </c>
      <c r="O384" s="303">
        <v>17730.70047</v>
      </c>
      <c r="P384" s="305">
        <v>2081.2885070000002</v>
      </c>
      <c r="Q384" s="299">
        <f t="shared" si="1"/>
        <v>2081.2885070000002</v>
      </c>
      <c r="R384" s="300" t="s">
        <v>230</v>
      </c>
      <c r="S384" s="300" t="s">
        <v>12</v>
      </c>
      <c r="T384" s="305" t="s">
        <v>530</v>
      </c>
      <c r="U384" s="305">
        <v>15</v>
      </c>
      <c r="V384" s="305">
        <v>5</v>
      </c>
      <c r="W384" s="303">
        <v>0.7</v>
      </c>
      <c r="X384" s="303">
        <v>0.7</v>
      </c>
      <c r="Y384" s="303">
        <v>0.7</v>
      </c>
      <c r="Z384" s="303">
        <v>1700</v>
      </c>
      <c r="AA384" s="303" t="s">
        <v>531</v>
      </c>
      <c r="AB384" s="303">
        <v>0.85</v>
      </c>
      <c r="AC384" s="303" t="s">
        <v>532</v>
      </c>
      <c r="AD384" s="303" t="s">
        <v>533</v>
      </c>
      <c r="AE384" s="303">
        <v>220</v>
      </c>
      <c r="AF384" s="133"/>
      <c r="AG384" s="322"/>
    </row>
    <row r="385" spans="1:33" ht="15.75">
      <c r="A385" s="302" t="s">
        <v>586</v>
      </c>
      <c r="B385" s="303">
        <v>12</v>
      </c>
      <c r="C385" s="303">
        <v>326</v>
      </c>
      <c r="D385" s="303" t="s">
        <v>561</v>
      </c>
      <c r="E385" s="303">
        <v>1.5</v>
      </c>
      <c r="F385" s="304">
        <v>45415.638888888891</v>
      </c>
      <c r="G385" s="303">
        <v>1</v>
      </c>
      <c r="H385" s="303">
        <v>51.377400000000002</v>
      </c>
      <c r="I385" s="303">
        <v>7.6598899999999999</v>
      </c>
      <c r="J385" s="303">
        <v>-22.217444</v>
      </c>
      <c r="K385" s="303">
        <v>-21.415188000000001</v>
      </c>
      <c r="L385" s="303">
        <v>976.82299999999998</v>
      </c>
      <c r="M385" s="303">
        <v>131.999819</v>
      </c>
      <c r="N385" s="303">
        <v>17718.615229999999</v>
      </c>
      <c r="O385" s="303">
        <v>17730.70047</v>
      </c>
      <c r="P385" s="305">
        <v>2081.2885070000002</v>
      </c>
      <c r="Q385" s="299">
        <f t="shared" si="1"/>
        <v>2081.2885070000002</v>
      </c>
      <c r="R385" s="300" t="s">
        <v>230</v>
      </c>
      <c r="S385" s="300" t="s">
        <v>12</v>
      </c>
      <c r="T385" s="305" t="s">
        <v>530</v>
      </c>
      <c r="U385" s="305">
        <v>15</v>
      </c>
      <c r="V385" s="305">
        <v>5</v>
      </c>
      <c r="W385" s="303">
        <v>0.7</v>
      </c>
      <c r="X385" s="303">
        <v>0.7</v>
      </c>
      <c r="Y385" s="303">
        <v>0.7</v>
      </c>
      <c r="Z385" s="303">
        <v>1700</v>
      </c>
      <c r="AA385" s="303" t="s">
        <v>531</v>
      </c>
      <c r="AB385" s="303">
        <v>0.85</v>
      </c>
      <c r="AC385" s="303" t="s">
        <v>532</v>
      </c>
      <c r="AD385" s="303" t="s">
        <v>533</v>
      </c>
      <c r="AE385" s="303">
        <v>220</v>
      </c>
      <c r="AF385" s="133"/>
      <c r="AG385" s="322"/>
    </row>
    <row r="386" spans="1:33" ht="15.75">
      <c r="A386" s="302" t="s">
        <v>587</v>
      </c>
      <c r="B386" s="303">
        <v>12</v>
      </c>
      <c r="C386" s="303">
        <v>326</v>
      </c>
      <c r="D386" s="303" t="s">
        <v>561</v>
      </c>
      <c r="E386" s="303">
        <v>1.5</v>
      </c>
      <c r="F386" s="304">
        <v>45415.642361111109</v>
      </c>
      <c r="G386" s="303">
        <v>1</v>
      </c>
      <c r="H386" s="303">
        <v>51.374099999999999</v>
      </c>
      <c r="I386" s="303">
        <v>7.5911900000000001</v>
      </c>
      <c r="J386" s="303">
        <v>-22.216863</v>
      </c>
      <c r="K386" s="303">
        <v>-21.367225000000001</v>
      </c>
      <c r="L386" s="303">
        <v>979.95500000000004</v>
      </c>
      <c r="M386" s="303">
        <v>128.50013000000001</v>
      </c>
      <c r="N386" s="303">
        <v>17738.7909</v>
      </c>
      <c r="O386" s="303">
        <v>17730.70047</v>
      </c>
      <c r="P386" s="305">
        <v>2081.2885070000002</v>
      </c>
      <c r="Q386" s="299">
        <f t="shared" si="1"/>
        <v>2081.2885070000002</v>
      </c>
      <c r="R386" s="300" t="s">
        <v>230</v>
      </c>
      <c r="S386" s="300" t="s">
        <v>12</v>
      </c>
      <c r="T386" s="305" t="s">
        <v>530</v>
      </c>
      <c r="U386" s="305">
        <v>15</v>
      </c>
      <c r="V386" s="305">
        <v>5</v>
      </c>
      <c r="W386" s="303">
        <v>0.7</v>
      </c>
      <c r="X386" s="303">
        <v>0.7</v>
      </c>
      <c r="Y386" s="303">
        <v>0.7</v>
      </c>
      <c r="Z386" s="303">
        <v>1700</v>
      </c>
      <c r="AA386" s="303" t="s">
        <v>531</v>
      </c>
      <c r="AB386" s="303">
        <v>0.85</v>
      </c>
      <c r="AC386" s="303" t="s">
        <v>532</v>
      </c>
      <c r="AD386" s="303" t="s">
        <v>533</v>
      </c>
      <c r="AE386" s="303">
        <v>220</v>
      </c>
      <c r="AF386" s="133"/>
      <c r="AG386" s="322"/>
    </row>
    <row r="387" spans="1:33" ht="15.75">
      <c r="A387" s="302" t="s">
        <v>593</v>
      </c>
      <c r="B387" s="303">
        <v>13</v>
      </c>
      <c r="C387" s="303">
        <v>327</v>
      </c>
      <c r="D387" s="303" t="s">
        <v>565</v>
      </c>
      <c r="E387" s="303">
        <v>1.5</v>
      </c>
      <c r="F387" s="304">
        <v>45415.646527777775</v>
      </c>
      <c r="G387" s="303">
        <v>1</v>
      </c>
      <c r="H387" s="303">
        <v>51.3675</v>
      </c>
      <c r="I387" s="303">
        <v>7.5707700000000004</v>
      </c>
      <c r="J387" s="303">
        <v>-22.301068999999998</v>
      </c>
      <c r="K387" s="303">
        <v>-21.463543999999999</v>
      </c>
      <c r="L387" s="303">
        <v>990.02700000000004</v>
      </c>
      <c r="M387" s="303">
        <v>135.00198399999999</v>
      </c>
      <c r="N387" s="303">
        <v>17773.199059999999</v>
      </c>
      <c r="O387" s="303">
        <v>17764.969239999999</v>
      </c>
      <c r="P387" s="305">
        <v>2085.3078489999998</v>
      </c>
      <c r="Q387" s="299">
        <f t="shared" si="1"/>
        <v>2085.3078489999998</v>
      </c>
      <c r="R387" s="300" t="s">
        <v>230</v>
      </c>
      <c r="S387" s="300" t="s">
        <v>12</v>
      </c>
      <c r="T387" s="305" t="s">
        <v>530</v>
      </c>
      <c r="U387" s="305">
        <v>15</v>
      </c>
      <c r="V387" s="305">
        <v>5</v>
      </c>
      <c r="W387" s="303">
        <v>0.7</v>
      </c>
      <c r="X387" s="303">
        <v>0.7</v>
      </c>
      <c r="Y387" s="303">
        <v>0.7</v>
      </c>
      <c r="Z387" s="303">
        <v>1700</v>
      </c>
      <c r="AA387" s="303" t="s">
        <v>531</v>
      </c>
      <c r="AB387" s="303">
        <v>0.85</v>
      </c>
      <c r="AC387" s="303" t="s">
        <v>532</v>
      </c>
      <c r="AD387" s="303" t="s">
        <v>533</v>
      </c>
      <c r="AE387" s="303">
        <v>220</v>
      </c>
      <c r="AF387" s="133"/>
      <c r="AG387" s="322"/>
    </row>
    <row r="388" spans="1:33" ht="15.75">
      <c r="A388" s="302" t="s">
        <v>595</v>
      </c>
      <c r="B388" s="303">
        <v>13</v>
      </c>
      <c r="C388" s="303">
        <v>327</v>
      </c>
      <c r="D388" s="303" t="s">
        <v>565</v>
      </c>
      <c r="E388" s="303">
        <v>1.5</v>
      </c>
      <c r="F388" s="304">
        <v>45415.650694444441</v>
      </c>
      <c r="G388" s="303">
        <v>1</v>
      </c>
      <c r="H388" s="303">
        <v>51.374099999999999</v>
      </c>
      <c r="I388" s="303">
        <v>7.57524</v>
      </c>
      <c r="J388" s="303">
        <v>-22.214068999999999</v>
      </c>
      <c r="K388" s="303">
        <v>-21.386906</v>
      </c>
      <c r="L388" s="303">
        <v>997.21400000000006</v>
      </c>
      <c r="M388" s="303">
        <v>128.498806</v>
      </c>
      <c r="N388" s="303">
        <v>17748.024460000001</v>
      </c>
      <c r="O388" s="303">
        <v>17764.969239999999</v>
      </c>
      <c r="P388" s="305">
        <v>2085.3078489999998</v>
      </c>
      <c r="Q388" s="299">
        <f t="shared" si="1"/>
        <v>2085.3078489999998</v>
      </c>
      <c r="R388" s="300" t="s">
        <v>230</v>
      </c>
      <c r="S388" s="300" t="s">
        <v>12</v>
      </c>
      <c r="T388" s="305" t="s">
        <v>530</v>
      </c>
      <c r="U388" s="305">
        <v>15</v>
      </c>
      <c r="V388" s="305">
        <v>5</v>
      </c>
      <c r="W388" s="303">
        <v>0.7</v>
      </c>
      <c r="X388" s="303">
        <v>0.7</v>
      </c>
      <c r="Y388" s="303">
        <v>0.7</v>
      </c>
      <c r="Z388" s="303">
        <v>1700</v>
      </c>
      <c r="AA388" s="303" t="s">
        <v>531</v>
      </c>
      <c r="AB388" s="303">
        <v>0.85</v>
      </c>
      <c r="AC388" s="303" t="s">
        <v>532</v>
      </c>
      <c r="AD388" s="303" t="s">
        <v>533</v>
      </c>
      <c r="AE388" s="303">
        <v>220</v>
      </c>
      <c r="AF388" s="133"/>
      <c r="AG388" s="322"/>
    </row>
    <row r="389" spans="1:33" ht="15.75">
      <c r="A389" s="302" t="s">
        <v>596</v>
      </c>
      <c r="B389" s="303">
        <v>13</v>
      </c>
      <c r="C389" s="303">
        <v>327</v>
      </c>
      <c r="D389" s="303" t="s">
        <v>565</v>
      </c>
      <c r="E389" s="303">
        <v>1.5</v>
      </c>
      <c r="F389" s="304">
        <v>45415.654166666667</v>
      </c>
      <c r="G389" s="303">
        <v>1</v>
      </c>
      <c r="H389" s="303">
        <v>51.370800000000003</v>
      </c>
      <c r="I389" s="303">
        <v>7.60215</v>
      </c>
      <c r="J389" s="303">
        <v>-22.126175</v>
      </c>
      <c r="K389" s="303">
        <v>-21.290030999999999</v>
      </c>
      <c r="L389" s="303">
        <v>987.70699999999999</v>
      </c>
      <c r="M389" s="303">
        <v>113.498929</v>
      </c>
      <c r="N389" s="303">
        <v>17773.684209999999</v>
      </c>
      <c r="O389" s="303">
        <v>17764.969239999999</v>
      </c>
      <c r="P389" s="305">
        <v>2085.3078489999998</v>
      </c>
      <c r="Q389" s="299">
        <f t="shared" si="1"/>
        <v>2085.3078489999998</v>
      </c>
      <c r="R389" s="300" t="s">
        <v>230</v>
      </c>
      <c r="S389" s="300" t="s">
        <v>12</v>
      </c>
      <c r="T389" s="305" t="s">
        <v>530</v>
      </c>
      <c r="U389" s="305">
        <v>15</v>
      </c>
      <c r="V389" s="305">
        <v>5</v>
      </c>
      <c r="W389" s="303">
        <v>0.7</v>
      </c>
      <c r="X389" s="303">
        <v>0.7</v>
      </c>
      <c r="Y389" s="303">
        <v>0.7</v>
      </c>
      <c r="Z389" s="303">
        <v>1700</v>
      </c>
      <c r="AA389" s="303" t="s">
        <v>531</v>
      </c>
      <c r="AB389" s="303">
        <v>0.85</v>
      </c>
      <c r="AC389" s="303" t="s">
        <v>532</v>
      </c>
      <c r="AD389" s="303" t="s">
        <v>533</v>
      </c>
      <c r="AE389" s="303">
        <v>220</v>
      </c>
      <c r="AF389" s="133"/>
      <c r="AG389" s="322"/>
    </row>
    <row r="390" spans="1:33" ht="15.75">
      <c r="A390" s="302" t="s">
        <v>597</v>
      </c>
      <c r="B390" s="303">
        <v>14</v>
      </c>
      <c r="C390" s="303">
        <v>170</v>
      </c>
      <c r="D390" s="303" t="s">
        <v>570</v>
      </c>
      <c r="E390" s="303">
        <v>1.5</v>
      </c>
      <c r="F390" s="304">
        <v>45415.658333333333</v>
      </c>
      <c r="G390" s="303">
        <v>1</v>
      </c>
      <c r="H390" s="303">
        <v>51.374099999999999</v>
      </c>
      <c r="I390" s="303">
        <v>7.6487100000000003</v>
      </c>
      <c r="J390" s="303">
        <v>-22.154125000000001</v>
      </c>
      <c r="K390" s="303">
        <v>-21.312612999999999</v>
      </c>
      <c r="L390" s="303">
        <v>969.96699999999998</v>
      </c>
      <c r="M390" s="303">
        <v>118.000181</v>
      </c>
      <c r="N390" s="303">
        <v>17637.794030000001</v>
      </c>
      <c r="O390" s="303">
        <v>17695.109499999999</v>
      </c>
      <c r="P390" s="305">
        <v>2077.114086</v>
      </c>
      <c r="Q390" s="299">
        <f t="shared" si="1"/>
        <v>2077.114086</v>
      </c>
      <c r="R390" s="300" t="s">
        <v>230</v>
      </c>
      <c r="S390" s="300" t="s">
        <v>12</v>
      </c>
      <c r="T390" s="305" t="s">
        <v>545</v>
      </c>
      <c r="U390" s="305">
        <v>15</v>
      </c>
      <c r="V390" s="305">
        <v>5</v>
      </c>
      <c r="W390" s="303">
        <v>0.7</v>
      </c>
      <c r="X390" s="303">
        <v>0.7</v>
      </c>
      <c r="Y390" s="303">
        <v>0.7</v>
      </c>
      <c r="Z390" s="303">
        <v>1700</v>
      </c>
      <c r="AA390" s="303" t="s">
        <v>531</v>
      </c>
      <c r="AB390" s="303">
        <v>0.85</v>
      </c>
      <c r="AC390" s="303" t="s">
        <v>532</v>
      </c>
      <c r="AD390" s="303" t="s">
        <v>533</v>
      </c>
      <c r="AE390" s="303">
        <v>220</v>
      </c>
      <c r="AF390" s="133"/>
      <c r="AG390" s="322"/>
    </row>
    <row r="391" spans="1:33" ht="15.75">
      <c r="A391" s="302" t="s">
        <v>599</v>
      </c>
      <c r="B391" s="303">
        <v>14</v>
      </c>
      <c r="C391" s="303">
        <v>170</v>
      </c>
      <c r="D391" s="303" t="s">
        <v>570</v>
      </c>
      <c r="E391" s="303">
        <v>1.5</v>
      </c>
      <c r="F391" s="304">
        <v>45415.661805555559</v>
      </c>
      <c r="G391" s="303">
        <v>1</v>
      </c>
      <c r="H391" s="303">
        <v>51.374099999999999</v>
      </c>
      <c r="I391" s="303">
        <v>7.6215000000000002</v>
      </c>
      <c r="J391" s="303">
        <v>-22.171005999999998</v>
      </c>
      <c r="K391" s="303">
        <v>-21.346993999999999</v>
      </c>
      <c r="L391" s="303">
        <v>973.21199999999999</v>
      </c>
      <c r="M391" s="303">
        <v>139.00004999999999</v>
      </c>
      <c r="N391" s="303">
        <v>17700.760300000002</v>
      </c>
      <c r="O391" s="303">
        <v>17695.109499999999</v>
      </c>
      <c r="P391" s="305">
        <v>2077.114086</v>
      </c>
      <c r="Q391" s="299">
        <f t="shared" si="1"/>
        <v>2077.114086</v>
      </c>
      <c r="R391" s="300" t="s">
        <v>230</v>
      </c>
      <c r="S391" s="300" t="s">
        <v>12</v>
      </c>
      <c r="T391" s="305" t="s">
        <v>530</v>
      </c>
      <c r="U391" s="305">
        <v>15</v>
      </c>
      <c r="V391" s="305">
        <v>5</v>
      </c>
      <c r="W391" s="303">
        <v>0.7</v>
      </c>
      <c r="X391" s="303">
        <v>0.7</v>
      </c>
      <c r="Y391" s="303">
        <v>0.7</v>
      </c>
      <c r="Z391" s="303">
        <v>1700</v>
      </c>
      <c r="AA391" s="303" t="s">
        <v>531</v>
      </c>
      <c r="AB391" s="303">
        <v>0.85</v>
      </c>
      <c r="AC391" s="303" t="s">
        <v>532</v>
      </c>
      <c r="AD391" s="303" t="s">
        <v>533</v>
      </c>
      <c r="AE391" s="303">
        <v>220</v>
      </c>
      <c r="AF391" s="133"/>
      <c r="AG391" s="322"/>
    </row>
    <row r="392" spans="1:33" ht="15.75">
      <c r="A392" s="302" t="s">
        <v>600</v>
      </c>
      <c r="B392" s="303">
        <v>14</v>
      </c>
      <c r="C392" s="303">
        <v>170</v>
      </c>
      <c r="D392" s="303" t="s">
        <v>570</v>
      </c>
      <c r="E392" s="303">
        <v>1.5</v>
      </c>
      <c r="F392" s="304">
        <v>45415.665277777778</v>
      </c>
      <c r="G392" s="303">
        <v>1</v>
      </c>
      <c r="H392" s="303">
        <v>51.374099999999999</v>
      </c>
      <c r="I392" s="303">
        <v>7.7069900000000002</v>
      </c>
      <c r="J392" s="303">
        <v>-22.161625000000001</v>
      </c>
      <c r="K392" s="303">
        <v>-21.322237000000001</v>
      </c>
      <c r="L392" s="303">
        <v>985.12300000000005</v>
      </c>
      <c r="M392" s="303">
        <v>174.999922</v>
      </c>
      <c r="N392" s="303">
        <v>17706.98243</v>
      </c>
      <c r="O392" s="303">
        <v>17695.109499999999</v>
      </c>
      <c r="P392" s="305">
        <v>2077.114086</v>
      </c>
      <c r="Q392" s="299">
        <f t="shared" si="1"/>
        <v>2077.114086</v>
      </c>
      <c r="R392" s="300" t="s">
        <v>230</v>
      </c>
      <c r="S392" s="300" t="s">
        <v>12</v>
      </c>
      <c r="T392" s="305" t="s">
        <v>530</v>
      </c>
      <c r="U392" s="305">
        <v>15</v>
      </c>
      <c r="V392" s="305">
        <v>5</v>
      </c>
      <c r="W392" s="303">
        <v>0.7</v>
      </c>
      <c r="X392" s="303">
        <v>0.7</v>
      </c>
      <c r="Y392" s="303">
        <v>0.7</v>
      </c>
      <c r="Z392" s="303">
        <v>1700</v>
      </c>
      <c r="AA392" s="303" t="s">
        <v>531</v>
      </c>
      <c r="AB392" s="303">
        <v>0.85</v>
      </c>
      <c r="AC392" s="303" t="s">
        <v>532</v>
      </c>
      <c r="AD392" s="303" t="s">
        <v>533</v>
      </c>
      <c r="AE392" s="303">
        <v>220</v>
      </c>
      <c r="AF392" s="133"/>
      <c r="AG392" s="322"/>
    </row>
    <row r="393" spans="1:33" ht="15.75">
      <c r="A393" s="302" t="s">
        <v>601</v>
      </c>
      <c r="B393" s="303">
        <v>14</v>
      </c>
      <c r="C393" s="303">
        <v>170</v>
      </c>
      <c r="D393" s="303" t="s">
        <v>570</v>
      </c>
      <c r="E393" s="303">
        <v>1.5</v>
      </c>
      <c r="F393" s="304">
        <v>45415.669444444444</v>
      </c>
      <c r="G393" s="303">
        <v>1</v>
      </c>
      <c r="H393" s="303">
        <v>51.374099999999999</v>
      </c>
      <c r="I393" s="303">
        <v>7.6537199999999999</v>
      </c>
      <c r="J393" s="303">
        <v>-22.271331</v>
      </c>
      <c r="K393" s="303">
        <v>-21.421980999999999</v>
      </c>
      <c r="L393" s="303">
        <v>983.49699999999996</v>
      </c>
      <c r="M393" s="303">
        <v>136.50029900000001</v>
      </c>
      <c r="N393" s="303">
        <v>17677.585760000002</v>
      </c>
      <c r="O393" s="303">
        <v>17695.109499999999</v>
      </c>
      <c r="P393" s="305">
        <v>2077.114086</v>
      </c>
      <c r="Q393" s="299">
        <f t="shared" si="1"/>
        <v>2077.114086</v>
      </c>
      <c r="R393" s="300" t="s">
        <v>230</v>
      </c>
      <c r="S393" s="300" t="s">
        <v>12</v>
      </c>
      <c r="T393" s="305" t="s">
        <v>530</v>
      </c>
      <c r="U393" s="305">
        <v>15</v>
      </c>
      <c r="V393" s="305">
        <v>5</v>
      </c>
      <c r="W393" s="303">
        <v>0.7</v>
      </c>
      <c r="X393" s="303">
        <v>0.7</v>
      </c>
      <c r="Y393" s="303">
        <v>0.7</v>
      </c>
      <c r="Z393" s="303">
        <v>1700</v>
      </c>
      <c r="AA393" s="303" t="s">
        <v>531</v>
      </c>
      <c r="AB393" s="303">
        <v>0.85</v>
      </c>
      <c r="AC393" s="303" t="s">
        <v>532</v>
      </c>
      <c r="AD393" s="303" t="s">
        <v>533</v>
      </c>
      <c r="AE393" s="303">
        <v>220</v>
      </c>
      <c r="AF393" s="133"/>
      <c r="AG393" s="322"/>
    </row>
    <row r="394" spans="1:33" ht="15.75">
      <c r="A394" s="302" t="s">
        <v>602</v>
      </c>
      <c r="B394" s="303">
        <v>15</v>
      </c>
      <c r="C394" s="303">
        <v>171</v>
      </c>
      <c r="D394" s="303" t="s">
        <v>575</v>
      </c>
      <c r="E394" s="303">
        <v>1.5</v>
      </c>
      <c r="F394" s="304">
        <v>45415.673611111109</v>
      </c>
      <c r="G394" s="303">
        <v>1</v>
      </c>
      <c r="H394" s="303">
        <v>51.370800000000003</v>
      </c>
      <c r="I394" s="303">
        <v>7.6161000000000003</v>
      </c>
      <c r="J394" s="303">
        <v>-22.190411999999998</v>
      </c>
      <c r="K394" s="303">
        <v>-21.348680999999999</v>
      </c>
      <c r="L394" s="303">
        <v>1001.96</v>
      </c>
      <c r="M394" s="303">
        <v>124.499424</v>
      </c>
      <c r="N394" s="303">
        <v>17874.479439999999</v>
      </c>
      <c r="O394" s="303">
        <v>0</v>
      </c>
      <c r="P394" s="305">
        <v>0</v>
      </c>
      <c r="Q394" s="299">
        <f t="shared" si="1"/>
        <v>0</v>
      </c>
      <c r="R394" s="300" t="s">
        <v>230</v>
      </c>
      <c r="S394" s="300" t="s">
        <v>582</v>
      </c>
      <c r="T394" s="305" t="s">
        <v>583</v>
      </c>
      <c r="U394" s="305">
        <v>15</v>
      </c>
      <c r="V394" s="305">
        <v>5</v>
      </c>
      <c r="W394" s="303">
        <v>0.7</v>
      </c>
      <c r="X394" s="303">
        <v>0.7</v>
      </c>
      <c r="Y394" s="303">
        <v>0.7</v>
      </c>
      <c r="Z394" s="303">
        <v>1700</v>
      </c>
      <c r="AA394" s="303" t="s">
        <v>531</v>
      </c>
      <c r="AB394" s="303">
        <v>0.85</v>
      </c>
      <c r="AC394" s="303" t="s">
        <v>532</v>
      </c>
      <c r="AD394" s="303" t="s">
        <v>533</v>
      </c>
      <c r="AE394" s="303">
        <v>220</v>
      </c>
      <c r="AF394" s="133"/>
      <c r="AG394" s="322"/>
    </row>
    <row r="395" spans="1:33" ht="15.75">
      <c r="A395" s="302" t="s">
        <v>604</v>
      </c>
      <c r="B395" s="303">
        <v>15</v>
      </c>
      <c r="C395" s="303">
        <v>171</v>
      </c>
      <c r="D395" s="303" t="s">
        <v>575</v>
      </c>
      <c r="E395" s="303">
        <v>1.5</v>
      </c>
      <c r="F395" s="304">
        <v>45415.677083333336</v>
      </c>
      <c r="G395" s="303">
        <v>1</v>
      </c>
      <c r="H395" s="303">
        <v>51.3675</v>
      </c>
      <c r="I395" s="303">
        <v>7.5931899999999999</v>
      </c>
      <c r="J395" s="303">
        <v>-22.145281000000001</v>
      </c>
      <c r="K395" s="303">
        <v>-21.306369</v>
      </c>
      <c r="L395" s="303">
        <v>986.82100000000003</v>
      </c>
      <c r="M395" s="303">
        <v>133.000156</v>
      </c>
      <c r="N395" s="303">
        <v>17793.019850000001</v>
      </c>
      <c r="O395" s="303">
        <v>0</v>
      </c>
      <c r="P395" s="305">
        <v>0</v>
      </c>
      <c r="Q395" s="299">
        <f t="shared" si="1"/>
        <v>0</v>
      </c>
      <c r="R395" s="300" t="s">
        <v>230</v>
      </c>
      <c r="S395" s="300" t="s">
        <v>582</v>
      </c>
      <c r="T395" s="305" t="s">
        <v>583</v>
      </c>
      <c r="U395" s="305">
        <v>15</v>
      </c>
      <c r="V395" s="305">
        <v>5</v>
      </c>
      <c r="W395" s="303">
        <v>0.7</v>
      </c>
      <c r="X395" s="303">
        <v>0.7</v>
      </c>
      <c r="Y395" s="303">
        <v>0.7</v>
      </c>
      <c r="Z395" s="303">
        <v>1700</v>
      </c>
      <c r="AA395" s="303" t="s">
        <v>531</v>
      </c>
      <c r="AB395" s="303">
        <v>0.85</v>
      </c>
      <c r="AC395" s="303" t="s">
        <v>532</v>
      </c>
      <c r="AD395" s="303" t="s">
        <v>533</v>
      </c>
      <c r="AE395" s="303">
        <v>220</v>
      </c>
      <c r="AF395" s="133"/>
      <c r="AG395" s="322"/>
    </row>
    <row r="396" spans="1:33" ht="15.75">
      <c r="A396" s="302" t="s">
        <v>605</v>
      </c>
      <c r="B396" s="303">
        <v>15</v>
      </c>
      <c r="C396" s="303">
        <v>171</v>
      </c>
      <c r="D396" s="303" t="s">
        <v>575</v>
      </c>
      <c r="E396" s="303">
        <v>1.5</v>
      </c>
      <c r="F396" s="304">
        <v>45415.681250000001</v>
      </c>
      <c r="G396" s="303">
        <v>1</v>
      </c>
      <c r="H396" s="303">
        <v>51.370800000000003</v>
      </c>
      <c r="I396" s="303">
        <v>7.60222</v>
      </c>
      <c r="J396" s="303">
        <v>-22.214874999999999</v>
      </c>
      <c r="K396" s="303">
        <v>-21.460599999999999</v>
      </c>
      <c r="L396" s="303">
        <v>975.75800000000004</v>
      </c>
      <c r="M396" s="303">
        <v>249.49960899999999</v>
      </c>
      <c r="N396" s="303">
        <v>17852.89444</v>
      </c>
      <c r="O396" s="303">
        <v>0</v>
      </c>
      <c r="P396" s="305">
        <v>0</v>
      </c>
      <c r="Q396" s="299">
        <f t="shared" si="1"/>
        <v>0</v>
      </c>
      <c r="R396" s="300" t="s">
        <v>230</v>
      </c>
      <c r="S396" s="300" t="s">
        <v>582</v>
      </c>
      <c r="T396" s="305" t="s">
        <v>583</v>
      </c>
      <c r="U396" s="305">
        <v>15</v>
      </c>
      <c r="V396" s="305">
        <v>5</v>
      </c>
      <c r="W396" s="303">
        <v>0.7</v>
      </c>
      <c r="X396" s="303">
        <v>0.7</v>
      </c>
      <c r="Y396" s="303">
        <v>0.7</v>
      </c>
      <c r="Z396" s="303">
        <v>1700</v>
      </c>
      <c r="AA396" s="303" t="s">
        <v>531</v>
      </c>
      <c r="AB396" s="303">
        <v>0.85</v>
      </c>
      <c r="AC396" s="303" t="s">
        <v>532</v>
      </c>
      <c r="AD396" s="303" t="s">
        <v>533</v>
      </c>
      <c r="AE396" s="303">
        <v>220</v>
      </c>
      <c r="AF396" s="133"/>
      <c r="AG396" s="322"/>
    </row>
    <row r="397" spans="1:33" ht="15.75">
      <c r="A397" s="302" t="s">
        <v>684</v>
      </c>
      <c r="B397" s="303">
        <v>15</v>
      </c>
      <c r="C397" s="303">
        <v>171</v>
      </c>
      <c r="D397" s="303" t="s">
        <v>575</v>
      </c>
      <c r="E397" s="303">
        <v>1.5</v>
      </c>
      <c r="F397" s="304">
        <v>45415.686111111114</v>
      </c>
      <c r="G397" s="303">
        <v>1</v>
      </c>
      <c r="H397" s="303">
        <v>51.370800000000003</v>
      </c>
      <c r="I397" s="303">
        <v>7.6093799999999998</v>
      </c>
      <c r="J397" s="303">
        <v>-22.222850000000001</v>
      </c>
      <c r="K397" s="303">
        <v>-21.453219000000001</v>
      </c>
      <c r="L397" s="303">
        <v>969.99300000000005</v>
      </c>
      <c r="M397" s="303">
        <v>187.999177</v>
      </c>
      <c r="N397" s="303">
        <v>17828.53226</v>
      </c>
      <c r="O397" s="303">
        <v>0</v>
      </c>
      <c r="P397" s="305">
        <v>0</v>
      </c>
      <c r="Q397" s="299">
        <f t="shared" si="1"/>
        <v>0</v>
      </c>
      <c r="R397" s="300" t="s">
        <v>230</v>
      </c>
      <c r="S397" s="300" t="s">
        <v>582</v>
      </c>
      <c r="T397" s="305" t="s">
        <v>583</v>
      </c>
      <c r="U397" s="305">
        <v>15</v>
      </c>
      <c r="V397" s="305">
        <v>5</v>
      </c>
      <c r="W397" s="303">
        <v>0.7</v>
      </c>
      <c r="X397" s="303">
        <v>0.7</v>
      </c>
      <c r="Y397" s="303">
        <v>0.7</v>
      </c>
      <c r="Z397" s="303">
        <v>1700</v>
      </c>
      <c r="AA397" s="303" t="s">
        <v>531</v>
      </c>
      <c r="AB397" s="303">
        <v>0.85</v>
      </c>
      <c r="AC397" s="303" t="s">
        <v>532</v>
      </c>
      <c r="AD397" s="303" t="s">
        <v>533</v>
      </c>
      <c r="AE397" s="303">
        <v>220</v>
      </c>
      <c r="AF397" s="133"/>
      <c r="AG397" s="322"/>
    </row>
    <row r="398" spans="1:33" ht="15.75">
      <c r="A398" s="302" t="s">
        <v>685</v>
      </c>
      <c r="B398" s="303">
        <v>15</v>
      </c>
      <c r="C398" s="303">
        <v>171</v>
      </c>
      <c r="D398" s="303" t="s">
        <v>575</v>
      </c>
      <c r="E398" s="303">
        <v>1.5</v>
      </c>
      <c r="F398" s="304">
        <v>45415.69027777778</v>
      </c>
      <c r="G398" s="303">
        <v>1</v>
      </c>
      <c r="H398" s="303">
        <v>51.370800000000003</v>
      </c>
      <c r="I398" s="303">
        <v>7.5775699999999997</v>
      </c>
      <c r="J398" s="303">
        <v>-22.156938</v>
      </c>
      <c r="K398" s="303">
        <v>-21.341313</v>
      </c>
      <c r="L398" s="303">
        <v>981.08100000000002</v>
      </c>
      <c r="M398" s="303">
        <v>143.499741</v>
      </c>
      <c r="N398" s="303">
        <v>17778.898659999999</v>
      </c>
      <c r="O398" s="303">
        <v>0</v>
      </c>
      <c r="P398" s="305">
        <v>0</v>
      </c>
      <c r="Q398" s="299">
        <f t="shared" si="1"/>
        <v>0</v>
      </c>
      <c r="R398" s="300" t="s">
        <v>230</v>
      </c>
      <c r="S398" s="300" t="s">
        <v>582</v>
      </c>
      <c r="T398" s="305" t="s">
        <v>583</v>
      </c>
      <c r="U398" s="305">
        <v>15</v>
      </c>
      <c r="V398" s="305">
        <v>5</v>
      </c>
      <c r="W398" s="303">
        <v>0.7</v>
      </c>
      <c r="X398" s="303">
        <v>0.7</v>
      </c>
      <c r="Y398" s="303">
        <v>0.7</v>
      </c>
      <c r="Z398" s="303">
        <v>1700</v>
      </c>
      <c r="AA398" s="303" t="s">
        <v>531</v>
      </c>
      <c r="AB398" s="303">
        <v>0.85</v>
      </c>
      <c r="AC398" s="303" t="s">
        <v>532</v>
      </c>
      <c r="AD398" s="303" t="s">
        <v>533</v>
      </c>
      <c r="AE398" s="303">
        <v>220</v>
      </c>
      <c r="AF398" s="133"/>
      <c r="AG398" s="322"/>
    </row>
    <row r="399" spans="1:33" ht="15.75">
      <c r="A399" s="302" t="s">
        <v>753</v>
      </c>
      <c r="B399" s="303">
        <v>15</v>
      </c>
      <c r="C399" s="303">
        <v>171</v>
      </c>
      <c r="D399" s="303" t="s">
        <v>575</v>
      </c>
      <c r="E399" s="303">
        <v>1.5</v>
      </c>
      <c r="F399" s="304">
        <v>45415.694444444445</v>
      </c>
      <c r="G399" s="303">
        <v>2</v>
      </c>
      <c r="H399" s="303">
        <v>51.3675</v>
      </c>
      <c r="I399" s="303">
        <v>7.5442499999999999</v>
      </c>
      <c r="J399" s="303">
        <v>-22.185911999999998</v>
      </c>
      <c r="K399" s="303">
        <v>-21.336131000000002</v>
      </c>
      <c r="L399" s="303">
        <v>992.50900000000001</v>
      </c>
      <c r="M399" s="303">
        <v>127.999871</v>
      </c>
      <c r="N399" s="303">
        <v>17732.144489999999</v>
      </c>
      <c r="O399" s="303">
        <v>17763.133539999999</v>
      </c>
      <c r="P399" s="305">
        <v>2085.0925419999999</v>
      </c>
      <c r="Q399" s="299">
        <f t="shared" si="1"/>
        <v>2085.0925419999999</v>
      </c>
      <c r="R399" s="300" t="s">
        <v>230</v>
      </c>
      <c r="S399" s="300" t="s">
        <v>12</v>
      </c>
      <c r="T399" s="305" t="s">
        <v>545</v>
      </c>
      <c r="U399" s="305">
        <v>15</v>
      </c>
      <c r="V399" s="305">
        <v>5</v>
      </c>
      <c r="W399" s="303">
        <v>0.7</v>
      </c>
      <c r="X399" s="303">
        <v>0.7</v>
      </c>
      <c r="Y399" s="303">
        <v>0.7</v>
      </c>
      <c r="Z399" s="303">
        <v>1700</v>
      </c>
      <c r="AA399" s="303" t="s">
        <v>531</v>
      </c>
      <c r="AB399" s="303">
        <v>0.85</v>
      </c>
      <c r="AC399" s="303" t="s">
        <v>532</v>
      </c>
      <c r="AD399" s="303" t="s">
        <v>533</v>
      </c>
      <c r="AE399" s="303">
        <v>220</v>
      </c>
      <c r="AF399" s="133"/>
      <c r="AG399" s="322"/>
    </row>
    <row r="400" spans="1:33" ht="15.75">
      <c r="A400" s="302" t="s">
        <v>754</v>
      </c>
      <c r="B400" s="303">
        <v>15</v>
      </c>
      <c r="C400" s="303">
        <v>171</v>
      </c>
      <c r="D400" s="303" t="s">
        <v>575</v>
      </c>
      <c r="E400" s="303">
        <v>1.5</v>
      </c>
      <c r="F400" s="304">
        <v>45415.697916666664</v>
      </c>
      <c r="G400" s="303">
        <v>2</v>
      </c>
      <c r="H400" s="303">
        <v>51.374099999999999</v>
      </c>
      <c r="I400" s="303">
        <v>7.6746800000000004</v>
      </c>
      <c r="J400" s="303">
        <v>-22.164024999999999</v>
      </c>
      <c r="K400" s="303">
        <v>-21.324175</v>
      </c>
      <c r="L400" s="303">
        <v>982.37099999999998</v>
      </c>
      <c r="M400" s="303">
        <v>132.50179600000001</v>
      </c>
      <c r="N400" s="303">
        <v>17758.113300000001</v>
      </c>
      <c r="O400" s="303">
        <v>17763.133539999999</v>
      </c>
      <c r="P400" s="305">
        <v>2085.0925419999999</v>
      </c>
      <c r="Q400" s="299">
        <f t="shared" si="1"/>
        <v>2085.0925419999999</v>
      </c>
      <c r="R400" s="300" t="s">
        <v>230</v>
      </c>
      <c r="S400" s="300" t="s">
        <v>12</v>
      </c>
      <c r="T400" s="305" t="s">
        <v>530</v>
      </c>
      <c r="U400" s="305">
        <v>15</v>
      </c>
      <c r="V400" s="305">
        <v>5</v>
      </c>
      <c r="W400" s="303">
        <v>0.7</v>
      </c>
      <c r="X400" s="303">
        <v>0.7</v>
      </c>
      <c r="Y400" s="303">
        <v>0.7</v>
      </c>
      <c r="Z400" s="303">
        <v>1700</v>
      </c>
      <c r="AA400" s="303" t="s">
        <v>531</v>
      </c>
      <c r="AB400" s="303">
        <v>0.85</v>
      </c>
      <c r="AC400" s="303" t="s">
        <v>532</v>
      </c>
      <c r="AD400" s="303" t="s">
        <v>533</v>
      </c>
      <c r="AE400" s="303">
        <v>220</v>
      </c>
      <c r="AF400" s="133"/>
      <c r="AG400" s="322"/>
    </row>
    <row r="401" spans="1:33" ht="15.75">
      <c r="A401" s="302" t="s">
        <v>755</v>
      </c>
      <c r="B401" s="303">
        <v>15</v>
      </c>
      <c r="C401" s="303">
        <v>171</v>
      </c>
      <c r="D401" s="303" t="s">
        <v>575</v>
      </c>
      <c r="E401" s="303">
        <v>1.5</v>
      </c>
      <c r="F401" s="304">
        <v>45415.701388888891</v>
      </c>
      <c r="G401" s="303">
        <v>2</v>
      </c>
      <c r="H401" s="303">
        <v>51.377400000000002</v>
      </c>
      <c r="I401" s="303">
        <v>7.6493099999999998</v>
      </c>
      <c r="J401" s="303">
        <v>-22.155768999999999</v>
      </c>
      <c r="K401" s="303">
        <v>-21.350669</v>
      </c>
      <c r="L401" s="303">
        <v>972.96699999999998</v>
      </c>
      <c r="M401" s="303">
        <v>133.00025600000001</v>
      </c>
      <c r="N401" s="303">
        <v>17769.67943</v>
      </c>
      <c r="O401" s="303">
        <v>17763.133539999999</v>
      </c>
      <c r="P401" s="305">
        <v>2085.0925419999999</v>
      </c>
      <c r="Q401" s="299">
        <f t="shared" si="1"/>
        <v>2085.0925419999999</v>
      </c>
      <c r="R401" s="300" t="s">
        <v>230</v>
      </c>
      <c r="S401" s="300" t="s">
        <v>12</v>
      </c>
      <c r="T401" s="305" t="s">
        <v>530</v>
      </c>
      <c r="U401" s="305">
        <v>15</v>
      </c>
      <c r="V401" s="305">
        <v>5</v>
      </c>
      <c r="W401" s="303">
        <v>0.7</v>
      </c>
      <c r="X401" s="303">
        <v>0.7</v>
      </c>
      <c r="Y401" s="303">
        <v>0.7</v>
      </c>
      <c r="Z401" s="303">
        <v>1700</v>
      </c>
      <c r="AA401" s="303" t="s">
        <v>531</v>
      </c>
      <c r="AB401" s="303">
        <v>0.85</v>
      </c>
      <c r="AC401" s="303" t="s">
        <v>532</v>
      </c>
      <c r="AD401" s="303" t="s">
        <v>533</v>
      </c>
      <c r="AE401" s="303">
        <v>220</v>
      </c>
      <c r="AF401" s="133"/>
      <c r="AG401" s="322"/>
    </row>
    <row r="402" spans="1:33" ht="15.75">
      <c r="A402" s="302" t="s">
        <v>756</v>
      </c>
      <c r="B402" s="303">
        <v>15</v>
      </c>
      <c r="C402" s="303">
        <v>171</v>
      </c>
      <c r="D402" s="303" t="s">
        <v>575</v>
      </c>
      <c r="E402" s="303">
        <v>1.5</v>
      </c>
      <c r="F402" s="304">
        <v>45415.705555555556</v>
      </c>
      <c r="G402" s="303">
        <v>2</v>
      </c>
      <c r="H402" s="303">
        <v>51.3675</v>
      </c>
      <c r="I402" s="303">
        <v>7.5739700000000001</v>
      </c>
      <c r="J402" s="303">
        <v>-22.120806000000002</v>
      </c>
      <c r="K402" s="303">
        <v>-21.284199999999998</v>
      </c>
      <c r="L402" s="303">
        <v>982.75699999999995</v>
      </c>
      <c r="M402" s="303">
        <v>121.499825</v>
      </c>
      <c r="N402" s="303">
        <v>17761.607889999999</v>
      </c>
      <c r="O402" s="303">
        <v>17763.133539999999</v>
      </c>
      <c r="P402" s="305">
        <v>2085.0925419999999</v>
      </c>
      <c r="Q402" s="299">
        <f t="shared" si="1"/>
        <v>2085.0925419999999</v>
      </c>
      <c r="R402" s="300" t="s">
        <v>230</v>
      </c>
      <c r="S402" s="300" t="s">
        <v>12</v>
      </c>
      <c r="T402" s="305" t="s">
        <v>530</v>
      </c>
      <c r="U402" s="305">
        <v>15</v>
      </c>
      <c r="V402" s="305">
        <v>5</v>
      </c>
      <c r="W402" s="303">
        <v>0.7</v>
      </c>
      <c r="X402" s="303">
        <v>0.7</v>
      </c>
      <c r="Y402" s="303">
        <v>0.7</v>
      </c>
      <c r="Z402" s="303">
        <v>1700</v>
      </c>
      <c r="AA402" s="303" t="s">
        <v>531</v>
      </c>
      <c r="AB402" s="303">
        <v>0.85</v>
      </c>
      <c r="AC402" s="303" t="s">
        <v>532</v>
      </c>
      <c r="AD402" s="303" t="s">
        <v>533</v>
      </c>
      <c r="AE402" s="303">
        <v>220</v>
      </c>
      <c r="AF402" s="133"/>
      <c r="AG402" s="322"/>
    </row>
    <row r="403" spans="1:33" ht="15.75">
      <c r="A403" s="302" t="s">
        <v>606</v>
      </c>
      <c r="B403" s="303">
        <v>16</v>
      </c>
      <c r="C403" s="303">
        <v>196</v>
      </c>
      <c r="D403" s="303" t="s">
        <v>581</v>
      </c>
      <c r="E403" s="303">
        <v>1.5</v>
      </c>
      <c r="F403" s="304">
        <v>45415.709722222222</v>
      </c>
      <c r="G403" s="303">
        <v>1</v>
      </c>
      <c r="H403" s="303">
        <v>51.370800000000003</v>
      </c>
      <c r="I403" s="303">
        <v>7.5581800000000001</v>
      </c>
      <c r="J403" s="303">
        <v>-22.043431000000002</v>
      </c>
      <c r="K403" s="303">
        <v>-21.200900000000001</v>
      </c>
      <c r="L403" s="303">
        <v>970.03399999999999</v>
      </c>
      <c r="M403" s="303">
        <v>113.999537</v>
      </c>
      <c r="N403" s="303">
        <v>17569.611540000002</v>
      </c>
      <c r="O403" s="303">
        <v>17558.003349999999</v>
      </c>
      <c r="P403" s="305">
        <v>2061.0768939999998</v>
      </c>
      <c r="Q403" s="299">
        <f t="shared" si="1"/>
        <v>2061.0768939999998</v>
      </c>
      <c r="R403" s="300" t="s">
        <v>230</v>
      </c>
      <c r="S403" s="300" t="s">
        <v>12</v>
      </c>
      <c r="T403" s="305" t="s">
        <v>530</v>
      </c>
      <c r="U403" s="305">
        <v>15</v>
      </c>
      <c r="V403" s="305">
        <v>5</v>
      </c>
      <c r="W403" s="303">
        <v>0.7</v>
      </c>
      <c r="X403" s="303">
        <v>0.7</v>
      </c>
      <c r="Y403" s="303">
        <v>0.7</v>
      </c>
      <c r="Z403" s="303">
        <v>1700</v>
      </c>
      <c r="AA403" s="303" t="s">
        <v>531</v>
      </c>
      <c r="AB403" s="303">
        <v>0.85</v>
      </c>
      <c r="AC403" s="303" t="s">
        <v>532</v>
      </c>
      <c r="AD403" s="303" t="s">
        <v>533</v>
      </c>
      <c r="AE403" s="303">
        <v>220</v>
      </c>
      <c r="AF403" s="133"/>
      <c r="AG403" s="322"/>
    </row>
    <row r="404" spans="1:33" ht="15.75">
      <c r="A404" s="302" t="s">
        <v>607</v>
      </c>
      <c r="B404" s="303">
        <v>16</v>
      </c>
      <c r="C404" s="303">
        <v>196</v>
      </c>
      <c r="D404" s="303" t="s">
        <v>581</v>
      </c>
      <c r="E404" s="303">
        <v>1.5</v>
      </c>
      <c r="F404" s="304">
        <v>45415.713194444441</v>
      </c>
      <c r="G404" s="303">
        <v>1</v>
      </c>
      <c r="H404" s="303">
        <v>51.374099999999999</v>
      </c>
      <c r="I404" s="303">
        <v>7.5841900000000004</v>
      </c>
      <c r="J404" s="303">
        <v>-22.074649999999998</v>
      </c>
      <c r="K404" s="303">
        <v>-21.261312</v>
      </c>
      <c r="L404" s="303">
        <v>973.178</v>
      </c>
      <c r="M404" s="303">
        <v>122.999515</v>
      </c>
      <c r="N404" s="303">
        <v>17562.628250000002</v>
      </c>
      <c r="O404" s="303">
        <v>17558.003349999999</v>
      </c>
      <c r="P404" s="305">
        <v>2061.0768939999998</v>
      </c>
      <c r="Q404" s="299">
        <f t="shared" si="1"/>
        <v>2061.0768939999998</v>
      </c>
      <c r="R404" s="300" t="s">
        <v>230</v>
      </c>
      <c r="S404" s="300" t="s">
        <v>12</v>
      </c>
      <c r="T404" s="305" t="s">
        <v>530</v>
      </c>
      <c r="U404" s="305">
        <v>15</v>
      </c>
      <c r="V404" s="305">
        <v>5</v>
      </c>
      <c r="W404" s="303">
        <v>0.7</v>
      </c>
      <c r="X404" s="303">
        <v>0.7</v>
      </c>
      <c r="Y404" s="303">
        <v>0.7</v>
      </c>
      <c r="Z404" s="303">
        <v>1700</v>
      </c>
      <c r="AA404" s="303" t="s">
        <v>531</v>
      </c>
      <c r="AB404" s="303">
        <v>0.85</v>
      </c>
      <c r="AC404" s="303" t="s">
        <v>532</v>
      </c>
      <c r="AD404" s="303" t="s">
        <v>533</v>
      </c>
      <c r="AE404" s="303">
        <v>220</v>
      </c>
      <c r="AF404" s="133"/>
      <c r="AG404" s="322"/>
    </row>
    <row r="405" spans="1:33" ht="15.75">
      <c r="A405" s="302" t="s">
        <v>608</v>
      </c>
      <c r="B405" s="303">
        <v>16</v>
      </c>
      <c r="C405" s="303">
        <v>196</v>
      </c>
      <c r="D405" s="303" t="s">
        <v>581</v>
      </c>
      <c r="E405" s="303">
        <v>1.5</v>
      </c>
      <c r="F405" s="304">
        <v>45415.716666666667</v>
      </c>
      <c r="G405" s="303">
        <v>1</v>
      </c>
      <c r="H405" s="303">
        <v>51.370800000000003</v>
      </c>
      <c r="I405" s="303">
        <v>7.5807900000000004</v>
      </c>
      <c r="J405" s="303">
        <v>-22.068881000000001</v>
      </c>
      <c r="K405" s="303">
        <v>-21.220806</v>
      </c>
      <c r="L405" s="303">
        <v>958.94100000000003</v>
      </c>
      <c r="M405" s="303">
        <v>129.500618</v>
      </c>
      <c r="N405" s="303">
        <v>17541.770260000001</v>
      </c>
      <c r="O405" s="303">
        <v>17558.003349999999</v>
      </c>
      <c r="P405" s="305">
        <v>2061.0768939999998</v>
      </c>
      <c r="Q405" s="299">
        <f t="shared" si="1"/>
        <v>2061.0768939999998</v>
      </c>
      <c r="R405" s="300" t="s">
        <v>230</v>
      </c>
      <c r="S405" s="300" t="s">
        <v>12</v>
      </c>
      <c r="T405" s="305" t="s">
        <v>530</v>
      </c>
      <c r="U405" s="305">
        <v>15</v>
      </c>
      <c r="V405" s="305">
        <v>5</v>
      </c>
      <c r="W405" s="303">
        <v>0.7</v>
      </c>
      <c r="X405" s="303">
        <v>0.7</v>
      </c>
      <c r="Y405" s="303">
        <v>0.7</v>
      </c>
      <c r="Z405" s="303">
        <v>1700</v>
      </c>
      <c r="AA405" s="303" t="s">
        <v>531</v>
      </c>
      <c r="AB405" s="303">
        <v>0.85</v>
      </c>
      <c r="AC405" s="303" t="s">
        <v>532</v>
      </c>
      <c r="AD405" s="303" t="s">
        <v>533</v>
      </c>
      <c r="AE405" s="303">
        <v>220</v>
      </c>
      <c r="AF405" s="133"/>
      <c r="AG405" s="322"/>
    </row>
    <row r="406" spans="1:33" ht="15.75">
      <c r="A406" s="302" t="s">
        <v>610</v>
      </c>
      <c r="B406" s="303">
        <v>17</v>
      </c>
      <c r="C406" s="303">
        <v>197</v>
      </c>
      <c r="D406" s="303" t="s">
        <v>594</v>
      </c>
      <c r="E406" s="303">
        <v>1.5</v>
      </c>
      <c r="F406" s="304">
        <v>45415.720833333333</v>
      </c>
      <c r="G406" s="303">
        <v>1</v>
      </c>
      <c r="H406" s="303">
        <v>51.370800000000003</v>
      </c>
      <c r="I406" s="303">
        <v>7.6946599999999998</v>
      </c>
      <c r="J406" s="303">
        <v>-22.126369</v>
      </c>
      <c r="K406" s="303">
        <v>-21.277094000000002</v>
      </c>
      <c r="L406" s="303">
        <v>995.25599999999997</v>
      </c>
      <c r="M406" s="303">
        <v>225.00068400000001</v>
      </c>
      <c r="N406" s="303">
        <v>17783.76326</v>
      </c>
      <c r="O406" s="303">
        <v>17744.36347</v>
      </c>
      <c r="P406" s="305">
        <v>2082.891024</v>
      </c>
      <c r="Q406" s="299">
        <f t="shared" si="1"/>
        <v>2082.891024</v>
      </c>
      <c r="R406" s="300" t="s">
        <v>230</v>
      </c>
      <c r="S406" s="300" t="s">
        <v>12</v>
      </c>
      <c r="T406" s="305" t="s">
        <v>545</v>
      </c>
      <c r="U406" s="305">
        <v>15</v>
      </c>
      <c r="V406" s="305">
        <v>5</v>
      </c>
      <c r="W406" s="303">
        <v>0.7</v>
      </c>
      <c r="X406" s="303">
        <v>0.7</v>
      </c>
      <c r="Y406" s="303">
        <v>0.7</v>
      </c>
      <c r="Z406" s="303">
        <v>1700</v>
      </c>
      <c r="AA406" s="303" t="s">
        <v>531</v>
      </c>
      <c r="AB406" s="303">
        <v>0.85</v>
      </c>
      <c r="AC406" s="303" t="s">
        <v>532</v>
      </c>
      <c r="AD406" s="303" t="s">
        <v>533</v>
      </c>
      <c r="AE406" s="303">
        <v>220</v>
      </c>
      <c r="AF406" s="133"/>
      <c r="AG406" s="322"/>
    </row>
    <row r="407" spans="1:33" ht="15.75">
      <c r="A407" s="302" t="s">
        <v>611</v>
      </c>
      <c r="B407" s="303">
        <v>17</v>
      </c>
      <c r="C407" s="303">
        <v>197</v>
      </c>
      <c r="D407" s="303" t="s">
        <v>594</v>
      </c>
      <c r="E407" s="303">
        <v>1.5</v>
      </c>
      <c r="F407" s="304">
        <v>45415.725694444445</v>
      </c>
      <c r="G407" s="303">
        <v>1</v>
      </c>
      <c r="H407" s="303">
        <v>51.374099999999999</v>
      </c>
      <c r="I407" s="303">
        <v>7.5646500000000003</v>
      </c>
      <c r="J407" s="303">
        <v>-22.088394000000001</v>
      </c>
      <c r="K407" s="303">
        <v>-21.241918999999999</v>
      </c>
      <c r="L407" s="303">
        <v>977.68399999999997</v>
      </c>
      <c r="M407" s="303">
        <v>123.999779</v>
      </c>
      <c r="N407" s="303">
        <v>17733.781190000002</v>
      </c>
      <c r="O407" s="303">
        <v>17744.36347</v>
      </c>
      <c r="P407" s="305">
        <v>2082.891024</v>
      </c>
      <c r="Q407" s="299">
        <f t="shared" si="1"/>
        <v>2082.891024</v>
      </c>
      <c r="R407" s="300" t="s">
        <v>230</v>
      </c>
      <c r="S407" s="300" t="s">
        <v>12</v>
      </c>
      <c r="T407" s="305" t="s">
        <v>530</v>
      </c>
      <c r="U407" s="305">
        <v>15</v>
      </c>
      <c r="V407" s="305">
        <v>5</v>
      </c>
      <c r="W407" s="303">
        <v>0.7</v>
      </c>
      <c r="X407" s="303">
        <v>0.7</v>
      </c>
      <c r="Y407" s="303">
        <v>0.7</v>
      </c>
      <c r="Z407" s="303">
        <v>1700</v>
      </c>
      <c r="AA407" s="303" t="s">
        <v>531</v>
      </c>
      <c r="AB407" s="303">
        <v>0.85</v>
      </c>
      <c r="AC407" s="303" t="s">
        <v>532</v>
      </c>
      <c r="AD407" s="303" t="s">
        <v>533</v>
      </c>
      <c r="AE407" s="303">
        <v>220</v>
      </c>
      <c r="AF407" s="133"/>
      <c r="AG407" s="322"/>
    </row>
    <row r="408" spans="1:33" ht="15.75">
      <c r="A408" s="302" t="s">
        <v>612</v>
      </c>
      <c r="B408" s="303">
        <v>17</v>
      </c>
      <c r="C408" s="303">
        <v>197</v>
      </c>
      <c r="D408" s="303" t="s">
        <v>594</v>
      </c>
      <c r="E408" s="303">
        <v>1.5</v>
      </c>
      <c r="F408" s="304">
        <v>45415.729166666664</v>
      </c>
      <c r="G408" s="303">
        <v>1</v>
      </c>
      <c r="H408" s="303">
        <v>51.374099999999999</v>
      </c>
      <c r="I408" s="303">
        <v>7.6797899999999997</v>
      </c>
      <c r="J408" s="303">
        <v>-22.200700000000001</v>
      </c>
      <c r="K408" s="303">
        <v>-21.412575</v>
      </c>
      <c r="L408" s="303">
        <v>973.78399999999999</v>
      </c>
      <c r="M408" s="303">
        <v>170.49991499999999</v>
      </c>
      <c r="N408" s="303">
        <v>17761.270339999999</v>
      </c>
      <c r="O408" s="303">
        <v>17744.36347</v>
      </c>
      <c r="P408" s="305">
        <v>2082.891024</v>
      </c>
      <c r="Q408" s="299">
        <f t="shared" si="1"/>
        <v>2082.891024</v>
      </c>
      <c r="R408" s="300" t="s">
        <v>230</v>
      </c>
      <c r="S408" s="300" t="s">
        <v>12</v>
      </c>
      <c r="T408" s="305" t="s">
        <v>530</v>
      </c>
      <c r="U408" s="305">
        <v>15</v>
      </c>
      <c r="V408" s="305">
        <v>5</v>
      </c>
      <c r="W408" s="303">
        <v>0.7</v>
      </c>
      <c r="X408" s="303">
        <v>0.7</v>
      </c>
      <c r="Y408" s="303">
        <v>0.7</v>
      </c>
      <c r="Z408" s="303">
        <v>1700</v>
      </c>
      <c r="AA408" s="303" t="s">
        <v>531</v>
      </c>
      <c r="AB408" s="303">
        <v>0.85</v>
      </c>
      <c r="AC408" s="303" t="s">
        <v>532</v>
      </c>
      <c r="AD408" s="303" t="s">
        <v>533</v>
      </c>
      <c r="AE408" s="303">
        <v>220</v>
      </c>
      <c r="AF408" s="133"/>
      <c r="AG408" s="322"/>
    </row>
    <row r="409" spans="1:33" ht="15.75">
      <c r="A409" s="302" t="s">
        <v>613</v>
      </c>
      <c r="B409" s="303">
        <v>17</v>
      </c>
      <c r="C409" s="303">
        <v>197</v>
      </c>
      <c r="D409" s="303" t="s">
        <v>594</v>
      </c>
      <c r="E409" s="303">
        <v>1.5</v>
      </c>
      <c r="F409" s="304">
        <v>45415.73333333333</v>
      </c>
      <c r="G409" s="303">
        <v>1</v>
      </c>
      <c r="H409" s="303">
        <v>51.377400000000002</v>
      </c>
      <c r="I409" s="303">
        <v>7.60616</v>
      </c>
      <c r="J409" s="303">
        <v>-22.043281</v>
      </c>
      <c r="K409" s="303">
        <v>-21.248180999999999</v>
      </c>
      <c r="L409" s="303">
        <v>974.71699999999998</v>
      </c>
      <c r="M409" s="303">
        <v>173.49996899999999</v>
      </c>
      <c r="N409" s="303">
        <v>17738.03889</v>
      </c>
      <c r="O409" s="303">
        <v>17744.36347</v>
      </c>
      <c r="P409" s="305">
        <v>2082.891024</v>
      </c>
      <c r="Q409" s="299">
        <f t="shared" si="1"/>
        <v>2082.891024</v>
      </c>
      <c r="R409" s="300" t="s">
        <v>230</v>
      </c>
      <c r="S409" s="300" t="s">
        <v>12</v>
      </c>
      <c r="T409" s="305" t="s">
        <v>530</v>
      </c>
      <c r="U409" s="305">
        <v>15</v>
      </c>
      <c r="V409" s="305">
        <v>5</v>
      </c>
      <c r="W409" s="303">
        <v>0.7</v>
      </c>
      <c r="X409" s="303">
        <v>0.7</v>
      </c>
      <c r="Y409" s="303">
        <v>0.7</v>
      </c>
      <c r="Z409" s="303">
        <v>1700</v>
      </c>
      <c r="AA409" s="303" t="s">
        <v>531</v>
      </c>
      <c r="AB409" s="303">
        <v>0.85</v>
      </c>
      <c r="AC409" s="303" t="s">
        <v>532</v>
      </c>
      <c r="AD409" s="303" t="s">
        <v>533</v>
      </c>
      <c r="AE409" s="303">
        <v>220</v>
      </c>
      <c r="AF409" s="133"/>
      <c r="AG409" s="322"/>
    </row>
    <row r="410" spans="1:33" ht="15.75">
      <c r="A410" s="302" t="s">
        <v>614</v>
      </c>
      <c r="B410" s="303">
        <v>18</v>
      </c>
      <c r="C410" s="303">
        <v>443</v>
      </c>
      <c r="D410" s="303" t="s">
        <v>598</v>
      </c>
      <c r="E410" s="303">
        <v>1.5</v>
      </c>
      <c r="F410" s="304">
        <v>45415.738194444442</v>
      </c>
      <c r="G410" s="303">
        <v>1</v>
      </c>
      <c r="H410" s="303">
        <v>51.374099999999999</v>
      </c>
      <c r="I410" s="303">
        <v>7.6574</v>
      </c>
      <c r="J410" s="303">
        <v>-22.099712</v>
      </c>
      <c r="K410" s="303">
        <v>-21.286999999999999</v>
      </c>
      <c r="L410" s="303">
        <v>966.197</v>
      </c>
      <c r="M410" s="303">
        <v>166.49961500000001</v>
      </c>
      <c r="N410" s="303">
        <v>17582.74785</v>
      </c>
      <c r="O410" s="303">
        <v>17575.051490000002</v>
      </c>
      <c r="P410" s="305">
        <v>2063.0670460000001</v>
      </c>
      <c r="Q410" s="299">
        <f t="shared" si="1"/>
        <v>2063.0670460000001</v>
      </c>
      <c r="R410" s="300" t="s">
        <v>230</v>
      </c>
      <c r="S410" s="300" t="s">
        <v>12</v>
      </c>
      <c r="T410" s="305" t="s">
        <v>530</v>
      </c>
      <c r="U410" s="305">
        <v>15</v>
      </c>
      <c r="V410" s="305">
        <v>5</v>
      </c>
      <c r="W410" s="303">
        <v>0.7</v>
      </c>
      <c r="X410" s="303">
        <v>0.7</v>
      </c>
      <c r="Y410" s="303">
        <v>0.7</v>
      </c>
      <c r="Z410" s="303">
        <v>1700</v>
      </c>
      <c r="AA410" s="303" t="s">
        <v>531</v>
      </c>
      <c r="AB410" s="303">
        <v>0.85</v>
      </c>
      <c r="AC410" s="303" t="s">
        <v>532</v>
      </c>
      <c r="AD410" s="303" t="s">
        <v>533</v>
      </c>
      <c r="AE410" s="303">
        <v>220</v>
      </c>
      <c r="AF410" s="133"/>
      <c r="AG410" s="322"/>
    </row>
    <row r="411" spans="1:33" ht="15.75">
      <c r="A411" s="302" t="s">
        <v>615</v>
      </c>
      <c r="B411" s="303">
        <v>18</v>
      </c>
      <c r="C411" s="303">
        <v>443</v>
      </c>
      <c r="D411" s="303" t="s">
        <v>598</v>
      </c>
      <c r="E411" s="303">
        <v>1.5</v>
      </c>
      <c r="F411" s="304">
        <v>45415.742361111108</v>
      </c>
      <c r="G411" s="303">
        <v>1</v>
      </c>
      <c r="H411" s="303">
        <v>51.370800000000003</v>
      </c>
      <c r="I411" s="303">
        <v>7.5523499999999997</v>
      </c>
      <c r="J411" s="303">
        <v>-22.062856</v>
      </c>
      <c r="K411" s="303">
        <v>-21.234956</v>
      </c>
      <c r="L411" s="303">
        <v>976.351</v>
      </c>
      <c r="M411" s="303">
        <v>136.99969200000001</v>
      </c>
      <c r="N411" s="303">
        <v>17566.982370000002</v>
      </c>
      <c r="O411" s="303">
        <v>17575.051490000002</v>
      </c>
      <c r="P411" s="305">
        <v>2063.0670460000001</v>
      </c>
      <c r="Q411" s="299">
        <f t="shared" si="1"/>
        <v>2063.0670460000001</v>
      </c>
      <c r="R411" s="300" t="s">
        <v>230</v>
      </c>
      <c r="S411" s="300" t="s">
        <v>12</v>
      </c>
      <c r="T411" s="305" t="s">
        <v>530</v>
      </c>
      <c r="U411" s="305">
        <v>15</v>
      </c>
      <c r="V411" s="305">
        <v>5</v>
      </c>
      <c r="W411" s="303">
        <v>0.7</v>
      </c>
      <c r="X411" s="303">
        <v>0.7</v>
      </c>
      <c r="Y411" s="303">
        <v>0.7</v>
      </c>
      <c r="Z411" s="303">
        <v>1700</v>
      </c>
      <c r="AA411" s="303" t="s">
        <v>531</v>
      </c>
      <c r="AB411" s="303">
        <v>0.85</v>
      </c>
      <c r="AC411" s="303" t="s">
        <v>532</v>
      </c>
      <c r="AD411" s="303" t="s">
        <v>533</v>
      </c>
      <c r="AE411" s="303">
        <v>220</v>
      </c>
      <c r="AF411" s="133"/>
      <c r="AG411" s="322"/>
    </row>
    <row r="412" spans="1:33" ht="15.75">
      <c r="A412" s="302" t="s">
        <v>616</v>
      </c>
      <c r="B412" s="303">
        <v>18</v>
      </c>
      <c r="C412" s="303">
        <v>443</v>
      </c>
      <c r="D412" s="303" t="s">
        <v>598</v>
      </c>
      <c r="E412" s="303">
        <v>1.5</v>
      </c>
      <c r="F412" s="304">
        <v>45415.745833333334</v>
      </c>
      <c r="G412" s="303">
        <v>1</v>
      </c>
      <c r="H412" s="303">
        <v>51.377400000000002</v>
      </c>
      <c r="I412" s="303">
        <v>7.6021299999999998</v>
      </c>
      <c r="J412" s="303">
        <v>-22.063037999999999</v>
      </c>
      <c r="K412" s="303">
        <v>-21.214569000000001</v>
      </c>
      <c r="L412" s="303">
        <v>980.24400000000003</v>
      </c>
      <c r="M412" s="303">
        <v>125.49953499999999</v>
      </c>
      <c r="N412" s="303">
        <v>17575.42426</v>
      </c>
      <c r="O412" s="303">
        <v>17575.051490000002</v>
      </c>
      <c r="P412" s="305">
        <v>2063.0670460000001</v>
      </c>
      <c r="Q412" s="299">
        <f t="shared" si="1"/>
        <v>2063.0670460000001</v>
      </c>
      <c r="R412" s="300" t="s">
        <v>230</v>
      </c>
      <c r="S412" s="300" t="s">
        <v>12</v>
      </c>
      <c r="T412" s="305" t="s">
        <v>530</v>
      </c>
      <c r="U412" s="305">
        <v>15</v>
      </c>
      <c r="V412" s="305">
        <v>5</v>
      </c>
      <c r="W412" s="303">
        <v>0.7</v>
      </c>
      <c r="X412" s="303">
        <v>0.7</v>
      </c>
      <c r="Y412" s="303">
        <v>0.7</v>
      </c>
      <c r="Z412" s="303">
        <v>1700</v>
      </c>
      <c r="AA412" s="303" t="s">
        <v>531</v>
      </c>
      <c r="AB412" s="303">
        <v>0.85</v>
      </c>
      <c r="AC412" s="303" t="s">
        <v>532</v>
      </c>
      <c r="AD412" s="303" t="s">
        <v>533</v>
      </c>
      <c r="AE412" s="303">
        <v>220</v>
      </c>
      <c r="AF412" s="133"/>
      <c r="AG412" s="322"/>
    </row>
    <row r="413" spans="1:33" ht="15.75">
      <c r="A413" s="302" t="s">
        <v>617</v>
      </c>
      <c r="B413" s="303">
        <v>19</v>
      </c>
      <c r="C413" s="303">
        <v>444</v>
      </c>
      <c r="D413" s="303" t="s">
        <v>603</v>
      </c>
      <c r="E413" s="303">
        <v>1.5</v>
      </c>
      <c r="F413" s="304">
        <v>45415.75</v>
      </c>
      <c r="G413" s="303">
        <v>1</v>
      </c>
      <c r="H413" s="303">
        <v>51.374099999999999</v>
      </c>
      <c r="I413" s="303">
        <v>7.5736600000000003</v>
      </c>
      <c r="J413" s="303">
        <v>-22.056574999999999</v>
      </c>
      <c r="K413" s="303">
        <v>-21.209875</v>
      </c>
      <c r="L413" s="303">
        <v>988.298</v>
      </c>
      <c r="M413" s="303">
        <v>127.999512</v>
      </c>
      <c r="N413" s="303">
        <v>17721.045419999999</v>
      </c>
      <c r="O413" s="303">
        <v>17769.151330000001</v>
      </c>
      <c r="P413" s="305">
        <v>2085.7983610000001</v>
      </c>
      <c r="Q413" s="299">
        <f t="shared" si="1"/>
        <v>2085.7983610000001</v>
      </c>
      <c r="R413" s="300" t="s">
        <v>230</v>
      </c>
      <c r="S413" s="300" t="s">
        <v>12</v>
      </c>
      <c r="T413" s="305" t="s">
        <v>545</v>
      </c>
      <c r="U413" s="305">
        <v>15</v>
      </c>
      <c r="V413" s="305">
        <v>5</v>
      </c>
      <c r="W413" s="303">
        <v>0.7</v>
      </c>
      <c r="X413" s="303">
        <v>0.7</v>
      </c>
      <c r="Y413" s="303">
        <v>0.7</v>
      </c>
      <c r="Z413" s="303">
        <v>1700</v>
      </c>
      <c r="AA413" s="303" t="s">
        <v>531</v>
      </c>
      <c r="AB413" s="303">
        <v>0.85</v>
      </c>
      <c r="AC413" s="303" t="s">
        <v>532</v>
      </c>
      <c r="AD413" s="303" t="s">
        <v>533</v>
      </c>
      <c r="AE413" s="303">
        <v>220</v>
      </c>
      <c r="AF413" s="133"/>
      <c r="AG413" s="322"/>
    </row>
    <row r="414" spans="1:33" ht="15.75">
      <c r="A414" s="302" t="s">
        <v>618</v>
      </c>
      <c r="B414" s="303">
        <v>19</v>
      </c>
      <c r="C414" s="303">
        <v>444</v>
      </c>
      <c r="D414" s="303" t="s">
        <v>603</v>
      </c>
      <c r="E414" s="303">
        <v>1.5</v>
      </c>
      <c r="F414" s="304">
        <v>45415.753472222219</v>
      </c>
      <c r="G414" s="303">
        <v>1</v>
      </c>
      <c r="H414" s="303">
        <v>51.3675</v>
      </c>
      <c r="I414" s="303">
        <v>7.6221399999999999</v>
      </c>
      <c r="J414" s="303">
        <v>-22.149674999999998</v>
      </c>
      <c r="K414" s="303">
        <v>-21.307713</v>
      </c>
      <c r="L414" s="303">
        <v>980.56200000000001</v>
      </c>
      <c r="M414" s="303">
        <v>152.000675</v>
      </c>
      <c r="N414" s="303">
        <v>17734.327069999999</v>
      </c>
      <c r="O414" s="303">
        <v>17769.151330000001</v>
      </c>
      <c r="P414" s="305">
        <v>2085.7983610000001</v>
      </c>
      <c r="Q414" s="299">
        <f t="shared" si="1"/>
        <v>2085.7983610000001</v>
      </c>
      <c r="R414" s="300" t="s">
        <v>230</v>
      </c>
      <c r="S414" s="300" t="s">
        <v>12</v>
      </c>
      <c r="T414" s="305" t="s">
        <v>545</v>
      </c>
      <c r="U414" s="305">
        <v>15</v>
      </c>
      <c r="V414" s="305">
        <v>5</v>
      </c>
      <c r="W414" s="303">
        <v>0.7</v>
      </c>
      <c r="X414" s="303">
        <v>0.7</v>
      </c>
      <c r="Y414" s="303">
        <v>0.7</v>
      </c>
      <c r="Z414" s="303">
        <v>1700</v>
      </c>
      <c r="AA414" s="303" t="s">
        <v>531</v>
      </c>
      <c r="AB414" s="303">
        <v>0.85</v>
      </c>
      <c r="AC414" s="303" t="s">
        <v>532</v>
      </c>
      <c r="AD414" s="303" t="s">
        <v>533</v>
      </c>
      <c r="AE414" s="303">
        <v>220</v>
      </c>
      <c r="AF414" s="133"/>
      <c r="AG414" s="322"/>
    </row>
    <row r="415" spans="1:33" ht="15.75">
      <c r="A415" s="302" t="s">
        <v>619</v>
      </c>
      <c r="B415" s="303">
        <v>19</v>
      </c>
      <c r="C415" s="303">
        <v>444</v>
      </c>
      <c r="D415" s="303" t="s">
        <v>603</v>
      </c>
      <c r="E415" s="303">
        <v>1.5</v>
      </c>
      <c r="F415" s="304">
        <v>45415.757638888892</v>
      </c>
      <c r="G415" s="303">
        <v>1</v>
      </c>
      <c r="H415" s="303">
        <v>51.370800000000003</v>
      </c>
      <c r="I415" s="303">
        <v>7.6505200000000002</v>
      </c>
      <c r="J415" s="303">
        <v>-22.095193999999999</v>
      </c>
      <c r="K415" s="303">
        <v>-21.257974999999998</v>
      </c>
      <c r="L415" s="303">
        <v>994.60500000000002</v>
      </c>
      <c r="M415" s="303">
        <v>204.500257</v>
      </c>
      <c r="N415" s="303">
        <v>17773.308270000001</v>
      </c>
      <c r="O415" s="303">
        <v>17769.151330000001</v>
      </c>
      <c r="P415" s="305">
        <v>2085.7983610000001</v>
      </c>
      <c r="Q415" s="299">
        <f t="shared" si="1"/>
        <v>2085.7983610000001</v>
      </c>
      <c r="R415" s="300" t="s">
        <v>230</v>
      </c>
      <c r="S415" s="300" t="s">
        <v>12</v>
      </c>
      <c r="T415" s="305" t="s">
        <v>530</v>
      </c>
      <c r="U415" s="305">
        <v>15</v>
      </c>
      <c r="V415" s="305">
        <v>5</v>
      </c>
      <c r="W415" s="303">
        <v>0.7</v>
      </c>
      <c r="X415" s="303">
        <v>0.7</v>
      </c>
      <c r="Y415" s="303">
        <v>0.7</v>
      </c>
      <c r="Z415" s="303">
        <v>1700</v>
      </c>
      <c r="AA415" s="303" t="s">
        <v>531</v>
      </c>
      <c r="AB415" s="303">
        <v>0.85</v>
      </c>
      <c r="AC415" s="303" t="s">
        <v>532</v>
      </c>
      <c r="AD415" s="303" t="s">
        <v>533</v>
      </c>
      <c r="AE415" s="303">
        <v>220</v>
      </c>
      <c r="AF415" s="133"/>
      <c r="AG415" s="322"/>
    </row>
    <row r="416" spans="1:33" ht="15.75">
      <c r="A416" s="302" t="s">
        <v>620</v>
      </c>
      <c r="B416" s="303">
        <v>19</v>
      </c>
      <c r="C416" s="303">
        <v>444</v>
      </c>
      <c r="D416" s="303" t="s">
        <v>603</v>
      </c>
      <c r="E416" s="303">
        <v>1.5</v>
      </c>
      <c r="F416" s="304">
        <v>45415.761805555558</v>
      </c>
      <c r="G416" s="303">
        <v>1</v>
      </c>
      <c r="H416" s="303">
        <v>51.374099999999999</v>
      </c>
      <c r="I416" s="303">
        <v>7.6345499999999999</v>
      </c>
      <c r="J416" s="303">
        <v>-22.115188</v>
      </c>
      <c r="K416" s="303">
        <v>-21.284375000000001</v>
      </c>
      <c r="L416" s="303">
        <v>980.42499999999995</v>
      </c>
      <c r="M416" s="303">
        <v>151.00008500000001</v>
      </c>
      <c r="N416" s="303">
        <v>17760.495920000001</v>
      </c>
      <c r="O416" s="303">
        <v>17769.151330000001</v>
      </c>
      <c r="P416" s="305">
        <v>2085.7983610000001</v>
      </c>
      <c r="Q416" s="299">
        <f t="shared" si="1"/>
        <v>2085.7983610000001</v>
      </c>
      <c r="R416" s="300" t="s">
        <v>230</v>
      </c>
      <c r="S416" s="300" t="s">
        <v>12</v>
      </c>
      <c r="T416" s="305" t="s">
        <v>530</v>
      </c>
      <c r="U416" s="305">
        <v>15</v>
      </c>
      <c r="V416" s="305">
        <v>5</v>
      </c>
      <c r="W416" s="303">
        <v>0.7</v>
      </c>
      <c r="X416" s="303">
        <v>0.7</v>
      </c>
      <c r="Y416" s="303">
        <v>0.7</v>
      </c>
      <c r="Z416" s="303">
        <v>1700</v>
      </c>
      <c r="AA416" s="303" t="s">
        <v>531</v>
      </c>
      <c r="AB416" s="303">
        <v>0.85</v>
      </c>
      <c r="AC416" s="303" t="s">
        <v>532</v>
      </c>
      <c r="AD416" s="303" t="s">
        <v>533</v>
      </c>
      <c r="AE416" s="303">
        <v>220</v>
      </c>
      <c r="AF416" s="133"/>
      <c r="AG416" s="322"/>
    </row>
    <row r="417" spans="1:33" ht="15.75">
      <c r="A417" s="302" t="s">
        <v>621</v>
      </c>
      <c r="B417" s="303">
        <v>19</v>
      </c>
      <c r="C417" s="303">
        <v>444</v>
      </c>
      <c r="D417" s="303" t="s">
        <v>603</v>
      </c>
      <c r="E417" s="303">
        <v>1.5</v>
      </c>
      <c r="F417" s="304">
        <v>45415.765972222223</v>
      </c>
      <c r="G417" s="303">
        <v>1</v>
      </c>
      <c r="H417" s="303">
        <v>51.377400000000002</v>
      </c>
      <c r="I417" s="303">
        <v>7.6166099999999997</v>
      </c>
      <c r="J417" s="303">
        <v>-22.101293999999999</v>
      </c>
      <c r="K417" s="303">
        <v>-21.318963</v>
      </c>
      <c r="L417" s="303">
        <v>987.30200000000002</v>
      </c>
      <c r="M417" s="303">
        <v>196.99859599999999</v>
      </c>
      <c r="N417" s="303">
        <v>17773.649789999999</v>
      </c>
      <c r="O417" s="303">
        <v>17769.151330000001</v>
      </c>
      <c r="P417" s="305">
        <v>2085.7983610000001</v>
      </c>
      <c r="Q417" s="299">
        <f t="shared" si="1"/>
        <v>2085.7983610000001</v>
      </c>
      <c r="R417" s="300" t="s">
        <v>230</v>
      </c>
      <c r="S417" s="300" t="s">
        <v>12</v>
      </c>
      <c r="T417" s="305" t="s">
        <v>530</v>
      </c>
      <c r="U417" s="305">
        <v>15</v>
      </c>
      <c r="V417" s="305">
        <v>5</v>
      </c>
      <c r="W417" s="303">
        <v>0.7</v>
      </c>
      <c r="X417" s="303">
        <v>0.7</v>
      </c>
      <c r="Y417" s="303">
        <v>0.7</v>
      </c>
      <c r="Z417" s="303">
        <v>1700</v>
      </c>
      <c r="AA417" s="303" t="s">
        <v>531</v>
      </c>
      <c r="AB417" s="303">
        <v>0.85</v>
      </c>
      <c r="AC417" s="303" t="s">
        <v>532</v>
      </c>
      <c r="AD417" s="303" t="s">
        <v>533</v>
      </c>
      <c r="AE417" s="303">
        <v>220</v>
      </c>
      <c r="AF417" s="133"/>
      <c r="AG417" s="322"/>
    </row>
    <row r="418" spans="1:33" ht="15.75">
      <c r="A418" s="308" t="s">
        <v>627</v>
      </c>
      <c r="B418" s="309">
        <v>20</v>
      </c>
      <c r="C418" s="309" t="s">
        <v>738</v>
      </c>
      <c r="D418" s="309" t="s">
        <v>529</v>
      </c>
      <c r="E418" s="309">
        <v>1.5</v>
      </c>
      <c r="F418" s="310">
        <v>45415.770833333336</v>
      </c>
      <c r="G418" s="309">
        <v>1</v>
      </c>
      <c r="H418" s="309">
        <v>51.370800000000003</v>
      </c>
      <c r="I418" s="309">
        <v>7.4561900000000003</v>
      </c>
      <c r="J418" s="309">
        <v>-22.127300000000002</v>
      </c>
      <c r="K418" s="309">
        <v>-21.290099999999999</v>
      </c>
      <c r="L418" s="309">
        <v>996.226</v>
      </c>
      <c r="M418" s="309">
        <v>136.49988099999999</v>
      </c>
      <c r="N418" s="309">
        <v>17653.092840000001</v>
      </c>
      <c r="O418" s="309">
        <v>17649.577600000001</v>
      </c>
      <c r="P418" s="311">
        <v>2071.7737059999999</v>
      </c>
      <c r="Q418" s="299">
        <f t="shared" si="1"/>
        <v>2071.7737059999999</v>
      </c>
      <c r="R418" s="300" t="s">
        <v>230</v>
      </c>
      <c r="S418" s="300" t="s">
        <v>12</v>
      </c>
      <c r="T418" s="305" t="s">
        <v>530</v>
      </c>
      <c r="U418" s="305">
        <v>15</v>
      </c>
      <c r="V418" s="305">
        <v>5</v>
      </c>
      <c r="W418" s="303">
        <v>0.7</v>
      </c>
      <c r="X418" s="303">
        <v>0.7</v>
      </c>
      <c r="Y418" s="303">
        <v>0.7</v>
      </c>
      <c r="Z418" s="303">
        <v>1700</v>
      </c>
      <c r="AA418" s="303" t="s">
        <v>531</v>
      </c>
      <c r="AB418" s="303">
        <v>0.85</v>
      </c>
      <c r="AC418" s="303" t="s">
        <v>532</v>
      </c>
      <c r="AD418" s="303" t="s">
        <v>533</v>
      </c>
      <c r="AE418" s="303">
        <v>220</v>
      </c>
      <c r="AF418" s="133"/>
      <c r="AG418" s="322"/>
    </row>
    <row r="419" spans="1:33" ht="15.75">
      <c r="A419" s="308" t="s">
        <v>628</v>
      </c>
      <c r="B419" s="309">
        <v>20</v>
      </c>
      <c r="C419" s="309" t="s">
        <v>738</v>
      </c>
      <c r="D419" s="309" t="s">
        <v>529</v>
      </c>
      <c r="E419" s="309">
        <v>1.5</v>
      </c>
      <c r="F419" s="310">
        <v>45415.774305555555</v>
      </c>
      <c r="G419" s="309">
        <v>1</v>
      </c>
      <c r="H419" s="309">
        <v>51.370800000000003</v>
      </c>
      <c r="I419" s="309">
        <v>7.5372000000000003</v>
      </c>
      <c r="J419" s="309">
        <v>-22.100186999999998</v>
      </c>
      <c r="K419" s="309">
        <v>-21.260643999999999</v>
      </c>
      <c r="L419" s="309">
        <v>976.64099999999996</v>
      </c>
      <c r="M419" s="309">
        <v>122.50075</v>
      </c>
      <c r="N419" s="309">
        <v>17655.518110000001</v>
      </c>
      <c r="O419" s="309">
        <v>17649.577600000001</v>
      </c>
      <c r="P419" s="311">
        <v>2071.7737059999999</v>
      </c>
      <c r="Q419" s="299">
        <f t="shared" si="1"/>
        <v>2071.7737059999999</v>
      </c>
      <c r="R419" s="300" t="s">
        <v>230</v>
      </c>
      <c r="S419" s="300" t="s">
        <v>12</v>
      </c>
      <c r="T419" s="305" t="s">
        <v>530</v>
      </c>
      <c r="U419" s="305">
        <v>15</v>
      </c>
      <c r="V419" s="305">
        <v>5</v>
      </c>
      <c r="W419" s="303">
        <v>0.7</v>
      </c>
      <c r="X419" s="303">
        <v>0.7</v>
      </c>
      <c r="Y419" s="303">
        <v>0.7</v>
      </c>
      <c r="Z419" s="303">
        <v>1700</v>
      </c>
      <c r="AA419" s="303" t="s">
        <v>531</v>
      </c>
      <c r="AB419" s="303">
        <v>0.85</v>
      </c>
      <c r="AC419" s="303" t="s">
        <v>532</v>
      </c>
      <c r="AD419" s="303" t="s">
        <v>533</v>
      </c>
      <c r="AE419" s="303">
        <v>220</v>
      </c>
      <c r="AF419" s="133"/>
      <c r="AG419" s="323"/>
    </row>
    <row r="420" spans="1:33" ht="15.75">
      <c r="A420" s="308" t="s">
        <v>629</v>
      </c>
      <c r="B420" s="309">
        <v>20</v>
      </c>
      <c r="C420" s="309" t="s">
        <v>738</v>
      </c>
      <c r="D420" s="309" t="s">
        <v>529</v>
      </c>
      <c r="E420" s="309">
        <v>1.5</v>
      </c>
      <c r="F420" s="310">
        <v>45415.77847222222</v>
      </c>
      <c r="G420" s="309">
        <v>1</v>
      </c>
      <c r="H420" s="309">
        <v>51.370800000000003</v>
      </c>
      <c r="I420" s="309">
        <v>7.4873500000000002</v>
      </c>
      <c r="J420" s="309">
        <v>-22.058775000000001</v>
      </c>
      <c r="K420" s="309">
        <v>-21.213075</v>
      </c>
      <c r="L420" s="309">
        <v>992.51800000000003</v>
      </c>
      <c r="M420" s="309">
        <v>117.000882</v>
      </c>
      <c r="N420" s="309">
        <v>17640.12184</v>
      </c>
      <c r="O420" s="309">
        <v>17649.577600000001</v>
      </c>
      <c r="P420" s="311">
        <v>2071.7737059999999</v>
      </c>
      <c r="Q420" s="299">
        <f t="shared" si="1"/>
        <v>2071.7737059999999</v>
      </c>
      <c r="R420" s="300" t="s">
        <v>230</v>
      </c>
      <c r="S420" s="300" t="s">
        <v>12</v>
      </c>
      <c r="T420" s="305" t="s">
        <v>530</v>
      </c>
      <c r="U420" s="305">
        <v>15</v>
      </c>
      <c r="V420" s="305">
        <v>5</v>
      </c>
      <c r="W420" s="303">
        <v>0.7</v>
      </c>
      <c r="X420" s="303">
        <v>0.7</v>
      </c>
      <c r="Y420" s="303">
        <v>0.7</v>
      </c>
      <c r="Z420" s="303">
        <v>1700</v>
      </c>
      <c r="AA420" s="303" t="s">
        <v>531</v>
      </c>
      <c r="AB420" s="303">
        <v>0.85</v>
      </c>
      <c r="AC420" s="303" t="s">
        <v>532</v>
      </c>
      <c r="AD420" s="303" t="s">
        <v>533</v>
      </c>
      <c r="AE420" s="303">
        <v>220</v>
      </c>
      <c r="AF420" s="133"/>
      <c r="AG420" s="323"/>
    </row>
    <row r="421" spans="1:33" ht="15.75">
      <c r="A421" s="302" t="s">
        <v>526</v>
      </c>
      <c r="B421" s="303" t="s">
        <v>527</v>
      </c>
      <c r="C421" s="303"/>
      <c r="D421" s="303" t="s">
        <v>529</v>
      </c>
      <c r="E421" s="303">
        <v>1</v>
      </c>
      <c r="F421" s="304">
        <v>45420.443749999999</v>
      </c>
      <c r="G421" s="303">
        <v>1</v>
      </c>
      <c r="H421" s="303">
        <v>51.374099999999999</v>
      </c>
      <c r="I421" s="303">
        <v>13.8736</v>
      </c>
      <c r="J421" s="303">
        <v>-21.213249999999999</v>
      </c>
      <c r="K421" s="303">
        <v>-20.366125</v>
      </c>
      <c r="L421" s="303">
        <v>888.63599999999997</v>
      </c>
      <c r="M421" s="303">
        <v>87.499682000000007</v>
      </c>
      <c r="N421" s="303">
        <v>11453.81186</v>
      </c>
      <c r="O421" s="303">
        <v>11453.81186</v>
      </c>
      <c r="P421" s="305">
        <v>2022.7365090000001</v>
      </c>
      <c r="Q421" s="299">
        <f t="shared" si="1"/>
        <v>2022.7365090000001</v>
      </c>
      <c r="R421" s="300" t="s">
        <v>230</v>
      </c>
      <c r="S421" s="300" t="s">
        <v>12</v>
      </c>
      <c r="T421" s="305" t="s">
        <v>530</v>
      </c>
      <c r="U421" s="305">
        <v>15</v>
      </c>
      <c r="V421" s="305">
        <v>5</v>
      </c>
      <c r="W421" s="303">
        <v>0.7</v>
      </c>
      <c r="X421" s="303">
        <v>0.7</v>
      </c>
      <c r="Y421" s="303">
        <v>0.7</v>
      </c>
      <c r="Z421" s="303">
        <v>1700</v>
      </c>
      <c r="AA421" s="303" t="s">
        <v>531</v>
      </c>
      <c r="AB421" s="303">
        <v>0.85</v>
      </c>
      <c r="AC421" s="303" t="s">
        <v>532</v>
      </c>
      <c r="AD421" s="303" t="s">
        <v>533</v>
      </c>
      <c r="AE421" s="303">
        <v>220</v>
      </c>
      <c r="AF421" s="133"/>
      <c r="AG421" s="322"/>
    </row>
    <row r="422" spans="1:33" ht="15.75">
      <c r="A422" s="302" t="s">
        <v>534</v>
      </c>
      <c r="B422" s="303" t="s">
        <v>527</v>
      </c>
      <c r="C422" s="303"/>
      <c r="D422" s="303" t="s">
        <v>529</v>
      </c>
      <c r="E422" s="303">
        <v>1</v>
      </c>
      <c r="F422" s="304">
        <v>45420.446527777778</v>
      </c>
      <c r="G422" s="303">
        <v>1</v>
      </c>
      <c r="H422" s="303">
        <v>51.374099999999999</v>
      </c>
      <c r="I422" s="303">
        <v>12.9214</v>
      </c>
      <c r="J422" s="303">
        <v>-21.546056</v>
      </c>
      <c r="K422" s="303">
        <v>-20.717338000000002</v>
      </c>
      <c r="L422" s="303">
        <v>893.45600000000002</v>
      </c>
      <c r="M422" s="303">
        <v>90.000011000000001</v>
      </c>
      <c r="N422" s="303">
        <v>11443.847400000001</v>
      </c>
      <c r="O422" s="303">
        <v>11443.847400000001</v>
      </c>
      <c r="P422" s="305">
        <v>2020.991675</v>
      </c>
      <c r="Q422" s="299">
        <f t="shared" si="1"/>
        <v>2020.991675</v>
      </c>
      <c r="R422" s="300" t="s">
        <v>230</v>
      </c>
      <c r="S422" s="300" t="s">
        <v>12</v>
      </c>
      <c r="T422" s="305" t="s">
        <v>530</v>
      </c>
      <c r="U422" s="305">
        <v>15</v>
      </c>
      <c r="V422" s="305">
        <v>5</v>
      </c>
      <c r="W422" s="303">
        <v>0.7</v>
      </c>
      <c r="X422" s="303">
        <v>0.7</v>
      </c>
      <c r="Y422" s="303">
        <v>0.7</v>
      </c>
      <c r="Z422" s="303">
        <v>1700</v>
      </c>
      <c r="AA422" s="303" t="s">
        <v>531</v>
      </c>
      <c r="AB422" s="303">
        <v>0.85</v>
      </c>
      <c r="AC422" s="303" t="s">
        <v>532</v>
      </c>
      <c r="AD422" s="303" t="s">
        <v>533</v>
      </c>
      <c r="AE422" s="303">
        <v>220</v>
      </c>
      <c r="AF422" s="133"/>
      <c r="AG422" s="322"/>
    </row>
    <row r="423" spans="1:33" ht="15.75">
      <c r="A423" s="302" t="s">
        <v>535</v>
      </c>
      <c r="B423" s="303" t="s">
        <v>527</v>
      </c>
      <c r="C423" s="303"/>
      <c r="D423" s="303" t="s">
        <v>529</v>
      </c>
      <c r="E423" s="303">
        <v>1</v>
      </c>
      <c r="F423" s="304">
        <v>45420.449305555558</v>
      </c>
      <c r="G423" s="303">
        <v>1</v>
      </c>
      <c r="H423" s="303">
        <v>51.374099999999999</v>
      </c>
      <c r="I423" s="303">
        <v>11.6448</v>
      </c>
      <c r="J423" s="303">
        <v>-21.660012999999999</v>
      </c>
      <c r="K423" s="303">
        <v>-20.812850000000001</v>
      </c>
      <c r="L423" s="303">
        <v>890.678</v>
      </c>
      <c r="M423" s="303">
        <v>90.000175999999996</v>
      </c>
      <c r="N423" s="303">
        <v>11460.018190000001</v>
      </c>
      <c r="O423" s="303">
        <v>11460.018190000001</v>
      </c>
      <c r="P423" s="305">
        <v>2023.8232720000001</v>
      </c>
      <c r="Q423" s="299">
        <f t="shared" si="1"/>
        <v>2023.8232720000001</v>
      </c>
      <c r="R423" s="300" t="s">
        <v>230</v>
      </c>
      <c r="S423" s="300" t="s">
        <v>12</v>
      </c>
      <c r="T423" s="305" t="s">
        <v>530</v>
      </c>
      <c r="U423" s="305">
        <v>15</v>
      </c>
      <c r="V423" s="305">
        <v>5</v>
      </c>
      <c r="W423" s="303">
        <v>0.7</v>
      </c>
      <c r="X423" s="303">
        <v>0.7</v>
      </c>
      <c r="Y423" s="303">
        <v>0.7</v>
      </c>
      <c r="Z423" s="303">
        <v>1700</v>
      </c>
      <c r="AA423" s="303" t="s">
        <v>531</v>
      </c>
      <c r="AB423" s="303">
        <v>0.85</v>
      </c>
      <c r="AC423" s="303" t="s">
        <v>532</v>
      </c>
      <c r="AD423" s="303" t="s">
        <v>533</v>
      </c>
      <c r="AE423" s="303">
        <v>220</v>
      </c>
      <c r="AF423" s="133"/>
      <c r="AG423" s="322"/>
    </row>
    <row r="424" spans="1:33" ht="15.75">
      <c r="A424" s="302" t="s">
        <v>536</v>
      </c>
      <c r="B424" s="303" t="s">
        <v>527</v>
      </c>
      <c r="C424" s="303"/>
      <c r="D424" s="303" t="s">
        <v>529</v>
      </c>
      <c r="E424" s="303">
        <v>1</v>
      </c>
      <c r="F424" s="304">
        <v>45420.452777777777</v>
      </c>
      <c r="G424" s="303">
        <v>1</v>
      </c>
      <c r="H424" s="303">
        <v>51.374099999999999</v>
      </c>
      <c r="I424" s="303">
        <v>10.9192</v>
      </c>
      <c r="J424" s="303">
        <v>-21.533087999999999</v>
      </c>
      <c r="K424" s="303">
        <v>-20.688894000000001</v>
      </c>
      <c r="L424" s="303">
        <v>893.06200000000001</v>
      </c>
      <c r="M424" s="303">
        <v>81.499266000000006</v>
      </c>
      <c r="N424" s="303">
        <v>11428.586380000001</v>
      </c>
      <c r="O424" s="303">
        <v>11428.586380000001</v>
      </c>
      <c r="P424" s="305">
        <v>2018.319383</v>
      </c>
      <c r="Q424" s="299">
        <f t="shared" si="1"/>
        <v>2018.319383</v>
      </c>
      <c r="R424" s="300" t="s">
        <v>230</v>
      </c>
      <c r="S424" s="300" t="s">
        <v>12</v>
      </c>
      <c r="T424" s="305" t="s">
        <v>530</v>
      </c>
      <c r="U424" s="305">
        <v>15</v>
      </c>
      <c r="V424" s="305">
        <v>5</v>
      </c>
      <c r="W424" s="303">
        <v>0.7</v>
      </c>
      <c r="X424" s="303">
        <v>0.7</v>
      </c>
      <c r="Y424" s="303">
        <v>0.7</v>
      </c>
      <c r="Z424" s="303">
        <v>1700</v>
      </c>
      <c r="AA424" s="303" t="s">
        <v>531</v>
      </c>
      <c r="AB424" s="303">
        <v>0.85</v>
      </c>
      <c r="AC424" s="303" t="s">
        <v>532</v>
      </c>
      <c r="AD424" s="303" t="s">
        <v>533</v>
      </c>
      <c r="AE424" s="303">
        <v>220</v>
      </c>
      <c r="AF424" s="133"/>
      <c r="AG424" s="322"/>
    </row>
    <row r="425" spans="1:33" ht="15.75">
      <c r="A425" s="302" t="s">
        <v>537</v>
      </c>
      <c r="B425" s="303" t="s">
        <v>527</v>
      </c>
      <c r="C425" s="303"/>
      <c r="D425" s="303" t="s">
        <v>529</v>
      </c>
      <c r="E425" s="303">
        <v>1</v>
      </c>
      <c r="F425" s="304">
        <v>45420.455555555556</v>
      </c>
      <c r="G425" s="303">
        <v>1</v>
      </c>
      <c r="H425" s="303">
        <v>51.370800000000003</v>
      </c>
      <c r="I425" s="303">
        <v>10.6485</v>
      </c>
      <c r="J425" s="303">
        <v>-21.798950000000001</v>
      </c>
      <c r="K425" s="303">
        <v>-20.950493999999999</v>
      </c>
      <c r="L425" s="303">
        <v>894.08699999999999</v>
      </c>
      <c r="M425" s="303">
        <v>95.500001999999995</v>
      </c>
      <c r="N425" s="303">
        <v>11454.6949</v>
      </c>
      <c r="O425" s="303">
        <v>11454.6949</v>
      </c>
      <c r="P425" s="305">
        <v>2022.891134</v>
      </c>
      <c r="Q425" s="299">
        <f t="shared" si="1"/>
        <v>2022.891134</v>
      </c>
      <c r="R425" s="300" t="s">
        <v>230</v>
      </c>
      <c r="S425" s="300" t="s">
        <v>12</v>
      </c>
      <c r="T425" s="305" t="s">
        <v>530</v>
      </c>
      <c r="U425" s="305">
        <v>15</v>
      </c>
      <c r="V425" s="305">
        <v>5</v>
      </c>
      <c r="W425" s="303">
        <v>0.7</v>
      </c>
      <c r="X425" s="303">
        <v>0.7</v>
      </c>
      <c r="Y425" s="303">
        <v>0.7</v>
      </c>
      <c r="Z425" s="303">
        <v>1700</v>
      </c>
      <c r="AA425" s="303" t="s">
        <v>531</v>
      </c>
      <c r="AB425" s="303">
        <v>0.85</v>
      </c>
      <c r="AC425" s="303" t="s">
        <v>532</v>
      </c>
      <c r="AD425" s="303" t="s">
        <v>533</v>
      </c>
      <c r="AE425" s="303">
        <v>220</v>
      </c>
      <c r="AF425" s="133"/>
      <c r="AG425" s="322"/>
    </row>
    <row r="426" spans="1:33" ht="15.75">
      <c r="A426" s="302" t="s">
        <v>538</v>
      </c>
      <c r="B426" s="303" t="s">
        <v>527</v>
      </c>
      <c r="C426" s="303"/>
      <c r="D426" s="303" t="s">
        <v>529</v>
      </c>
      <c r="E426" s="303">
        <v>1</v>
      </c>
      <c r="F426" s="304">
        <v>45420.467361111114</v>
      </c>
      <c r="G426" s="303">
        <v>1</v>
      </c>
      <c r="H426" s="303">
        <v>51.374099999999999</v>
      </c>
      <c r="I426" s="303">
        <v>10.9687</v>
      </c>
      <c r="J426" s="303">
        <v>-21.934625</v>
      </c>
      <c r="K426" s="303">
        <v>-21.106255999999998</v>
      </c>
      <c r="L426" s="303">
        <v>895.01599999999996</v>
      </c>
      <c r="M426" s="303">
        <v>100.499582</v>
      </c>
      <c r="N426" s="303">
        <v>11441.485769999999</v>
      </c>
      <c r="O426" s="303">
        <v>11441.485769999999</v>
      </c>
      <c r="P426" s="305">
        <v>2020.578139</v>
      </c>
      <c r="Q426" s="299">
        <f t="shared" si="1"/>
        <v>2020.578139</v>
      </c>
      <c r="R426" s="300" t="s">
        <v>230</v>
      </c>
      <c r="S426" s="300" t="s">
        <v>12</v>
      </c>
      <c r="T426" s="305" t="s">
        <v>530</v>
      </c>
      <c r="U426" s="305">
        <v>15</v>
      </c>
      <c r="V426" s="305">
        <v>5</v>
      </c>
      <c r="W426" s="303">
        <v>0.7</v>
      </c>
      <c r="X426" s="303">
        <v>0.7</v>
      </c>
      <c r="Y426" s="303">
        <v>0.7</v>
      </c>
      <c r="Z426" s="303">
        <v>1700</v>
      </c>
      <c r="AA426" s="303" t="s">
        <v>531</v>
      </c>
      <c r="AB426" s="303">
        <v>0.85</v>
      </c>
      <c r="AC426" s="303" t="s">
        <v>532</v>
      </c>
      <c r="AD426" s="303" t="s">
        <v>533</v>
      </c>
      <c r="AE426" s="303">
        <v>220</v>
      </c>
      <c r="AF426" s="133"/>
      <c r="AG426" s="322"/>
    </row>
    <row r="427" spans="1:33" ht="15.75">
      <c r="A427" s="302" t="s">
        <v>539</v>
      </c>
      <c r="B427" s="303" t="s">
        <v>527</v>
      </c>
      <c r="C427" s="303"/>
      <c r="D427" s="303" t="s">
        <v>529</v>
      </c>
      <c r="E427" s="303">
        <v>1</v>
      </c>
      <c r="F427" s="304">
        <v>45420.470138888886</v>
      </c>
      <c r="G427" s="303">
        <v>1</v>
      </c>
      <c r="H427" s="303">
        <v>51.374099999999999</v>
      </c>
      <c r="I427" s="303">
        <v>9.8260299999999994</v>
      </c>
      <c r="J427" s="303">
        <v>-21.90935</v>
      </c>
      <c r="K427" s="303">
        <v>-21.065643999999999</v>
      </c>
      <c r="L427" s="303">
        <v>903.21100000000001</v>
      </c>
      <c r="M427" s="303">
        <v>98.999831</v>
      </c>
      <c r="N427" s="303">
        <v>11478.02499</v>
      </c>
      <c r="O427" s="303">
        <v>11478.02499</v>
      </c>
      <c r="P427" s="305">
        <v>2026.9763660000001</v>
      </c>
      <c r="Q427" s="299">
        <f t="shared" si="1"/>
        <v>2026.9763660000001</v>
      </c>
      <c r="R427" s="300" t="s">
        <v>230</v>
      </c>
      <c r="S427" s="300" t="s">
        <v>12</v>
      </c>
      <c r="T427" s="305" t="s">
        <v>530</v>
      </c>
      <c r="U427" s="305">
        <v>15</v>
      </c>
      <c r="V427" s="305">
        <v>5</v>
      </c>
      <c r="W427" s="303">
        <v>0.7</v>
      </c>
      <c r="X427" s="303">
        <v>0.7</v>
      </c>
      <c r="Y427" s="303">
        <v>0.7</v>
      </c>
      <c r="Z427" s="303">
        <v>1700</v>
      </c>
      <c r="AA427" s="303" t="s">
        <v>531</v>
      </c>
      <c r="AB427" s="303">
        <v>0.85</v>
      </c>
      <c r="AC427" s="303" t="s">
        <v>532</v>
      </c>
      <c r="AD427" s="303" t="s">
        <v>533</v>
      </c>
      <c r="AE427" s="303">
        <v>220</v>
      </c>
      <c r="AF427" s="133"/>
      <c r="AG427" s="322"/>
    </row>
    <row r="428" spans="1:33" ht="15.75">
      <c r="A428" s="302" t="s">
        <v>540</v>
      </c>
      <c r="B428" s="303" t="s">
        <v>527</v>
      </c>
      <c r="C428" s="303"/>
      <c r="D428" s="303" t="s">
        <v>529</v>
      </c>
      <c r="E428" s="303">
        <v>1</v>
      </c>
      <c r="F428" s="304">
        <v>45420.474305555559</v>
      </c>
      <c r="G428" s="303">
        <v>1</v>
      </c>
      <c r="H428" s="303">
        <v>51.3675</v>
      </c>
      <c r="I428" s="303">
        <v>9.0663999999999998</v>
      </c>
      <c r="J428" s="303">
        <v>-22.016262000000001</v>
      </c>
      <c r="K428" s="303">
        <v>-21.185400000000001</v>
      </c>
      <c r="L428" s="303">
        <v>902.95399999999995</v>
      </c>
      <c r="M428" s="303">
        <v>97.499329000000003</v>
      </c>
      <c r="N428" s="303">
        <v>11473.20501</v>
      </c>
      <c r="O428" s="303">
        <v>11473.20501</v>
      </c>
      <c r="P428" s="305">
        <v>2026.132359</v>
      </c>
      <c r="Q428" s="299">
        <f t="shared" si="1"/>
        <v>2026.132359</v>
      </c>
      <c r="R428" s="300" t="s">
        <v>230</v>
      </c>
      <c r="S428" s="300" t="s">
        <v>12</v>
      </c>
      <c r="T428" s="305" t="s">
        <v>530</v>
      </c>
      <c r="U428" s="305">
        <v>15</v>
      </c>
      <c r="V428" s="305">
        <v>5</v>
      </c>
      <c r="W428" s="303">
        <v>0.7</v>
      </c>
      <c r="X428" s="303">
        <v>0.7</v>
      </c>
      <c r="Y428" s="303">
        <v>0.7</v>
      </c>
      <c r="Z428" s="303">
        <v>1700</v>
      </c>
      <c r="AA428" s="303" t="s">
        <v>531</v>
      </c>
      <c r="AB428" s="303">
        <v>0.85</v>
      </c>
      <c r="AC428" s="303" t="s">
        <v>532</v>
      </c>
      <c r="AD428" s="303" t="s">
        <v>533</v>
      </c>
      <c r="AE428" s="303">
        <v>220</v>
      </c>
      <c r="AF428" s="133"/>
      <c r="AG428" s="322"/>
    </row>
    <row r="429" spans="1:33" ht="15.75">
      <c r="A429" s="302" t="s">
        <v>541</v>
      </c>
      <c r="B429" s="303" t="s">
        <v>527</v>
      </c>
      <c r="C429" s="303"/>
      <c r="D429" s="303" t="s">
        <v>529</v>
      </c>
      <c r="E429" s="303">
        <v>1</v>
      </c>
      <c r="F429" s="304">
        <v>45420.477777777778</v>
      </c>
      <c r="G429" s="303">
        <v>1</v>
      </c>
      <c r="H429" s="303">
        <v>51.374099999999999</v>
      </c>
      <c r="I429" s="303">
        <v>8.5669699999999995</v>
      </c>
      <c r="J429" s="303">
        <v>-21.9664</v>
      </c>
      <c r="K429" s="303">
        <v>-21.140412999999999</v>
      </c>
      <c r="L429" s="303">
        <v>899.71299999999997</v>
      </c>
      <c r="M429" s="303">
        <v>90.999077</v>
      </c>
      <c r="N429" s="303">
        <v>11482.057930000001</v>
      </c>
      <c r="O429" s="303">
        <v>11482.057930000001</v>
      </c>
      <c r="P429" s="305">
        <v>2027.6825570000001</v>
      </c>
      <c r="Q429" s="299">
        <f t="shared" si="1"/>
        <v>2027.6825570000001</v>
      </c>
      <c r="R429" s="300" t="s">
        <v>230</v>
      </c>
      <c r="S429" s="300" t="s">
        <v>12</v>
      </c>
      <c r="T429" s="305" t="s">
        <v>530</v>
      </c>
      <c r="U429" s="305">
        <v>15</v>
      </c>
      <c r="V429" s="305">
        <v>5</v>
      </c>
      <c r="W429" s="303">
        <v>0.7</v>
      </c>
      <c r="X429" s="303">
        <v>0.7</v>
      </c>
      <c r="Y429" s="303">
        <v>0.7</v>
      </c>
      <c r="Z429" s="303">
        <v>1700</v>
      </c>
      <c r="AA429" s="303" t="s">
        <v>531</v>
      </c>
      <c r="AB429" s="303">
        <v>0.85</v>
      </c>
      <c r="AC429" s="303" t="s">
        <v>532</v>
      </c>
      <c r="AD429" s="303" t="s">
        <v>533</v>
      </c>
      <c r="AE429" s="303">
        <v>220</v>
      </c>
      <c r="AF429" s="133"/>
      <c r="AG429" s="322"/>
    </row>
    <row r="430" spans="1:33" ht="15.75">
      <c r="A430" s="302" t="s">
        <v>657</v>
      </c>
      <c r="B430" s="303" t="s">
        <v>527</v>
      </c>
      <c r="C430" s="303"/>
      <c r="D430" s="303" t="s">
        <v>529</v>
      </c>
      <c r="E430" s="303">
        <v>1</v>
      </c>
      <c r="F430" s="304">
        <v>45420.480555555558</v>
      </c>
      <c r="G430" s="303">
        <v>1</v>
      </c>
      <c r="H430" s="303">
        <v>51.370800000000003</v>
      </c>
      <c r="I430" s="303">
        <v>8.2878000000000007</v>
      </c>
      <c r="J430" s="303">
        <v>-22.041080999999998</v>
      </c>
      <c r="K430" s="303">
        <v>-21.201550000000001</v>
      </c>
      <c r="L430" s="303">
        <v>899.29899999999998</v>
      </c>
      <c r="M430" s="303">
        <v>96.000071000000005</v>
      </c>
      <c r="N430" s="303">
        <v>11522.37933</v>
      </c>
      <c r="O430" s="303">
        <v>11522.37933</v>
      </c>
      <c r="P430" s="305">
        <v>2034.743064</v>
      </c>
      <c r="Q430" s="299">
        <f t="shared" si="1"/>
        <v>2034.743064</v>
      </c>
      <c r="R430" s="300" t="s">
        <v>230</v>
      </c>
      <c r="S430" s="300" t="s">
        <v>12</v>
      </c>
      <c r="T430" s="305" t="s">
        <v>530</v>
      </c>
      <c r="U430" s="305">
        <v>15</v>
      </c>
      <c r="V430" s="305">
        <v>5</v>
      </c>
      <c r="W430" s="303">
        <v>0.7</v>
      </c>
      <c r="X430" s="303">
        <v>0.7</v>
      </c>
      <c r="Y430" s="303">
        <v>0.7</v>
      </c>
      <c r="Z430" s="303">
        <v>1700</v>
      </c>
      <c r="AA430" s="303" t="s">
        <v>531</v>
      </c>
      <c r="AB430" s="303">
        <v>0.85</v>
      </c>
      <c r="AC430" s="303" t="s">
        <v>532</v>
      </c>
      <c r="AD430" s="303" t="s">
        <v>533</v>
      </c>
      <c r="AE430" s="303">
        <v>220</v>
      </c>
      <c r="AF430" s="133"/>
      <c r="AG430" s="322"/>
    </row>
    <row r="431" spans="1:33" ht="15.75">
      <c r="A431" s="302" t="s">
        <v>557</v>
      </c>
      <c r="B431" s="303" t="s">
        <v>527</v>
      </c>
      <c r="C431" s="303"/>
      <c r="D431" s="303" t="s">
        <v>529</v>
      </c>
      <c r="E431" s="303">
        <v>1</v>
      </c>
      <c r="F431" s="304">
        <v>45420.484027777777</v>
      </c>
      <c r="G431" s="303">
        <v>1</v>
      </c>
      <c r="H431" s="303">
        <v>51.370800000000003</v>
      </c>
      <c r="I431" s="303">
        <v>8.3084100000000003</v>
      </c>
      <c r="J431" s="303">
        <v>-22.088280999999998</v>
      </c>
      <c r="K431" s="303">
        <v>-21.248768999999999</v>
      </c>
      <c r="L431" s="303">
        <v>894.93600000000004</v>
      </c>
      <c r="M431" s="303">
        <v>93.999360999999993</v>
      </c>
      <c r="N431" s="303">
        <v>11518.55335</v>
      </c>
      <c r="O431" s="303">
        <v>11518.55335</v>
      </c>
      <c r="P431" s="305">
        <v>2034.073114</v>
      </c>
      <c r="Q431" s="299">
        <f t="shared" si="1"/>
        <v>2034.073114</v>
      </c>
      <c r="R431" s="300" t="s">
        <v>230</v>
      </c>
      <c r="S431" s="300" t="s">
        <v>12</v>
      </c>
      <c r="T431" s="305" t="s">
        <v>530</v>
      </c>
      <c r="U431" s="305">
        <v>15</v>
      </c>
      <c r="V431" s="305">
        <v>5</v>
      </c>
      <c r="W431" s="303">
        <v>0.7</v>
      </c>
      <c r="X431" s="303">
        <v>0.7</v>
      </c>
      <c r="Y431" s="303">
        <v>0.7</v>
      </c>
      <c r="Z431" s="303">
        <v>1700</v>
      </c>
      <c r="AA431" s="303" t="s">
        <v>531</v>
      </c>
      <c r="AB431" s="303">
        <v>0.85</v>
      </c>
      <c r="AC431" s="303" t="s">
        <v>532</v>
      </c>
      <c r="AD431" s="303" t="s">
        <v>533</v>
      </c>
      <c r="AE431" s="303">
        <v>220</v>
      </c>
      <c r="AF431" s="133"/>
      <c r="AG431" s="322"/>
    </row>
    <row r="432" spans="1:33" ht="15.75">
      <c r="A432" s="302" t="s">
        <v>560</v>
      </c>
      <c r="B432" s="303" t="s">
        <v>527</v>
      </c>
      <c r="C432" s="303"/>
      <c r="D432" s="303" t="s">
        <v>529</v>
      </c>
      <c r="E432" s="303">
        <v>1</v>
      </c>
      <c r="F432" s="304">
        <v>45420.486805555556</v>
      </c>
      <c r="G432" s="303">
        <v>1</v>
      </c>
      <c r="H432" s="303">
        <v>51.370800000000003</v>
      </c>
      <c r="I432" s="303">
        <v>8.2136099999999992</v>
      </c>
      <c r="J432" s="303">
        <v>-22.141738</v>
      </c>
      <c r="K432" s="303">
        <v>-21.305444000000001</v>
      </c>
      <c r="L432" s="303">
        <v>897.96799999999996</v>
      </c>
      <c r="M432" s="303">
        <v>118.999554</v>
      </c>
      <c r="N432" s="303">
        <v>11559.221589999999</v>
      </c>
      <c r="O432" s="303">
        <v>11559.221589999999</v>
      </c>
      <c r="P432" s="305">
        <v>2041.194354</v>
      </c>
      <c r="Q432" s="299">
        <f t="shared" si="1"/>
        <v>2041.194354</v>
      </c>
      <c r="R432" s="300" t="s">
        <v>230</v>
      </c>
      <c r="S432" s="300" t="s">
        <v>12</v>
      </c>
      <c r="T432" s="305" t="s">
        <v>530</v>
      </c>
      <c r="U432" s="305">
        <v>15</v>
      </c>
      <c r="V432" s="305">
        <v>5</v>
      </c>
      <c r="W432" s="303">
        <v>0.7</v>
      </c>
      <c r="X432" s="303">
        <v>0.7</v>
      </c>
      <c r="Y432" s="303">
        <v>0.7</v>
      </c>
      <c r="Z432" s="303">
        <v>1700</v>
      </c>
      <c r="AA432" s="303" t="s">
        <v>531</v>
      </c>
      <c r="AB432" s="303">
        <v>0.85</v>
      </c>
      <c r="AC432" s="303" t="s">
        <v>532</v>
      </c>
      <c r="AD432" s="303" t="s">
        <v>533</v>
      </c>
      <c r="AE432" s="303">
        <v>220</v>
      </c>
      <c r="AF432" s="133"/>
      <c r="AG432" s="322"/>
    </row>
    <row r="433" spans="1:33" ht="15.75">
      <c r="A433" s="302" t="s">
        <v>564</v>
      </c>
      <c r="B433" s="303" t="s">
        <v>527</v>
      </c>
      <c r="C433" s="303"/>
      <c r="D433" s="303" t="s">
        <v>529</v>
      </c>
      <c r="E433" s="303">
        <v>1</v>
      </c>
      <c r="F433" s="304">
        <v>45420.490277777775</v>
      </c>
      <c r="G433" s="303">
        <v>1</v>
      </c>
      <c r="H433" s="303">
        <v>51.374099999999999</v>
      </c>
      <c r="I433" s="303">
        <v>8.1015300000000003</v>
      </c>
      <c r="J433" s="303">
        <v>-22.16825</v>
      </c>
      <c r="K433" s="303">
        <v>-21.333587999999999</v>
      </c>
      <c r="L433" s="303">
        <v>894.70399999999995</v>
      </c>
      <c r="M433" s="303">
        <v>102.000435</v>
      </c>
      <c r="N433" s="303">
        <v>11531.274359999999</v>
      </c>
      <c r="O433" s="303">
        <v>11531.274359999999</v>
      </c>
      <c r="P433" s="305">
        <v>2036.3006350000001</v>
      </c>
      <c r="Q433" s="299">
        <f t="shared" si="1"/>
        <v>2036.3006350000001</v>
      </c>
      <c r="R433" s="300" t="s">
        <v>230</v>
      </c>
      <c r="S433" s="300" t="s">
        <v>12</v>
      </c>
      <c r="T433" s="305" t="s">
        <v>530</v>
      </c>
      <c r="U433" s="305">
        <v>15</v>
      </c>
      <c r="V433" s="305">
        <v>5</v>
      </c>
      <c r="W433" s="303">
        <v>0.7</v>
      </c>
      <c r="X433" s="303">
        <v>0.7</v>
      </c>
      <c r="Y433" s="303">
        <v>0.7</v>
      </c>
      <c r="Z433" s="303">
        <v>1700</v>
      </c>
      <c r="AA433" s="303" t="s">
        <v>531</v>
      </c>
      <c r="AB433" s="303">
        <v>0.85</v>
      </c>
      <c r="AC433" s="303" t="s">
        <v>532</v>
      </c>
      <c r="AD433" s="303" t="s">
        <v>533</v>
      </c>
      <c r="AE433" s="303">
        <v>220</v>
      </c>
      <c r="AF433" s="133"/>
      <c r="AG433" s="322"/>
    </row>
    <row r="434" spans="1:33" ht="15.75">
      <c r="A434" s="302" t="s">
        <v>569</v>
      </c>
      <c r="B434" s="303" t="s">
        <v>527</v>
      </c>
      <c r="C434" s="303"/>
      <c r="D434" s="303" t="s">
        <v>529</v>
      </c>
      <c r="E434" s="303">
        <v>1</v>
      </c>
      <c r="F434" s="304">
        <v>45420.493750000001</v>
      </c>
      <c r="G434" s="303">
        <v>1</v>
      </c>
      <c r="H434" s="303">
        <v>51.374099999999999</v>
      </c>
      <c r="I434" s="303">
        <v>8.1194900000000008</v>
      </c>
      <c r="J434" s="303">
        <v>-22.164155999999998</v>
      </c>
      <c r="K434" s="303">
        <v>-21.314937</v>
      </c>
      <c r="L434" s="303">
        <v>913.01199999999994</v>
      </c>
      <c r="M434" s="303">
        <v>101.999787</v>
      </c>
      <c r="N434" s="303">
        <v>11534.253210000001</v>
      </c>
      <c r="O434" s="303">
        <v>11534.253210000001</v>
      </c>
      <c r="P434" s="305">
        <v>2036.8222490000001</v>
      </c>
      <c r="Q434" s="299">
        <f t="shared" si="1"/>
        <v>2036.8222490000001</v>
      </c>
      <c r="R434" s="300" t="s">
        <v>230</v>
      </c>
      <c r="S434" s="300" t="s">
        <v>12</v>
      </c>
      <c r="T434" s="305" t="s">
        <v>530</v>
      </c>
      <c r="U434" s="305">
        <v>15</v>
      </c>
      <c r="V434" s="305">
        <v>5</v>
      </c>
      <c r="W434" s="303">
        <v>0.7</v>
      </c>
      <c r="X434" s="303">
        <v>0.7</v>
      </c>
      <c r="Y434" s="303">
        <v>0.7</v>
      </c>
      <c r="Z434" s="303">
        <v>1700</v>
      </c>
      <c r="AA434" s="303" t="s">
        <v>531</v>
      </c>
      <c r="AB434" s="303">
        <v>0.85</v>
      </c>
      <c r="AC434" s="303" t="s">
        <v>532</v>
      </c>
      <c r="AD434" s="303" t="s">
        <v>533</v>
      </c>
      <c r="AE434" s="303">
        <v>220</v>
      </c>
      <c r="AF434" s="133"/>
      <c r="AG434" s="322"/>
    </row>
    <row r="435" spans="1:33" ht="15.75">
      <c r="A435" s="302" t="s">
        <v>574</v>
      </c>
      <c r="B435" s="303" t="s">
        <v>527</v>
      </c>
      <c r="C435" s="303"/>
      <c r="D435" s="303" t="s">
        <v>529</v>
      </c>
      <c r="E435" s="303">
        <v>1</v>
      </c>
      <c r="F435" s="304">
        <v>45420.496527777781</v>
      </c>
      <c r="G435" s="303">
        <v>1</v>
      </c>
      <c r="H435" s="303">
        <v>51.370800000000003</v>
      </c>
      <c r="I435" s="303">
        <v>8.0250900000000005</v>
      </c>
      <c r="J435" s="303">
        <v>-22.159219</v>
      </c>
      <c r="K435" s="303">
        <v>-21.318694000000001</v>
      </c>
      <c r="L435" s="303">
        <v>891.73599999999999</v>
      </c>
      <c r="M435" s="303">
        <v>101.00085900000001</v>
      </c>
      <c r="N435" s="303">
        <v>11527.95955</v>
      </c>
      <c r="O435" s="303">
        <v>11527.95955</v>
      </c>
      <c r="P435" s="305">
        <v>2035.7201930000001</v>
      </c>
      <c r="Q435" s="299">
        <f t="shared" si="1"/>
        <v>2035.7201930000001</v>
      </c>
      <c r="R435" s="300" t="s">
        <v>230</v>
      </c>
      <c r="S435" s="300" t="s">
        <v>12</v>
      </c>
      <c r="T435" s="305" t="s">
        <v>530</v>
      </c>
      <c r="U435" s="305">
        <v>15</v>
      </c>
      <c r="V435" s="305">
        <v>5</v>
      </c>
      <c r="W435" s="303">
        <v>0.7</v>
      </c>
      <c r="X435" s="303">
        <v>0.7</v>
      </c>
      <c r="Y435" s="303">
        <v>0.7</v>
      </c>
      <c r="Z435" s="303">
        <v>1700</v>
      </c>
      <c r="AA435" s="303" t="s">
        <v>531</v>
      </c>
      <c r="AB435" s="303">
        <v>0.85</v>
      </c>
      <c r="AC435" s="303" t="s">
        <v>532</v>
      </c>
      <c r="AD435" s="303" t="s">
        <v>533</v>
      </c>
      <c r="AE435" s="303">
        <v>220</v>
      </c>
      <c r="AF435" s="133"/>
      <c r="AG435" s="322"/>
    </row>
    <row r="436" spans="1:33" ht="15.75">
      <c r="A436" s="302" t="s">
        <v>757</v>
      </c>
      <c r="B436" s="303" t="s">
        <v>543</v>
      </c>
      <c r="C436" s="303" t="s">
        <v>758</v>
      </c>
      <c r="D436" s="303" t="s">
        <v>529</v>
      </c>
      <c r="E436" s="303">
        <v>1.2</v>
      </c>
      <c r="F436" s="304">
        <v>45420.50277777778</v>
      </c>
      <c r="G436" s="303">
        <v>1</v>
      </c>
      <c r="H436" s="303">
        <v>51.374099999999999</v>
      </c>
      <c r="I436" s="303">
        <v>8.2517800000000001</v>
      </c>
      <c r="J436" s="303">
        <v>-22.171094</v>
      </c>
      <c r="K436" s="303">
        <v>-21.332886999999999</v>
      </c>
      <c r="L436" s="303">
        <v>1007.83</v>
      </c>
      <c r="M436" s="303">
        <v>109.999574</v>
      </c>
      <c r="N436" s="303">
        <v>14106.484109999999</v>
      </c>
      <c r="O436" s="303">
        <v>14189.052879999999</v>
      </c>
      <c r="P436" s="305">
        <v>2070.35</v>
      </c>
      <c r="Q436" s="299">
        <f t="shared" si="1"/>
        <v>2070.35</v>
      </c>
      <c r="R436" s="300" t="s">
        <v>230</v>
      </c>
      <c r="S436" s="300" t="s">
        <v>12</v>
      </c>
      <c r="T436" s="305" t="s">
        <v>545</v>
      </c>
      <c r="U436" s="305">
        <v>15</v>
      </c>
      <c r="V436" s="305">
        <v>5</v>
      </c>
      <c r="W436" s="303">
        <v>0.7</v>
      </c>
      <c r="X436" s="303">
        <v>0.7</v>
      </c>
      <c r="Y436" s="303">
        <v>0.7</v>
      </c>
      <c r="Z436" s="303">
        <v>1700</v>
      </c>
      <c r="AA436" s="303" t="s">
        <v>531</v>
      </c>
      <c r="AB436" s="303">
        <v>0.85</v>
      </c>
      <c r="AC436" s="303" t="s">
        <v>532</v>
      </c>
      <c r="AD436" s="303" t="s">
        <v>533</v>
      </c>
      <c r="AE436" s="303">
        <v>220</v>
      </c>
      <c r="AF436" s="133"/>
      <c r="AG436" s="322"/>
    </row>
    <row r="437" spans="1:33" ht="15.75">
      <c r="A437" s="302" t="s">
        <v>759</v>
      </c>
      <c r="B437" s="303" t="s">
        <v>543</v>
      </c>
      <c r="C437" s="303" t="s">
        <v>758</v>
      </c>
      <c r="D437" s="303" t="s">
        <v>529</v>
      </c>
      <c r="E437" s="303">
        <v>1.2</v>
      </c>
      <c r="F437" s="304">
        <v>45420.505555555559</v>
      </c>
      <c r="G437" s="303">
        <v>1</v>
      </c>
      <c r="H437" s="303">
        <v>51.370800000000003</v>
      </c>
      <c r="I437" s="303">
        <v>8.2705000000000002</v>
      </c>
      <c r="J437" s="303">
        <v>-22.223675</v>
      </c>
      <c r="K437" s="303">
        <v>-21.375819</v>
      </c>
      <c r="L437" s="303">
        <v>966.02200000000005</v>
      </c>
      <c r="M437" s="303">
        <v>109.49984600000001</v>
      </c>
      <c r="N437" s="303">
        <v>14184.009330000001</v>
      </c>
      <c r="O437" s="303">
        <v>14189.052879999999</v>
      </c>
      <c r="P437" s="305">
        <v>2070.35</v>
      </c>
      <c r="Q437" s="299">
        <f t="shared" si="1"/>
        <v>2070.35</v>
      </c>
      <c r="R437" s="300" t="s">
        <v>230</v>
      </c>
      <c r="S437" s="300" t="s">
        <v>12</v>
      </c>
      <c r="T437" s="305" t="s">
        <v>530</v>
      </c>
      <c r="U437" s="305">
        <v>15</v>
      </c>
      <c r="V437" s="305">
        <v>5</v>
      </c>
      <c r="W437" s="303">
        <v>0.7</v>
      </c>
      <c r="X437" s="303">
        <v>0.7</v>
      </c>
      <c r="Y437" s="303">
        <v>0.7</v>
      </c>
      <c r="Z437" s="303">
        <v>1700</v>
      </c>
      <c r="AA437" s="303" t="s">
        <v>531</v>
      </c>
      <c r="AB437" s="303">
        <v>0.85</v>
      </c>
      <c r="AC437" s="303" t="s">
        <v>532</v>
      </c>
      <c r="AD437" s="303" t="s">
        <v>533</v>
      </c>
      <c r="AE437" s="303">
        <v>220</v>
      </c>
      <c r="AF437" s="133"/>
      <c r="AG437" s="322"/>
    </row>
    <row r="438" spans="1:33" ht="15.75">
      <c r="A438" s="302" t="s">
        <v>760</v>
      </c>
      <c r="B438" s="303" t="s">
        <v>543</v>
      </c>
      <c r="C438" s="303" t="s">
        <v>758</v>
      </c>
      <c r="D438" s="303" t="s">
        <v>529</v>
      </c>
      <c r="E438" s="303">
        <v>1.2</v>
      </c>
      <c r="F438" s="304">
        <v>45420.509027777778</v>
      </c>
      <c r="G438" s="303">
        <v>1</v>
      </c>
      <c r="H438" s="303">
        <v>51.377400000000002</v>
      </c>
      <c r="I438" s="303">
        <v>8.0663499999999999</v>
      </c>
      <c r="J438" s="303">
        <v>-22.192305999999999</v>
      </c>
      <c r="K438" s="303">
        <v>-21.347943999999998</v>
      </c>
      <c r="L438" s="303">
        <v>984.346</v>
      </c>
      <c r="M438" s="303">
        <v>107.49963099999999</v>
      </c>
      <c r="N438" s="303">
        <v>14180.367099999999</v>
      </c>
      <c r="O438" s="303">
        <v>14189.052879999999</v>
      </c>
      <c r="P438" s="305">
        <v>2070.35</v>
      </c>
      <c r="Q438" s="299">
        <f t="shared" si="1"/>
        <v>2070.35</v>
      </c>
      <c r="R438" s="300" t="s">
        <v>230</v>
      </c>
      <c r="S438" s="300" t="s">
        <v>12</v>
      </c>
      <c r="T438" s="305" t="s">
        <v>530</v>
      </c>
      <c r="U438" s="305">
        <v>15</v>
      </c>
      <c r="V438" s="305">
        <v>5</v>
      </c>
      <c r="W438" s="303">
        <v>0.7</v>
      </c>
      <c r="X438" s="303">
        <v>0.7</v>
      </c>
      <c r="Y438" s="303">
        <v>0.7</v>
      </c>
      <c r="Z438" s="303">
        <v>1700</v>
      </c>
      <c r="AA438" s="303" t="s">
        <v>531</v>
      </c>
      <c r="AB438" s="303">
        <v>0.85</v>
      </c>
      <c r="AC438" s="303" t="s">
        <v>532</v>
      </c>
      <c r="AD438" s="303" t="s">
        <v>533</v>
      </c>
      <c r="AE438" s="303">
        <v>220</v>
      </c>
      <c r="AF438" s="133"/>
      <c r="AG438" s="322"/>
    </row>
    <row r="439" spans="1:33" ht="15.75">
      <c r="A439" s="302" t="s">
        <v>761</v>
      </c>
      <c r="B439" s="303" t="s">
        <v>543</v>
      </c>
      <c r="C439" s="303" t="s">
        <v>758</v>
      </c>
      <c r="D439" s="303" t="s">
        <v>529</v>
      </c>
      <c r="E439" s="303">
        <v>1.2</v>
      </c>
      <c r="F439" s="304">
        <v>45420.512499999997</v>
      </c>
      <c r="G439" s="303">
        <v>1</v>
      </c>
      <c r="H439" s="303">
        <v>51.374099999999999</v>
      </c>
      <c r="I439" s="303">
        <v>8.0732099999999996</v>
      </c>
      <c r="J439" s="303">
        <v>-22.231974999999998</v>
      </c>
      <c r="K439" s="303">
        <v>-21.411211999999999</v>
      </c>
      <c r="L439" s="303">
        <v>981.81100000000004</v>
      </c>
      <c r="M439" s="303">
        <v>111.00004800000001</v>
      </c>
      <c r="N439" s="303">
        <v>14202.782209999999</v>
      </c>
      <c r="O439" s="303">
        <v>14189.052879999999</v>
      </c>
      <c r="P439" s="305">
        <v>2070.35</v>
      </c>
      <c r="Q439" s="299">
        <f t="shared" si="1"/>
        <v>2070.35</v>
      </c>
      <c r="R439" s="300" t="s">
        <v>230</v>
      </c>
      <c r="S439" s="300" t="s">
        <v>12</v>
      </c>
      <c r="T439" s="305" t="s">
        <v>530</v>
      </c>
      <c r="U439" s="305">
        <v>15</v>
      </c>
      <c r="V439" s="305">
        <v>5</v>
      </c>
      <c r="W439" s="303">
        <v>0.7</v>
      </c>
      <c r="X439" s="303">
        <v>0.7</v>
      </c>
      <c r="Y439" s="303">
        <v>0.7</v>
      </c>
      <c r="Z439" s="303">
        <v>1700</v>
      </c>
      <c r="AA439" s="303" t="s">
        <v>531</v>
      </c>
      <c r="AB439" s="303">
        <v>0.85</v>
      </c>
      <c r="AC439" s="303" t="s">
        <v>532</v>
      </c>
      <c r="AD439" s="303" t="s">
        <v>533</v>
      </c>
      <c r="AE439" s="303">
        <v>220</v>
      </c>
      <c r="AF439" s="133"/>
      <c r="AG439" s="322"/>
    </row>
    <row r="440" spans="1:33" ht="15.75">
      <c r="A440" s="302" t="s">
        <v>762</v>
      </c>
      <c r="B440" s="303" t="s">
        <v>550</v>
      </c>
      <c r="C440" s="303" t="s">
        <v>758</v>
      </c>
      <c r="D440" s="303" t="s">
        <v>529</v>
      </c>
      <c r="E440" s="303">
        <v>1.5</v>
      </c>
      <c r="F440" s="304">
        <v>45420.515972222223</v>
      </c>
      <c r="G440" s="303">
        <v>1</v>
      </c>
      <c r="H440" s="303">
        <v>51.374099999999999</v>
      </c>
      <c r="I440" s="303">
        <v>8.0676900000000007</v>
      </c>
      <c r="J440" s="303">
        <v>-22.178737999999999</v>
      </c>
      <c r="K440" s="303">
        <v>-21.333531000000001</v>
      </c>
      <c r="L440" s="303">
        <v>999.99900000000002</v>
      </c>
      <c r="M440" s="303">
        <v>113.999646</v>
      </c>
      <c r="N440" s="303">
        <v>17752.545590000002</v>
      </c>
      <c r="O440" s="303">
        <v>17756.421569999999</v>
      </c>
      <c r="P440" s="305">
        <v>2070.35</v>
      </c>
      <c r="Q440" s="299">
        <f t="shared" si="1"/>
        <v>2070.35</v>
      </c>
      <c r="R440" s="300" t="s">
        <v>230</v>
      </c>
      <c r="S440" s="300" t="s">
        <v>12</v>
      </c>
      <c r="T440" s="305" t="s">
        <v>530</v>
      </c>
      <c r="U440" s="305">
        <v>15</v>
      </c>
      <c r="V440" s="305">
        <v>5</v>
      </c>
      <c r="W440" s="303">
        <v>0.7</v>
      </c>
      <c r="X440" s="303">
        <v>0.7</v>
      </c>
      <c r="Y440" s="303">
        <v>0.7</v>
      </c>
      <c r="Z440" s="303">
        <v>1700</v>
      </c>
      <c r="AA440" s="303" t="s">
        <v>531</v>
      </c>
      <c r="AB440" s="303">
        <v>0.85</v>
      </c>
      <c r="AC440" s="303" t="s">
        <v>532</v>
      </c>
      <c r="AD440" s="303" t="s">
        <v>533</v>
      </c>
      <c r="AE440" s="303">
        <v>220</v>
      </c>
      <c r="AF440" s="133"/>
      <c r="AG440" s="322"/>
    </row>
    <row r="441" spans="1:33" ht="15.75">
      <c r="A441" s="302" t="s">
        <v>763</v>
      </c>
      <c r="B441" s="303" t="s">
        <v>550</v>
      </c>
      <c r="C441" s="303" t="s">
        <v>758</v>
      </c>
      <c r="D441" s="303" t="s">
        <v>529</v>
      </c>
      <c r="E441" s="303">
        <v>1.5</v>
      </c>
      <c r="F441" s="304">
        <v>45420.519444444442</v>
      </c>
      <c r="G441" s="303">
        <v>1</v>
      </c>
      <c r="H441" s="303">
        <v>51.370800000000003</v>
      </c>
      <c r="I441" s="303">
        <v>7.9850000000000003</v>
      </c>
      <c r="J441" s="303">
        <v>-22.213006</v>
      </c>
      <c r="K441" s="303">
        <v>-21.395544000000001</v>
      </c>
      <c r="L441" s="303">
        <v>1005.37</v>
      </c>
      <c r="M441" s="303">
        <v>113.00005299999999</v>
      </c>
      <c r="N441" s="303">
        <v>17773.646089999998</v>
      </c>
      <c r="O441" s="303">
        <v>17756.421569999999</v>
      </c>
      <c r="P441" s="305">
        <v>2070.35</v>
      </c>
      <c r="Q441" s="299">
        <f t="shared" si="1"/>
        <v>2070.35</v>
      </c>
      <c r="R441" s="300" t="s">
        <v>230</v>
      </c>
      <c r="S441" s="300" t="s">
        <v>12</v>
      </c>
      <c r="T441" s="305" t="s">
        <v>530</v>
      </c>
      <c r="U441" s="305">
        <v>15</v>
      </c>
      <c r="V441" s="305">
        <v>5</v>
      </c>
      <c r="W441" s="303">
        <v>0.7</v>
      </c>
      <c r="X441" s="303">
        <v>0.7</v>
      </c>
      <c r="Y441" s="303">
        <v>0.7</v>
      </c>
      <c r="Z441" s="303">
        <v>1700</v>
      </c>
      <c r="AA441" s="303" t="s">
        <v>531</v>
      </c>
      <c r="AB441" s="303">
        <v>0.85</v>
      </c>
      <c r="AC441" s="303" t="s">
        <v>532</v>
      </c>
      <c r="AD441" s="303" t="s">
        <v>533</v>
      </c>
      <c r="AE441" s="303">
        <v>220</v>
      </c>
      <c r="AF441" s="133"/>
      <c r="AG441" s="322"/>
    </row>
    <row r="442" spans="1:33" ht="15.75">
      <c r="A442" s="302" t="s">
        <v>764</v>
      </c>
      <c r="B442" s="303" t="s">
        <v>550</v>
      </c>
      <c r="C442" s="303" t="s">
        <v>758</v>
      </c>
      <c r="D442" s="303" t="s">
        <v>529</v>
      </c>
      <c r="E442" s="303">
        <v>1.5</v>
      </c>
      <c r="F442" s="304">
        <v>45420.522916666669</v>
      </c>
      <c r="G442" s="303">
        <v>1</v>
      </c>
      <c r="H442" s="303">
        <v>51.374099999999999</v>
      </c>
      <c r="I442" s="303">
        <v>8.0284600000000008</v>
      </c>
      <c r="J442" s="303">
        <v>-22.162913</v>
      </c>
      <c r="K442" s="303">
        <v>-21.316075000000001</v>
      </c>
      <c r="L442" s="303">
        <v>998.99099999999999</v>
      </c>
      <c r="M442" s="303">
        <v>124.998726</v>
      </c>
      <c r="N442" s="303">
        <v>17743.07303</v>
      </c>
      <c r="O442" s="303">
        <v>17756.421569999999</v>
      </c>
      <c r="P442" s="305">
        <v>2070.35</v>
      </c>
      <c r="Q442" s="299">
        <f t="shared" si="1"/>
        <v>2070.35</v>
      </c>
      <c r="R442" s="300" t="s">
        <v>230</v>
      </c>
      <c r="S442" s="300" t="s">
        <v>12</v>
      </c>
      <c r="T442" s="305" t="s">
        <v>530</v>
      </c>
      <c r="U442" s="305">
        <v>15</v>
      </c>
      <c r="V442" s="305">
        <v>5</v>
      </c>
      <c r="W442" s="303">
        <v>0.7</v>
      </c>
      <c r="X442" s="303">
        <v>0.7</v>
      </c>
      <c r="Y442" s="303">
        <v>0.7</v>
      </c>
      <c r="Z442" s="303">
        <v>1700</v>
      </c>
      <c r="AA442" s="303" t="s">
        <v>531</v>
      </c>
      <c r="AB442" s="303">
        <v>0.85</v>
      </c>
      <c r="AC442" s="303" t="s">
        <v>532</v>
      </c>
      <c r="AD442" s="303" t="s">
        <v>533</v>
      </c>
      <c r="AE442" s="303">
        <v>220</v>
      </c>
      <c r="AF442" s="133"/>
      <c r="AG442" s="322"/>
    </row>
    <row r="443" spans="1:33" ht="15.75">
      <c r="A443" s="302" t="s">
        <v>765</v>
      </c>
      <c r="B443" s="303" t="s">
        <v>554</v>
      </c>
      <c r="C443" s="303" t="s">
        <v>758</v>
      </c>
      <c r="D443" s="303" t="s">
        <v>529</v>
      </c>
      <c r="E443" s="303">
        <v>1.8</v>
      </c>
      <c r="F443" s="304">
        <v>45420.527083333334</v>
      </c>
      <c r="G443" s="303">
        <v>1</v>
      </c>
      <c r="H443" s="303">
        <v>51.370800000000003</v>
      </c>
      <c r="I443" s="303">
        <v>8.0272299999999994</v>
      </c>
      <c r="J443" s="303">
        <v>-22.264337999999999</v>
      </c>
      <c r="K443" s="303">
        <v>-21.427212000000001</v>
      </c>
      <c r="L443" s="303">
        <v>1022.6</v>
      </c>
      <c r="M443" s="303">
        <v>174.500032</v>
      </c>
      <c r="N443" s="303">
        <v>21319.298910000001</v>
      </c>
      <c r="O443" s="303">
        <v>21307.3704</v>
      </c>
      <c r="P443" s="305">
        <v>2070.35</v>
      </c>
      <c r="Q443" s="299">
        <f t="shared" si="1"/>
        <v>2070.35</v>
      </c>
      <c r="R443" s="300" t="s">
        <v>230</v>
      </c>
      <c r="S443" s="300" t="s">
        <v>12</v>
      </c>
      <c r="T443" s="305" t="s">
        <v>530</v>
      </c>
      <c r="U443" s="305">
        <v>15</v>
      </c>
      <c r="V443" s="305">
        <v>5</v>
      </c>
      <c r="W443" s="303">
        <v>0.7</v>
      </c>
      <c r="X443" s="303">
        <v>0.7</v>
      </c>
      <c r="Y443" s="303">
        <v>0.7</v>
      </c>
      <c r="Z443" s="303">
        <v>1700</v>
      </c>
      <c r="AA443" s="303" t="s">
        <v>531</v>
      </c>
      <c r="AB443" s="303">
        <v>0.85</v>
      </c>
      <c r="AC443" s="303" t="s">
        <v>532</v>
      </c>
      <c r="AD443" s="303" t="s">
        <v>533</v>
      </c>
      <c r="AE443" s="303">
        <v>220</v>
      </c>
      <c r="AF443" s="133"/>
      <c r="AG443" s="322"/>
    </row>
    <row r="444" spans="1:33" ht="15.75">
      <c r="A444" s="302" t="s">
        <v>766</v>
      </c>
      <c r="B444" s="303" t="s">
        <v>554</v>
      </c>
      <c r="C444" s="303" t="s">
        <v>758</v>
      </c>
      <c r="D444" s="303" t="s">
        <v>529</v>
      </c>
      <c r="E444" s="303">
        <v>1.8</v>
      </c>
      <c r="F444" s="304">
        <v>45420.53125</v>
      </c>
      <c r="G444" s="303">
        <v>1</v>
      </c>
      <c r="H444" s="303">
        <v>51.374099999999999</v>
      </c>
      <c r="I444" s="303">
        <v>8.0090199999999996</v>
      </c>
      <c r="J444" s="303">
        <v>-22.283725</v>
      </c>
      <c r="K444" s="303">
        <v>-21.454719000000001</v>
      </c>
      <c r="L444" s="303">
        <v>1018.37</v>
      </c>
      <c r="M444" s="303">
        <v>119.000361</v>
      </c>
      <c r="N444" s="303">
        <v>21315.7997</v>
      </c>
      <c r="O444" s="303">
        <v>21307.3704</v>
      </c>
      <c r="P444" s="305">
        <v>2070.35</v>
      </c>
      <c r="Q444" s="299">
        <f t="shared" si="1"/>
        <v>2070.35</v>
      </c>
      <c r="R444" s="300" t="s">
        <v>230</v>
      </c>
      <c r="S444" s="300" t="s">
        <v>12</v>
      </c>
      <c r="T444" s="305" t="s">
        <v>530</v>
      </c>
      <c r="U444" s="305">
        <v>15</v>
      </c>
      <c r="V444" s="305">
        <v>5</v>
      </c>
      <c r="W444" s="303">
        <v>0.7</v>
      </c>
      <c r="X444" s="303">
        <v>0.7</v>
      </c>
      <c r="Y444" s="303">
        <v>0.7</v>
      </c>
      <c r="Z444" s="303">
        <v>1700</v>
      </c>
      <c r="AA444" s="303" t="s">
        <v>531</v>
      </c>
      <c r="AB444" s="303">
        <v>0.85</v>
      </c>
      <c r="AC444" s="303" t="s">
        <v>532</v>
      </c>
      <c r="AD444" s="303" t="s">
        <v>533</v>
      </c>
      <c r="AE444" s="303">
        <v>220</v>
      </c>
      <c r="AF444" s="133"/>
      <c r="AG444" s="322"/>
    </row>
    <row r="445" spans="1:33" ht="15.75">
      <c r="A445" s="302" t="s">
        <v>767</v>
      </c>
      <c r="B445" s="303" t="s">
        <v>554</v>
      </c>
      <c r="C445" s="303" t="s">
        <v>758</v>
      </c>
      <c r="D445" s="303" t="s">
        <v>529</v>
      </c>
      <c r="E445" s="303">
        <v>1.8</v>
      </c>
      <c r="F445" s="304">
        <v>45420.534722222219</v>
      </c>
      <c r="G445" s="303">
        <v>1</v>
      </c>
      <c r="H445" s="303">
        <v>51.374099999999999</v>
      </c>
      <c r="I445" s="303">
        <v>8.0506499999999992</v>
      </c>
      <c r="J445" s="303">
        <v>-22.217863000000001</v>
      </c>
      <c r="K445" s="303">
        <v>-21.380987000000001</v>
      </c>
      <c r="L445" s="303">
        <v>1019.74</v>
      </c>
      <c r="M445" s="303">
        <v>138.50008199999999</v>
      </c>
      <c r="N445" s="303">
        <v>21287.012569999999</v>
      </c>
      <c r="O445" s="303">
        <v>21307.3704</v>
      </c>
      <c r="P445" s="305">
        <v>2070.35</v>
      </c>
      <c r="Q445" s="299">
        <f t="shared" si="1"/>
        <v>2070.35</v>
      </c>
      <c r="R445" s="300" t="s">
        <v>230</v>
      </c>
      <c r="S445" s="300" t="s">
        <v>12</v>
      </c>
      <c r="T445" s="305" t="s">
        <v>530</v>
      </c>
      <c r="U445" s="305">
        <v>15</v>
      </c>
      <c r="V445" s="305">
        <v>5</v>
      </c>
      <c r="W445" s="303">
        <v>0.7</v>
      </c>
      <c r="X445" s="303">
        <v>0.7</v>
      </c>
      <c r="Y445" s="303">
        <v>0.7</v>
      </c>
      <c r="Z445" s="303">
        <v>1700</v>
      </c>
      <c r="AA445" s="303" t="s">
        <v>531</v>
      </c>
      <c r="AB445" s="303">
        <v>0.85</v>
      </c>
      <c r="AC445" s="303" t="s">
        <v>532</v>
      </c>
      <c r="AD445" s="303" t="s">
        <v>533</v>
      </c>
      <c r="AE445" s="303">
        <v>220</v>
      </c>
      <c r="AF445" s="133"/>
      <c r="AG445" s="322"/>
    </row>
    <row r="446" spans="1:33" ht="15.75">
      <c r="A446" s="308" t="s">
        <v>593</v>
      </c>
      <c r="B446" s="309">
        <v>2</v>
      </c>
      <c r="C446" s="309" t="s">
        <v>758</v>
      </c>
      <c r="D446" s="309" t="s">
        <v>529</v>
      </c>
      <c r="E446" s="309">
        <v>1.5</v>
      </c>
      <c r="F446" s="310">
        <v>45420.538194444445</v>
      </c>
      <c r="G446" s="309">
        <v>1</v>
      </c>
      <c r="H446" s="309">
        <v>51.384</v>
      </c>
      <c r="I446" s="309">
        <v>7.92265</v>
      </c>
      <c r="J446" s="309">
        <v>-22.191831000000001</v>
      </c>
      <c r="K446" s="309">
        <v>-21.345230999999998</v>
      </c>
      <c r="L446" s="309">
        <v>984.26300000000003</v>
      </c>
      <c r="M446" s="309">
        <v>110.499619</v>
      </c>
      <c r="N446" s="309">
        <v>17752.205809999999</v>
      </c>
      <c r="O446" s="309">
        <v>17794.095560000002</v>
      </c>
      <c r="P446" s="311">
        <v>2074.7430979999999</v>
      </c>
      <c r="Q446" s="299">
        <f t="shared" ref="Q446:Q450" si="2">AVERAGE(N$446:N$448)/(O$440/P$440)</f>
        <v>2071.586511160499</v>
      </c>
      <c r="R446" s="300" t="s">
        <v>530</v>
      </c>
      <c r="S446" s="300" t="s">
        <v>12</v>
      </c>
      <c r="T446" s="305" t="s">
        <v>545</v>
      </c>
      <c r="U446" s="305">
        <v>15</v>
      </c>
      <c r="V446" s="305">
        <v>5</v>
      </c>
      <c r="W446" s="303">
        <v>0.7</v>
      </c>
      <c r="X446" s="303">
        <v>0.7</v>
      </c>
      <c r="Y446" s="303">
        <v>0.7</v>
      </c>
      <c r="Z446" s="303">
        <v>1700</v>
      </c>
      <c r="AA446" s="303" t="s">
        <v>531</v>
      </c>
      <c r="AB446" s="303">
        <v>0.85</v>
      </c>
      <c r="AC446" s="303" t="s">
        <v>532</v>
      </c>
      <c r="AD446" s="303" t="s">
        <v>533</v>
      </c>
      <c r="AE446" s="303">
        <v>220</v>
      </c>
      <c r="AF446" s="133"/>
      <c r="AG446" s="322"/>
    </row>
    <row r="447" spans="1:33" ht="15.75">
      <c r="A447" s="308" t="s">
        <v>595</v>
      </c>
      <c r="B447" s="309">
        <v>2</v>
      </c>
      <c r="C447" s="309" t="s">
        <v>758</v>
      </c>
      <c r="D447" s="309" t="s">
        <v>529</v>
      </c>
      <c r="E447" s="309">
        <v>1.5</v>
      </c>
      <c r="F447" s="310">
        <v>45420.541666666664</v>
      </c>
      <c r="G447" s="309">
        <v>1</v>
      </c>
      <c r="H447" s="309">
        <v>51.377400000000002</v>
      </c>
      <c r="I447" s="309">
        <v>8.0144599999999997</v>
      </c>
      <c r="J447" s="309">
        <v>-22.343499999999999</v>
      </c>
      <c r="K447" s="309">
        <v>-21.516506</v>
      </c>
      <c r="L447" s="309">
        <v>1007.74</v>
      </c>
      <c r="M447" s="309">
        <v>134.49980400000001</v>
      </c>
      <c r="N447" s="309">
        <v>17760.294689999999</v>
      </c>
      <c r="O447" s="309">
        <v>17794.095560000002</v>
      </c>
      <c r="P447" s="311">
        <v>2074.7430979999999</v>
      </c>
      <c r="Q447" s="299">
        <f t="shared" si="2"/>
        <v>2071.586511160499</v>
      </c>
      <c r="R447" s="300" t="s">
        <v>530</v>
      </c>
      <c r="S447" s="300" t="s">
        <v>12</v>
      </c>
      <c r="T447" s="305" t="s">
        <v>545</v>
      </c>
      <c r="U447" s="305">
        <v>15</v>
      </c>
      <c r="V447" s="305">
        <v>5</v>
      </c>
      <c r="W447" s="303">
        <v>0.7</v>
      </c>
      <c r="X447" s="303">
        <v>0.7</v>
      </c>
      <c r="Y447" s="303">
        <v>0.7</v>
      </c>
      <c r="Z447" s="303">
        <v>1700</v>
      </c>
      <c r="AA447" s="303" t="s">
        <v>531</v>
      </c>
      <c r="AB447" s="303">
        <v>0.85</v>
      </c>
      <c r="AC447" s="303" t="s">
        <v>532</v>
      </c>
      <c r="AD447" s="303" t="s">
        <v>533</v>
      </c>
      <c r="AE447" s="303">
        <v>220</v>
      </c>
      <c r="AF447" s="133"/>
      <c r="AG447" s="322"/>
    </row>
    <row r="448" spans="1:33" ht="15.75">
      <c r="A448" s="308" t="s">
        <v>596</v>
      </c>
      <c r="B448" s="309">
        <v>2</v>
      </c>
      <c r="C448" s="309" t="s">
        <v>758</v>
      </c>
      <c r="D448" s="309" t="s">
        <v>529</v>
      </c>
      <c r="E448" s="309">
        <v>1.5</v>
      </c>
      <c r="F448" s="310">
        <v>45420.54583333333</v>
      </c>
      <c r="G448" s="309">
        <v>1</v>
      </c>
      <c r="H448" s="309">
        <v>51.374099999999999</v>
      </c>
      <c r="I448" s="309">
        <v>7.9299299999999997</v>
      </c>
      <c r="J448" s="309">
        <v>-22.326556</v>
      </c>
      <c r="K448" s="309">
        <v>-21.484680999999998</v>
      </c>
      <c r="L448" s="309">
        <v>1007.16</v>
      </c>
      <c r="M448" s="309">
        <v>129.49946299999999</v>
      </c>
      <c r="N448" s="309">
        <v>17788.579140000002</v>
      </c>
      <c r="O448" s="309">
        <v>17794.095560000002</v>
      </c>
      <c r="P448" s="311">
        <v>2074.7430979999999</v>
      </c>
      <c r="Q448" s="299">
        <f t="shared" si="2"/>
        <v>2071.586511160499</v>
      </c>
      <c r="R448" s="300" t="s">
        <v>530</v>
      </c>
      <c r="S448" s="300" t="s">
        <v>12</v>
      </c>
      <c r="T448" s="305" t="s">
        <v>530</v>
      </c>
      <c r="U448" s="305">
        <v>15</v>
      </c>
      <c r="V448" s="305">
        <v>5</v>
      </c>
      <c r="W448" s="303">
        <v>0.7</v>
      </c>
      <c r="X448" s="303">
        <v>0.7</v>
      </c>
      <c r="Y448" s="303">
        <v>0.7</v>
      </c>
      <c r="Z448" s="303">
        <v>1700</v>
      </c>
      <c r="AA448" s="303" t="s">
        <v>531</v>
      </c>
      <c r="AB448" s="303">
        <v>0.85</v>
      </c>
      <c r="AC448" s="303" t="s">
        <v>532</v>
      </c>
      <c r="AD448" s="303" t="s">
        <v>533</v>
      </c>
      <c r="AE448" s="303">
        <v>220</v>
      </c>
      <c r="AF448" s="133"/>
      <c r="AG448" s="323"/>
    </row>
    <row r="449" spans="1:33" ht="15.75">
      <c r="A449" s="308" t="s">
        <v>768</v>
      </c>
      <c r="B449" s="309">
        <v>2</v>
      </c>
      <c r="C449" s="309" t="s">
        <v>758</v>
      </c>
      <c r="D449" s="309" t="s">
        <v>529</v>
      </c>
      <c r="E449" s="309">
        <v>1.5</v>
      </c>
      <c r="F449" s="310">
        <v>45420.549305555556</v>
      </c>
      <c r="G449" s="309">
        <v>1</v>
      </c>
      <c r="H449" s="309">
        <v>51.374099999999999</v>
      </c>
      <c r="I449" s="309">
        <v>7.8531000000000004</v>
      </c>
      <c r="J449" s="309">
        <v>-22.1584</v>
      </c>
      <c r="K449" s="309">
        <v>-21.317855999999999</v>
      </c>
      <c r="L449" s="309">
        <v>1009.42</v>
      </c>
      <c r="M449" s="309">
        <v>115.99856200000001</v>
      </c>
      <c r="N449" s="309">
        <v>17807.646509999999</v>
      </c>
      <c r="O449" s="309">
        <v>17794.095560000002</v>
      </c>
      <c r="P449" s="311">
        <v>2074.7430979999999</v>
      </c>
      <c r="Q449" s="299">
        <f t="shared" si="2"/>
        <v>2071.586511160499</v>
      </c>
      <c r="R449" s="300" t="s">
        <v>545</v>
      </c>
      <c r="S449" s="300" t="s">
        <v>12</v>
      </c>
      <c r="T449" s="305" t="s">
        <v>530</v>
      </c>
      <c r="U449" s="305">
        <v>15</v>
      </c>
      <c r="V449" s="305">
        <v>5</v>
      </c>
      <c r="W449" s="303">
        <v>0.7</v>
      </c>
      <c r="X449" s="303">
        <v>0.7</v>
      </c>
      <c r="Y449" s="303">
        <v>0.7</v>
      </c>
      <c r="Z449" s="303">
        <v>1700</v>
      </c>
      <c r="AA449" s="303" t="s">
        <v>531</v>
      </c>
      <c r="AB449" s="303">
        <v>0.85</v>
      </c>
      <c r="AC449" s="303" t="s">
        <v>532</v>
      </c>
      <c r="AD449" s="303" t="s">
        <v>533</v>
      </c>
      <c r="AE449" s="303">
        <v>220</v>
      </c>
      <c r="AF449" s="133"/>
      <c r="AG449" s="323"/>
    </row>
    <row r="450" spans="1:33" ht="15.75">
      <c r="A450" s="308" t="s">
        <v>769</v>
      </c>
      <c r="B450" s="309">
        <v>2</v>
      </c>
      <c r="C450" s="309" t="s">
        <v>758</v>
      </c>
      <c r="D450" s="309" t="s">
        <v>529</v>
      </c>
      <c r="E450" s="309">
        <v>1.5</v>
      </c>
      <c r="F450" s="310">
        <v>45420.552777777775</v>
      </c>
      <c r="G450" s="309">
        <v>1</v>
      </c>
      <c r="H450" s="309">
        <v>51.377400000000002</v>
      </c>
      <c r="I450" s="309">
        <v>7.7203799999999996</v>
      </c>
      <c r="J450" s="309">
        <v>-22.216149999999999</v>
      </c>
      <c r="K450" s="309">
        <v>-21.371424999999999</v>
      </c>
      <c r="L450" s="309">
        <v>1008.72</v>
      </c>
      <c r="M450" s="309">
        <v>117.499824</v>
      </c>
      <c r="N450" s="309">
        <v>17786.061030000001</v>
      </c>
      <c r="O450" s="309">
        <v>17794.095560000002</v>
      </c>
      <c r="P450" s="311">
        <v>2074.7430979999999</v>
      </c>
      <c r="Q450" s="299">
        <f t="shared" si="2"/>
        <v>2071.586511160499</v>
      </c>
      <c r="R450" s="300" t="s">
        <v>545</v>
      </c>
      <c r="S450" s="300" t="s">
        <v>12</v>
      </c>
      <c r="T450" s="305" t="s">
        <v>530</v>
      </c>
      <c r="U450" s="305">
        <v>15</v>
      </c>
      <c r="V450" s="305">
        <v>5</v>
      </c>
      <c r="W450" s="303">
        <v>0.7</v>
      </c>
      <c r="X450" s="303">
        <v>0.7</v>
      </c>
      <c r="Y450" s="303">
        <v>0.7</v>
      </c>
      <c r="Z450" s="303">
        <v>1700</v>
      </c>
      <c r="AA450" s="303" t="s">
        <v>531</v>
      </c>
      <c r="AB450" s="303">
        <v>0.85</v>
      </c>
      <c r="AC450" s="303" t="s">
        <v>532</v>
      </c>
      <c r="AD450" s="303" t="s">
        <v>533</v>
      </c>
      <c r="AE450" s="303">
        <v>220</v>
      </c>
      <c r="AF450" s="133"/>
      <c r="AG450" s="323"/>
    </row>
    <row r="451" spans="1:33" ht="15.75">
      <c r="A451" s="302" t="s">
        <v>597</v>
      </c>
      <c r="B451" s="303">
        <v>3</v>
      </c>
      <c r="C451" s="303">
        <v>339</v>
      </c>
      <c r="D451" s="303" t="s">
        <v>561</v>
      </c>
      <c r="E451" s="303">
        <v>1.5</v>
      </c>
      <c r="F451" s="304">
        <v>45420.556944444441</v>
      </c>
      <c r="G451" s="303">
        <v>1</v>
      </c>
      <c r="H451" s="303">
        <v>51.377400000000002</v>
      </c>
      <c r="I451" s="303">
        <v>7.8132099999999998</v>
      </c>
      <c r="J451" s="303">
        <v>-22.239343999999999</v>
      </c>
      <c r="K451" s="303">
        <v>-21.414137</v>
      </c>
      <c r="L451" s="303">
        <v>1004.72</v>
      </c>
      <c r="M451" s="303">
        <v>111.999253</v>
      </c>
      <c r="N451" s="303">
        <v>17778.514930000001</v>
      </c>
      <c r="O451" s="303">
        <v>17777.544430000002</v>
      </c>
      <c r="P451" s="305">
        <v>2072.8130999999998</v>
      </c>
      <c r="Q451" s="299">
        <f t="shared" ref="Q451:Q530" si="3">P451</f>
        <v>2072.8130999999998</v>
      </c>
      <c r="R451" s="300" t="s">
        <v>230</v>
      </c>
      <c r="S451" s="300" t="s">
        <v>12</v>
      </c>
      <c r="T451" s="305" t="s">
        <v>530</v>
      </c>
      <c r="U451" s="305">
        <v>15</v>
      </c>
      <c r="V451" s="305">
        <v>5</v>
      </c>
      <c r="W451" s="303">
        <v>0.7</v>
      </c>
      <c r="X451" s="303">
        <v>0.7</v>
      </c>
      <c r="Y451" s="303">
        <v>0.7</v>
      </c>
      <c r="Z451" s="303">
        <v>1700</v>
      </c>
      <c r="AA451" s="303" t="s">
        <v>531</v>
      </c>
      <c r="AB451" s="303">
        <v>0.85</v>
      </c>
      <c r="AC451" s="303" t="s">
        <v>532</v>
      </c>
      <c r="AD451" s="303" t="s">
        <v>533</v>
      </c>
      <c r="AE451" s="303">
        <v>220</v>
      </c>
      <c r="AF451" s="133"/>
      <c r="AG451" s="323"/>
    </row>
    <row r="452" spans="1:33" ht="15" customHeight="1">
      <c r="A452" s="302" t="s">
        <v>599</v>
      </c>
      <c r="B452" s="303">
        <v>3</v>
      </c>
      <c r="C452" s="303">
        <v>339</v>
      </c>
      <c r="D452" s="303" t="s">
        <v>561</v>
      </c>
      <c r="E452" s="303">
        <v>1.5</v>
      </c>
      <c r="F452" s="304">
        <v>45420.560416666667</v>
      </c>
      <c r="G452" s="303">
        <v>1</v>
      </c>
      <c r="H452" s="303">
        <v>51.374099999999999</v>
      </c>
      <c r="I452" s="303">
        <v>7.8441700000000001</v>
      </c>
      <c r="J452" s="303">
        <v>-22.186831000000002</v>
      </c>
      <c r="K452" s="303">
        <v>-21.338349999999998</v>
      </c>
      <c r="L452" s="303">
        <v>997.55600000000004</v>
      </c>
      <c r="M452" s="303">
        <v>113.999576</v>
      </c>
      <c r="N452" s="303">
        <v>17782.302769999998</v>
      </c>
      <c r="O452" s="303">
        <v>17777.544430000002</v>
      </c>
      <c r="P452" s="305">
        <v>2072.8130999999998</v>
      </c>
      <c r="Q452" s="299">
        <f t="shared" si="3"/>
        <v>2072.8130999999998</v>
      </c>
      <c r="R452" s="300" t="s">
        <v>230</v>
      </c>
      <c r="S452" s="300" t="s">
        <v>12</v>
      </c>
      <c r="T452" s="305" t="s">
        <v>530</v>
      </c>
      <c r="U452" s="305">
        <v>15</v>
      </c>
      <c r="V452" s="305">
        <v>5</v>
      </c>
      <c r="W452" s="303">
        <v>0.7</v>
      </c>
      <c r="X452" s="303">
        <v>0.7</v>
      </c>
      <c r="Y452" s="303">
        <v>0.7</v>
      </c>
      <c r="Z452" s="303">
        <v>1700</v>
      </c>
      <c r="AA452" s="303" t="s">
        <v>531</v>
      </c>
      <c r="AB452" s="303">
        <v>0.85</v>
      </c>
      <c r="AC452" s="303" t="s">
        <v>532</v>
      </c>
      <c r="AD452" s="303" t="s">
        <v>533</v>
      </c>
      <c r="AE452" s="303">
        <v>220</v>
      </c>
      <c r="AF452" s="324"/>
      <c r="AG452" s="325"/>
    </row>
    <row r="453" spans="1:33" ht="15" customHeight="1">
      <c r="A453" s="302" t="s">
        <v>600</v>
      </c>
      <c r="B453" s="303">
        <v>3</v>
      </c>
      <c r="C453" s="303">
        <v>339</v>
      </c>
      <c r="D453" s="303" t="s">
        <v>561</v>
      </c>
      <c r="E453" s="303">
        <v>1.5</v>
      </c>
      <c r="F453" s="304">
        <v>45420.563888888886</v>
      </c>
      <c r="G453" s="303">
        <v>1</v>
      </c>
      <c r="H453" s="303">
        <v>51.370800000000003</v>
      </c>
      <c r="I453" s="303">
        <v>7.8917999999999999</v>
      </c>
      <c r="J453" s="303">
        <v>-22.211749999999999</v>
      </c>
      <c r="K453" s="303">
        <v>-21.370569</v>
      </c>
      <c r="L453" s="303">
        <v>1005.89</v>
      </c>
      <c r="M453" s="303">
        <v>124.499898</v>
      </c>
      <c r="N453" s="303">
        <v>17771.815579999999</v>
      </c>
      <c r="O453" s="303">
        <v>17777.544430000002</v>
      </c>
      <c r="P453" s="305">
        <v>2072.8130999999998</v>
      </c>
      <c r="Q453" s="299">
        <f t="shared" si="3"/>
        <v>2072.8130999999998</v>
      </c>
      <c r="R453" s="300" t="s">
        <v>230</v>
      </c>
      <c r="S453" s="300" t="s">
        <v>12</v>
      </c>
      <c r="T453" s="305" t="s">
        <v>530</v>
      </c>
      <c r="U453" s="305">
        <v>15</v>
      </c>
      <c r="V453" s="305">
        <v>5</v>
      </c>
      <c r="W453" s="303">
        <v>0.7</v>
      </c>
      <c r="X453" s="303">
        <v>0.7</v>
      </c>
      <c r="Y453" s="303">
        <v>0.7</v>
      </c>
      <c r="Z453" s="303">
        <v>1700</v>
      </c>
      <c r="AA453" s="303" t="s">
        <v>531</v>
      </c>
      <c r="AB453" s="303">
        <v>0.85</v>
      </c>
      <c r="AC453" s="303" t="s">
        <v>532</v>
      </c>
      <c r="AD453" s="303" t="s">
        <v>533</v>
      </c>
      <c r="AE453" s="303">
        <v>220</v>
      </c>
      <c r="AF453" s="324"/>
      <c r="AG453" s="325"/>
    </row>
    <row r="454" spans="1:33" ht="15" customHeight="1">
      <c r="A454" s="302" t="s">
        <v>602</v>
      </c>
      <c r="B454" s="303">
        <v>4</v>
      </c>
      <c r="C454" s="303">
        <v>340</v>
      </c>
      <c r="D454" s="303" t="s">
        <v>565</v>
      </c>
      <c r="E454" s="303">
        <v>1.5</v>
      </c>
      <c r="F454" s="304">
        <v>45420.568055555559</v>
      </c>
      <c r="G454" s="303">
        <v>1</v>
      </c>
      <c r="H454" s="303">
        <v>51.370800000000003</v>
      </c>
      <c r="I454" s="303">
        <v>7.9342300000000003</v>
      </c>
      <c r="J454" s="303">
        <v>-22.134612000000001</v>
      </c>
      <c r="K454" s="303">
        <v>-21.2849</v>
      </c>
      <c r="L454" s="303">
        <v>1013.75</v>
      </c>
      <c r="M454" s="303">
        <v>119.000277</v>
      </c>
      <c r="N454" s="303">
        <v>17805.24121</v>
      </c>
      <c r="O454" s="303">
        <v>17849.529210000001</v>
      </c>
      <c r="P454" s="305">
        <v>2081.2071209999999</v>
      </c>
      <c r="Q454" s="299">
        <f t="shared" si="3"/>
        <v>2081.2071209999999</v>
      </c>
      <c r="R454" s="300" t="s">
        <v>230</v>
      </c>
      <c r="S454" s="300" t="s">
        <v>12</v>
      </c>
      <c r="T454" s="305" t="s">
        <v>545</v>
      </c>
      <c r="U454" s="305">
        <v>15</v>
      </c>
      <c r="V454" s="305">
        <v>5</v>
      </c>
      <c r="W454" s="303">
        <v>0.7</v>
      </c>
      <c r="X454" s="303">
        <v>0.7</v>
      </c>
      <c r="Y454" s="303">
        <v>0.7</v>
      </c>
      <c r="Z454" s="303">
        <v>1700</v>
      </c>
      <c r="AA454" s="303" t="s">
        <v>531</v>
      </c>
      <c r="AB454" s="303">
        <v>0.85</v>
      </c>
      <c r="AC454" s="303" t="s">
        <v>532</v>
      </c>
      <c r="AD454" s="303" t="s">
        <v>533</v>
      </c>
      <c r="AE454" s="303">
        <v>220</v>
      </c>
      <c r="AF454" s="324"/>
      <c r="AG454" s="325"/>
    </row>
    <row r="455" spans="1:33" ht="15" customHeight="1">
      <c r="A455" s="302" t="s">
        <v>604</v>
      </c>
      <c r="B455" s="303">
        <v>4</v>
      </c>
      <c r="C455" s="303">
        <v>340</v>
      </c>
      <c r="D455" s="303" t="s">
        <v>565</v>
      </c>
      <c r="E455" s="303">
        <v>1.5</v>
      </c>
      <c r="F455" s="304">
        <v>45420.571527777778</v>
      </c>
      <c r="G455" s="303">
        <v>1</v>
      </c>
      <c r="H455" s="303">
        <v>51.374099999999999</v>
      </c>
      <c r="I455" s="303">
        <v>7.9556399999999998</v>
      </c>
      <c r="J455" s="303">
        <v>-22.141280999999999</v>
      </c>
      <c r="K455" s="303">
        <v>-21.305530999999998</v>
      </c>
      <c r="L455" s="303">
        <v>994.87300000000005</v>
      </c>
      <c r="M455" s="303">
        <v>120.0001</v>
      </c>
      <c r="N455" s="303">
        <v>17801.401819999999</v>
      </c>
      <c r="O455" s="303">
        <v>17849.529210000001</v>
      </c>
      <c r="P455" s="305">
        <v>2081.2071209999999</v>
      </c>
      <c r="Q455" s="299">
        <f t="shared" si="3"/>
        <v>2081.2071209999999</v>
      </c>
      <c r="R455" s="300" t="s">
        <v>230</v>
      </c>
      <c r="S455" s="300" t="s">
        <v>12</v>
      </c>
      <c r="T455" s="305" t="s">
        <v>545</v>
      </c>
      <c r="U455" s="305">
        <v>15</v>
      </c>
      <c r="V455" s="305">
        <v>5</v>
      </c>
      <c r="W455" s="303">
        <v>0.7</v>
      </c>
      <c r="X455" s="303">
        <v>0.7</v>
      </c>
      <c r="Y455" s="303">
        <v>0.7</v>
      </c>
      <c r="Z455" s="303">
        <v>1700</v>
      </c>
      <c r="AA455" s="303" t="s">
        <v>531</v>
      </c>
      <c r="AB455" s="303">
        <v>0.85</v>
      </c>
      <c r="AC455" s="303" t="s">
        <v>532</v>
      </c>
      <c r="AD455" s="303" t="s">
        <v>533</v>
      </c>
      <c r="AE455" s="303">
        <v>220</v>
      </c>
      <c r="AF455" s="324"/>
      <c r="AG455" s="325"/>
    </row>
    <row r="456" spans="1:33" ht="15" customHeight="1">
      <c r="A456" s="302" t="s">
        <v>605</v>
      </c>
      <c r="B456" s="303">
        <v>4</v>
      </c>
      <c r="C456" s="303">
        <v>340</v>
      </c>
      <c r="D456" s="303" t="s">
        <v>565</v>
      </c>
      <c r="E456" s="303">
        <v>1.5</v>
      </c>
      <c r="F456" s="304">
        <v>45420.574999999997</v>
      </c>
      <c r="G456" s="303">
        <v>1</v>
      </c>
      <c r="H456" s="303">
        <v>51.377400000000002</v>
      </c>
      <c r="I456" s="303">
        <v>7.8932099999999998</v>
      </c>
      <c r="J456" s="303">
        <v>-22.180381000000001</v>
      </c>
      <c r="K456" s="303">
        <v>-21.359337</v>
      </c>
      <c r="L456" s="303">
        <v>1006.7</v>
      </c>
      <c r="M456" s="303">
        <v>120.499578</v>
      </c>
      <c r="N456" s="303">
        <v>17838.84737</v>
      </c>
      <c r="O456" s="303">
        <v>17849.529210000001</v>
      </c>
      <c r="P456" s="305">
        <v>2081.2071209999999</v>
      </c>
      <c r="Q456" s="299">
        <f t="shared" si="3"/>
        <v>2081.2071209999999</v>
      </c>
      <c r="R456" s="300" t="s">
        <v>230</v>
      </c>
      <c r="S456" s="300" t="s">
        <v>12</v>
      </c>
      <c r="T456" s="305" t="s">
        <v>530</v>
      </c>
      <c r="U456" s="305">
        <v>15</v>
      </c>
      <c r="V456" s="305">
        <v>5</v>
      </c>
      <c r="W456" s="303">
        <v>0.7</v>
      </c>
      <c r="X456" s="303">
        <v>0.7</v>
      </c>
      <c r="Y456" s="303">
        <v>0.7</v>
      </c>
      <c r="Z456" s="303">
        <v>1700</v>
      </c>
      <c r="AA456" s="303" t="s">
        <v>531</v>
      </c>
      <c r="AB456" s="303">
        <v>0.85</v>
      </c>
      <c r="AC456" s="303" t="s">
        <v>532</v>
      </c>
      <c r="AD456" s="303" t="s">
        <v>533</v>
      </c>
      <c r="AE456" s="303">
        <v>220</v>
      </c>
      <c r="AF456" s="324"/>
      <c r="AG456" s="325"/>
    </row>
    <row r="457" spans="1:33" ht="15" customHeight="1">
      <c r="A457" s="302" t="s">
        <v>684</v>
      </c>
      <c r="B457" s="303">
        <v>4</v>
      </c>
      <c r="C457" s="303">
        <v>340</v>
      </c>
      <c r="D457" s="303" t="s">
        <v>565</v>
      </c>
      <c r="E457" s="303">
        <v>1.5</v>
      </c>
      <c r="F457" s="304">
        <v>45420.578472222223</v>
      </c>
      <c r="G457" s="303">
        <v>1</v>
      </c>
      <c r="H457" s="303">
        <v>51.374099999999999</v>
      </c>
      <c r="I457" s="303">
        <v>7.8663999999999996</v>
      </c>
      <c r="J457" s="303">
        <v>-22.163675000000001</v>
      </c>
      <c r="K457" s="303">
        <v>-21.318594000000001</v>
      </c>
      <c r="L457" s="303">
        <v>1007</v>
      </c>
      <c r="M457" s="303">
        <v>114.500208</v>
      </c>
      <c r="N457" s="303">
        <v>17846.406370000001</v>
      </c>
      <c r="O457" s="303">
        <v>17849.529210000001</v>
      </c>
      <c r="P457" s="305">
        <v>2081.2071209999999</v>
      </c>
      <c r="Q457" s="299">
        <f t="shared" si="3"/>
        <v>2081.2071209999999</v>
      </c>
      <c r="R457" s="300" t="s">
        <v>230</v>
      </c>
      <c r="S457" s="300" t="s">
        <v>12</v>
      </c>
      <c r="T457" s="305" t="s">
        <v>530</v>
      </c>
      <c r="U457" s="305">
        <v>15</v>
      </c>
      <c r="V457" s="305">
        <v>5</v>
      </c>
      <c r="W457" s="303">
        <v>0.7</v>
      </c>
      <c r="X457" s="303">
        <v>0.7</v>
      </c>
      <c r="Y457" s="303">
        <v>0.7</v>
      </c>
      <c r="Z457" s="303">
        <v>1700</v>
      </c>
      <c r="AA457" s="303" t="s">
        <v>531</v>
      </c>
      <c r="AB457" s="303">
        <v>0.85</v>
      </c>
      <c r="AC457" s="303" t="s">
        <v>532</v>
      </c>
      <c r="AD457" s="303" t="s">
        <v>533</v>
      </c>
      <c r="AE457" s="303">
        <v>220</v>
      </c>
      <c r="AF457" s="324"/>
      <c r="AG457" s="325"/>
    </row>
    <row r="458" spans="1:33" ht="15" customHeight="1">
      <c r="A458" s="302" t="s">
        <v>685</v>
      </c>
      <c r="B458" s="303">
        <v>4</v>
      </c>
      <c r="C458" s="303">
        <v>340</v>
      </c>
      <c r="D458" s="303" t="s">
        <v>565</v>
      </c>
      <c r="E458" s="303">
        <v>1.5</v>
      </c>
      <c r="F458" s="304">
        <v>45420.581944444442</v>
      </c>
      <c r="G458" s="303">
        <v>1</v>
      </c>
      <c r="H458" s="303">
        <v>51.374099999999999</v>
      </c>
      <c r="I458" s="303">
        <v>7.9890800000000004</v>
      </c>
      <c r="J458" s="303">
        <v>-22.259118999999998</v>
      </c>
      <c r="K458" s="303">
        <v>-21.412299999999998</v>
      </c>
      <c r="L458" s="303">
        <v>1003.3</v>
      </c>
      <c r="M458" s="303">
        <v>162.499291</v>
      </c>
      <c r="N458" s="303">
        <v>17863.333900000001</v>
      </c>
      <c r="O458" s="303">
        <v>17849.529210000001</v>
      </c>
      <c r="P458" s="305">
        <v>2081.2071209999999</v>
      </c>
      <c r="Q458" s="299">
        <f t="shared" si="3"/>
        <v>2081.2071209999999</v>
      </c>
      <c r="R458" s="300" t="s">
        <v>230</v>
      </c>
      <c r="S458" s="300" t="s">
        <v>12</v>
      </c>
      <c r="T458" s="305" t="s">
        <v>530</v>
      </c>
      <c r="U458" s="305">
        <v>15</v>
      </c>
      <c r="V458" s="305">
        <v>5</v>
      </c>
      <c r="W458" s="303">
        <v>0.7</v>
      </c>
      <c r="X458" s="303">
        <v>0.7</v>
      </c>
      <c r="Y458" s="303">
        <v>0.7</v>
      </c>
      <c r="Z458" s="303">
        <v>1700</v>
      </c>
      <c r="AA458" s="303" t="s">
        <v>531</v>
      </c>
      <c r="AB458" s="303">
        <v>0.85</v>
      </c>
      <c r="AC458" s="303" t="s">
        <v>532</v>
      </c>
      <c r="AD458" s="303" t="s">
        <v>533</v>
      </c>
      <c r="AE458" s="303">
        <v>220</v>
      </c>
      <c r="AF458" s="324"/>
      <c r="AG458" s="325"/>
    </row>
    <row r="459" spans="1:33" ht="15" customHeight="1">
      <c r="A459" s="302" t="s">
        <v>606</v>
      </c>
      <c r="B459" s="303">
        <v>5</v>
      </c>
      <c r="C459" s="303">
        <v>469</v>
      </c>
      <c r="D459" s="303" t="s">
        <v>570</v>
      </c>
      <c r="E459" s="303">
        <v>1.5</v>
      </c>
      <c r="F459" s="304">
        <v>45420.586805555555</v>
      </c>
      <c r="G459" s="303">
        <v>1</v>
      </c>
      <c r="H459" s="303">
        <v>51.370800000000003</v>
      </c>
      <c r="I459" s="303">
        <v>7.9617399999999998</v>
      </c>
      <c r="J459" s="303">
        <v>-22.142980999999999</v>
      </c>
      <c r="K459" s="303">
        <v>-21.305875</v>
      </c>
      <c r="L459" s="303">
        <v>999.84</v>
      </c>
      <c r="M459" s="303">
        <v>115.500917</v>
      </c>
      <c r="N459" s="303">
        <v>17718.34376</v>
      </c>
      <c r="O459" s="303">
        <v>17716.717530000002</v>
      </c>
      <c r="P459" s="305">
        <v>2065.7414899999999</v>
      </c>
      <c r="Q459" s="299">
        <f t="shared" si="3"/>
        <v>2065.7414899999999</v>
      </c>
      <c r="R459" s="300" t="s">
        <v>230</v>
      </c>
      <c r="S459" s="300" t="s">
        <v>12</v>
      </c>
      <c r="T459" s="305" t="s">
        <v>530</v>
      </c>
      <c r="U459" s="305">
        <v>15</v>
      </c>
      <c r="V459" s="305">
        <v>5</v>
      </c>
      <c r="W459" s="303">
        <v>0.7</v>
      </c>
      <c r="X459" s="303">
        <v>0.7</v>
      </c>
      <c r="Y459" s="303">
        <v>0.7</v>
      </c>
      <c r="Z459" s="303">
        <v>1700</v>
      </c>
      <c r="AA459" s="303" t="s">
        <v>531</v>
      </c>
      <c r="AB459" s="303">
        <v>0.85</v>
      </c>
      <c r="AC459" s="303" t="s">
        <v>532</v>
      </c>
      <c r="AD459" s="303" t="s">
        <v>533</v>
      </c>
      <c r="AE459" s="303">
        <v>220</v>
      </c>
      <c r="AF459" s="324"/>
      <c r="AG459" s="325"/>
    </row>
    <row r="460" spans="1:33" ht="15" customHeight="1">
      <c r="A460" s="302" t="s">
        <v>607</v>
      </c>
      <c r="B460" s="303">
        <v>5</v>
      </c>
      <c r="C460" s="303">
        <v>469</v>
      </c>
      <c r="D460" s="303" t="s">
        <v>570</v>
      </c>
      <c r="E460" s="303">
        <v>1.5</v>
      </c>
      <c r="F460" s="304">
        <v>45420.590277777781</v>
      </c>
      <c r="G460" s="303">
        <v>1</v>
      </c>
      <c r="H460" s="303">
        <v>51.3675</v>
      </c>
      <c r="I460" s="303">
        <v>8.09023</v>
      </c>
      <c r="J460" s="303">
        <v>-22.146238</v>
      </c>
      <c r="K460" s="303">
        <v>-21.324994</v>
      </c>
      <c r="L460" s="303">
        <v>995.77499999999998</v>
      </c>
      <c r="M460" s="303">
        <v>126.999939</v>
      </c>
      <c r="N460" s="303">
        <v>17729.244620000001</v>
      </c>
      <c r="O460" s="303">
        <v>17716.717530000002</v>
      </c>
      <c r="P460" s="305">
        <v>2065.7414899999999</v>
      </c>
      <c r="Q460" s="299">
        <f t="shared" si="3"/>
        <v>2065.7414899999999</v>
      </c>
      <c r="R460" s="300" t="s">
        <v>230</v>
      </c>
      <c r="S460" s="300" t="s">
        <v>12</v>
      </c>
      <c r="T460" s="305" t="s">
        <v>530</v>
      </c>
      <c r="U460" s="305">
        <v>15</v>
      </c>
      <c r="V460" s="305">
        <v>5</v>
      </c>
      <c r="W460" s="303">
        <v>0.7</v>
      </c>
      <c r="X460" s="303">
        <v>0.7</v>
      </c>
      <c r="Y460" s="303">
        <v>0.7</v>
      </c>
      <c r="Z460" s="303">
        <v>1700</v>
      </c>
      <c r="AA460" s="303" t="s">
        <v>531</v>
      </c>
      <c r="AB460" s="303">
        <v>0.85</v>
      </c>
      <c r="AC460" s="303" t="s">
        <v>532</v>
      </c>
      <c r="AD460" s="303" t="s">
        <v>533</v>
      </c>
      <c r="AE460" s="303">
        <v>220</v>
      </c>
      <c r="AF460" s="324"/>
      <c r="AG460" s="325"/>
    </row>
    <row r="461" spans="1:33" ht="15" customHeight="1">
      <c r="A461" s="302" t="s">
        <v>608</v>
      </c>
      <c r="B461" s="303">
        <v>5</v>
      </c>
      <c r="C461" s="303">
        <v>469</v>
      </c>
      <c r="D461" s="303" t="s">
        <v>570</v>
      </c>
      <c r="E461" s="303">
        <v>1.5</v>
      </c>
      <c r="F461" s="304">
        <v>45420.59375</v>
      </c>
      <c r="G461" s="303">
        <v>1</v>
      </c>
      <c r="H461" s="303">
        <v>51.377400000000002</v>
      </c>
      <c r="I461" s="303">
        <v>8.0718700000000005</v>
      </c>
      <c r="J461" s="303">
        <v>-22.129387000000001</v>
      </c>
      <c r="K461" s="303">
        <v>-21.307580999999999</v>
      </c>
      <c r="L461" s="303">
        <v>992.80700000000002</v>
      </c>
      <c r="M461" s="303">
        <v>170.49999600000001</v>
      </c>
      <c r="N461" s="303">
        <v>17702.564200000001</v>
      </c>
      <c r="O461" s="303">
        <v>17716.717530000002</v>
      </c>
      <c r="P461" s="305">
        <v>2065.7414899999999</v>
      </c>
      <c r="Q461" s="299">
        <f t="shared" si="3"/>
        <v>2065.7414899999999</v>
      </c>
      <c r="R461" s="300" t="s">
        <v>230</v>
      </c>
      <c r="S461" s="300" t="s">
        <v>12</v>
      </c>
      <c r="T461" s="305" t="s">
        <v>530</v>
      </c>
      <c r="U461" s="305">
        <v>15</v>
      </c>
      <c r="V461" s="305">
        <v>5</v>
      </c>
      <c r="W461" s="303">
        <v>0.7</v>
      </c>
      <c r="X461" s="303">
        <v>0.7</v>
      </c>
      <c r="Y461" s="303">
        <v>0.7</v>
      </c>
      <c r="Z461" s="303">
        <v>1700</v>
      </c>
      <c r="AA461" s="303" t="s">
        <v>531</v>
      </c>
      <c r="AB461" s="303">
        <v>0.85</v>
      </c>
      <c r="AC461" s="303" t="s">
        <v>532</v>
      </c>
      <c r="AD461" s="303" t="s">
        <v>533</v>
      </c>
      <c r="AE461" s="303">
        <v>220</v>
      </c>
      <c r="AF461" s="324"/>
      <c r="AG461" s="325"/>
    </row>
    <row r="462" spans="1:33" ht="15" customHeight="1">
      <c r="A462" s="302" t="s">
        <v>610</v>
      </c>
      <c r="B462" s="303">
        <v>6</v>
      </c>
      <c r="C462" s="303">
        <v>470</v>
      </c>
      <c r="D462" s="303" t="s">
        <v>575</v>
      </c>
      <c r="E462" s="303">
        <v>1.5</v>
      </c>
      <c r="F462" s="304">
        <v>45420.598611111112</v>
      </c>
      <c r="G462" s="303">
        <v>1</v>
      </c>
      <c r="H462" s="303">
        <v>51.377400000000002</v>
      </c>
      <c r="I462" s="303">
        <v>7.9686599999999999</v>
      </c>
      <c r="J462" s="303">
        <v>-22.194600000000001</v>
      </c>
      <c r="K462" s="303">
        <v>-21.345362999999999</v>
      </c>
      <c r="L462" s="303">
        <v>990.96699999999998</v>
      </c>
      <c r="M462" s="303">
        <v>161.00064800000001</v>
      </c>
      <c r="N462" s="303">
        <v>17745.716489999999</v>
      </c>
      <c r="O462" s="303">
        <v>17733.28846</v>
      </c>
      <c r="P462" s="305">
        <v>2067.6649040000002</v>
      </c>
      <c r="Q462" s="299">
        <f t="shared" si="3"/>
        <v>2067.6649040000002</v>
      </c>
      <c r="R462" s="300" t="s">
        <v>230</v>
      </c>
      <c r="S462" s="300" t="s">
        <v>12</v>
      </c>
      <c r="T462" s="305" t="s">
        <v>530</v>
      </c>
      <c r="U462" s="305">
        <v>15</v>
      </c>
      <c r="V462" s="305">
        <v>5</v>
      </c>
      <c r="W462" s="303">
        <v>0.7</v>
      </c>
      <c r="X462" s="303">
        <v>0.7</v>
      </c>
      <c r="Y462" s="303">
        <v>0.7</v>
      </c>
      <c r="Z462" s="303">
        <v>1700</v>
      </c>
      <c r="AA462" s="303" t="s">
        <v>531</v>
      </c>
      <c r="AB462" s="303">
        <v>0.85</v>
      </c>
      <c r="AC462" s="303" t="s">
        <v>532</v>
      </c>
      <c r="AD462" s="303" t="s">
        <v>533</v>
      </c>
      <c r="AE462" s="303">
        <v>220</v>
      </c>
      <c r="AF462" s="324"/>
      <c r="AG462" s="325"/>
    </row>
    <row r="463" spans="1:33" ht="15" customHeight="1">
      <c r="A463" s="302" t="s">
        <v>611</v>
      </c>
      <c r="B463" s="303">
        <v>6</v>
      </c>
      <c r="C463" s="303">
        <v>470</v>
      </c>
      <c r="D463" s="303" t="s">
        <v>575</v>
      </c>
      <c r="E463" s="303">
        <v>1.5</v>
      </c>
      <c r="F463" s="304">
        <v>45420.602777777778</v>
      </c>
      <c r="G463" s="303">
        <v>1</v>
      </c>
      <c r="H463" s="303">
        <v>51.377400000000002</v>
      </c>
      <c r="I463" s="303">
        <v>8.0319900000000004</v>
      </c>
      <c r="J463" s="303">
        <v>-22.153244000000001</v>
      </c>
      <c r="K463" s="303">
        <v>-21.315169000000001</v>
      </c>
      <c r="L463" s="303">
        <v>982.88400000000001</v>
      </c>
      <c r="M463" s="303">
        <v>117.99914699999999</v>
      </c>
      <c r="N463" s="303">
        <v>17718.26125</v>
      </c>
      <c r="O463" s="303">
        <v>17733.28846</v>
      </c>
      <c r="P463" s="305">
        <v>2067.6649040000002</v>
      </c>
      <c r="Q463" s="299">
        <f t="shared" si="3"/>
        <v>2067.6649040000002</v>
      </c>
      <c r="R463" s="300" t="s">
        <v>230</v>
      </c>
      <c r="S463" s="300" t="s">
        <v>12</v>
      </c>
      <c r="T463" s="305" t="s">
        <v>530</v>
      </c>
      <c r="U463" s="305">
        <v>15</v>
      </c>
      <c r="V463" s="305">
        <v>5</v>
      </c>
      <c r="W463" s="303">
        <v>0.7</v>
      </c>
      <c r="X463" s="303">
        <v>0.7</v>
      </c>
      <c r="Y463" s="303">
        <v>0.7</v>
      </c>
      <c r="Z463" s="303">
        <v>1700</v>
      </c>
      <c r="AA463" s="303" t="s">
        <v>531</v>
      </c>
      <c r="AB463" s="303">
        <v>0.85</v>
      </c>
      <c r="AC463" s="303" t="s">
        <v>532</v>
      </c>
      <c r="AD463" s="303" t="s">
        <v>533</v>
      </c>
      <c r="AE463" s="303">
        <v>220</v>
      </c>
      <c r="AF463" s="324"/>
      <c r="AG463" s="325"/>
    </row>
    <row r="464" spans="1:33" ht="15" customHeight="1">
      <c r="A464" s="302" t="s">
        <v>612</v>
      </c>
      <c r="B464" s="303">
        <v>6</v>
      </c>
      <c r="C464" s="303">
        <v>470</v>
      </c>
      <c r="D464" s="303" t="s">
        <v>575</v>
      </c>
      <c r="E464" s="303">
        <v>1.5</v>
      </c>
      <c r="F464" s="304">
        <v>45420.606249999997</v>
      </c>
      <c r="G464" s="303">
        <v>1</v>
      </c>
      <c r="H464" s="303">
        <v>51.370800000000003</v>
      </c>
      <c r="I464" s="303">
        <v>7.9318299999999997</v>
      </c>
      <c r="J464" s="303">
        <v>-22.165962</v>
      </c>
      <c r="K464" s="303">
        <v>-21.327487999999999</v>
      </c>
      <c r="L464" s="303">
        <v>992.73599999999999</v>
      </c>
      <c r="M464" s="303">
        <v>116.499927</v>
      </c>
      <c r="N464" s="303">
        <v>17735.887640000001</v>
      </c>
      <c r="O464" s="303">
        <v>17733.28846</v>
      </c>
      <c r="P464" s="305">
        <v>2067.6649040000002</v>
      </c>
      <c r="Q464" s="299">
        <f t="shared" si="3"/>
        <v>2067.6649040000002</v>
      </c>
      <c r="R464" s="300" t="s">
        <v>230</v>
      </c>
      <c r="S464" s="300" t="s">
        <v>12</v>
      </c>
      <c r="T464" s="305" t="s">
        <v>530</v>
      </c>
      <c r="U464" s="305">
        <v>15</v>
      </c>
      <c r="V464" s="305">
        <v>5</v>
      </c>
      <c r="W464" s="303">
        <v>0.7</v>
      </c>
      <c r="X464" s="303">
        <v>0.7</v>
      </c>
      <c r="Y464" s="303">
        <v>0.7</v>
      </c>
      <c r="Z464" s="303">
        <v>1700</v>
      </c>
      <c r="AA464" s="303" t="s">
        <v>531</v>
      </c>
      <c r="AB464" s="303">
        <v>0.85</v>
      </c>
      <c r="AC464" s="303" t="s">
        <v>532</v>
      </c>
      <c r="AD464" s="303" t="s">
        <v>533</v>
      </c>
      <c r="AE464" s="303">
        <v>220</v>
      </c>
      <c r="AF464" s="324"/>
      <c r="AG464" s="325"/>
    </row>
    <row r="465" spans="1:33" ht="15" customHeight="1">
      <c r="A465" s="302" t="s">
        <v>614</v>
      </c>
      <c r="B465" s="303">
        <v>7</v>
      </c>
      <c r="C465" s="303">
        <v>352</v>
      </c>
      <c r="D465" s="303" t="s">
        <v>581</v>
      </c>
      <c r="E465" s="303">
        <v>1.5</v>
      </c>
      <c r="F465" s="304">
        <v>45420.61041666667</v>
      </c>
      <c r="G465" s="303">
        <v>1</v>
      </c>
      <c r="H465" s="303">
        <v>51.374099999999999</v>
      </c>
      <c r="I465" s="303">
        <v>7.9680099999999996</v>
      </c>
      <c r="J465" s="303">
        <v>-22.170968999999999</v>
      </c>
      <c r="K465" s="303">
        <v>-21.334156</v>
      </c>
      <c r="L465" s="303">
        <v>987.96400000000006</v>
      </c>
      <c r="M465" s="303">
        <v>120.49949700000001</v>
      </c>
      <c r="N465" s="303">
        <v>17687.473900000001</v>
      </c>
      <c r="O465" s="303">
        <v>0</v>
      </c>
      <c r="P465" s="305">
        <v>0</v>
      </c>
      <c r="Q465" s="299">
        <f t="shared" si="3"/>
        <v>0</v>
      </c>
      <c r="R465" s="300" t="s">
        <v>230</v>
      </c>
      <c r="S465" s="300" t="s">
        <v>582</v>
      </c>
      <c r="T465" s="305" t="s">
        <v>583</v>
      </c>
      <c r="U465" s="305">
        <v>15</v>
      </c>
      <c r="V465" s="305">
        <v>5</v>
      </c>
      <c r="W465" s="303">
        <v>0.7</v>
      </c>
      <c r="X465" s="303">
        <v>0.7</v>
      </c>
      <c r="Y465" s="303">
        <v>0.7</v>
      </c>
      <c r="Z465" s="303">
        <v>1700</v>
      </c>
      <c r="AA465" s="303" t="s">
        <v>531</v>
      </c>
      <c r="AB465" s="303">
        <v>0.85</v>
      </c>
      <c r="AC465" s="303" t="s">
        <v>532</v>
      </c>
      <c r="AD465" s="303" t="s">
        <v>533</v>
      </c>
      <c r="AE465" s="303">
        <v>220</v>
      </c>
      <c r="AF465" s="324"/>
      <c r="AG465" s="325"/>
    </row>
    <row r="466" spans="1:33" ht="15" customHeight="1">
      <c r="A466" s="302" t="s">
        <v>615</v>
      </c>
      <c r="B466" s="303">
        <v>7</v>
      </c>
      <c r="C466" s="303">
        <v>352</v>
      </c>
      <c r="D466" s="303" t="s">
        <v>581</v>
      </c>
      <c r="E466" s="303">
        <v>1.5</v>
      </c>
      <c r="F466" s="304">
        <v>45420.613888888889</v>
      </c>
      <c r="G466" s="303">
        <v>1</v>
      </c>
      <c r="H466" s="303">
        <v>51.370800000000003</v>
      </c>
      <c r="I466" s="303">
        <v>7.8942600000000001</v>
      </c>
      <c r="J466" s="303">
        <v>-22.114336999999999</v>
      </c>
      <c r="K466" s="303">
        <v>-21.282619</v>
      </c>
      <c r="L466" s="303">
        <v>989.11599999999999</v>
      </c>
      <c r="M466" s="303">
        <v>117.99993000000001</v>
      </c>
      <c r="N466" s="303">
        <v>17729.191429999999</v>
      </c>
      <c r="O466" s="303">
        <v>0</v>
      </c>
      <c r="P466" s="305">
        <v>0</v>
      </c>
      <c r="Q466" s="299">
        <f t="shared" si="3"/>
        <v>0</v>
      </c>
      <c r="R466" s="300" t="s">
        <v>230</v>
      </c>
      <c r="S466" s="300" t="s">
        <v>582</v>
      </c>
      <c r="T466" s="305" t="s">
        <v>583</v>
      </c>
      <c r="U466" s="305">
        <v>15</v>
      </c>
      <c r="V466" s="305">
        <v>5</v>
      </c>
      <c r="W466" s="303">
        <v>0.7</v>
      </c>
      <c r="X466" s="303">
        <v>0.7</v>
      </c>
      <c r="Y466" s="303">
        <v>0.7</v>
      </c>
      <c r="Z466" s="303">
        <v>1700</v>
      </c>
      <c r="AA466" s="303" t="s">
        <v>531</v>
      </c>
      <c r="AB466" s="303">
        <v>0.85</v>
      </c>
      <c r="AC466" s="303" t="s">
        <v>532</v>
      </c>
      <c r="AD466" s="303" t="s">
        <v>533</v>
      </c>
      <c r="AE466" s="303">
        <v>220</v>
      </c>
      <c r="AF466" s="324"/>
      <c r="AG466" s="325"/>
    </row>
    <row r="467" spans="1:33" ht="15" customHeight="1">
      <c r="A467" s="302" t="s">
        <v>616</v>
      </c>
      <c r="B467" s="303">
        <v>7</v>
      </c>
      <c r="C467" s="303">
        <v>352</v>
      </c>
      <c r="D467" s="303" t="s">
        <v>581</v>
      </c>
      <c r="E467" s="303">
        <v>1.5</v>
      </c>
      <c r="F467" s="304">
        <v>45420.617361111108</v>
      </c>
      <c r="G467" s="303">
        <v>1</v>
      </c>
      <c r="H467" s="303">
        <v>51.370800000000003</v>
      </c>
      <c r="I467" s="303">
        <v>7.8583499999999997</v>
      </c>
      <c r="J467" s="303">
        <v>-22.086987000000001</v>
      </c>
      <c r="K467" s="303">
        <v>-21.282299999999999</v>
      </c>
      <c r="L467" s="303">
        <v>996.58</v>
      </c>
      <c r="M467" s="303">
        <v>124.499741</v>
      </c>
      <c r="N467" s="303">
        <v>17646.774700000002</v>
      </c>
      <c r="O467" s="303">
        <v>0</v>
      </c>
      <c r="P467" s="305">
        <v>0</v>
      </c>
      <c r="Q467" s="299">
        <f t="shared" si="3"/>
        <v>0</v>
      </c>
      <c r="R467" s="300" t="s">
        <v>230</v>
      </c>
      <c r="S467" s="300" t="s">
        <v>582</v>
      </c>
      <c r="T467" s="305" t="s">
        <v>583</v>
      </c>
      <c r="U467" s="305">
        <v>15</v>
      </c>
      <c r="V467" s="305">
        <v>5</v>
      </c>
      <c r="W467" s="303">
        <v>0.7</v>
      </c>
      <c r="X467" s="303">
        <v>0.7</v>
      </c>
      <c r="Y467" s="303">
        <v>0.7</v>
      </c>
      <c r="Z467" s="303">
        <v>1700</v>
      </c>
      <c r="AA467" s="303" t="s">
        <v>531</v>
      </c>
      <c r="AB467" s="303">
        <v>0.85</v>
      </c>
      <c r="AC467" s="303" t="s">
        <v>532</v>
      </c>
      <c r="AD467" s="303" t="s">
        <v>533</v>
      </c>
      <c r="AE467" s="303">
        <v>220</v>
      </c>
      <c r="AF467" s="324"/>
      <c r="AG467" s="325"/>
    </row>
    <row r="468" spans="1:33" ht="15" customHeight="1">
      <c r="A468" s="302" t="s">
        <v>693</v>
      </c>
      <c r="B468" s="303">
        <v>7</v>
      </c>
      <c r="C468" s="303">
        <v>352</v>
      </c>
      <c r="D468" s="303" t="s">
        <v>581</v>
      </c>
      <c r="E468" s="303">
        <v>1.5</v>
      </c>
      <c r="F468" s="304">
        <v>45420.620833333334</v>
      </c>
      <c r="G468" s="303">
        <v>1</v>
      </c>
      <c r="H468" s="303">
        <v>51.3675</v>
      </c>
      <c r="I468" s="303">
        <v>7.7499700000000002</v>
      </c>
      <c r="J468" s="303">
        <v>-21.956137999999999</v>
      </c>
      <c r="K468" s="303">
        <v>-21.119980999999999</v>
      </c>
      <c r="L468" s="303">
        <v>997.94100000000003</v>
      </c>
      <c r="M468" s="303">
        <v>110.499681</v>
      </c>
      <c r="N468" s="303">
        <v>17646.110420000001</v>
      </c>
      <c r="O468" s="303">
        <v>0</v>
      </c>
      <c r="P468" s="305">
        <v>0</v>
      </c>
      <c r="Q468" s="299">
        <f t="shared" si="3"/>
        <v>0</v>
      </c>
      <c r="R468" s="300" t="s">
        <v>230</v>
      </c>
      <c r="S468" s="300" t="s">
        <v>582</v>
      </c>
      <c r="T468" s="305" t="s">
        <v>583</v>
      </c>
      <c r="U468" s="305">
        <v>15</v>
      </c>
      <c r="V468" s="305">
        <v>5</v>
      </c>
      <c r="W468" s="303">
        <v>0.7</v>
      </c>
      <c r="X468" s="303">
        <v>0.7</v>
      </c>
      <c r="Y468" s="303">
        <v>0.7</v>
      </c>
      <c r="Z468" s="303">
        <v>1700</v>
      </c>
      <c r="AA468" s="303" t="s">
        <v>531</v>
      </c>
      <c r="AB468" s="303">
        <v>0.85</v>
      </c>
      <c r="AC468" s="303" t="s">
        <v>532</v>
      </c>
      <c r="AD468" s="303" t="s">
        <v>533</v>
      </c>
      <c r="AE468" s="303">
        <v>220</v>
      </c>
      <c r="AF468" s="324"/>
      <c r="AG468" s="325"/>
    </row>
    <row r="469" spans="1:33" ht="15" customHeight="1">
      <c r="A469" s="302" t="s">
        <v>694</v>
      </c>
      <c r="B469" s="303">
        <v>7</v>
      </c>
      <c r="C469" s="303">
        <v>352</v>
      </c>
      <c r="D469" s="303" t="s">
        <v>581</v>
      </c>
      <c r="E469" s="303">
        <v>1.5</v>
      </c>
      <c r="F469" s="304">
        <v>45420.624305555553</v>
      </c>
      <c r="G469" s="303">
        <v>1</v>
      </c>
      <c r="H469" s="303">
        <v>51.374099999999999</v>
      </c>
      <c r="I469" s="303">
        <v>7.8737700000000004</v>
      </c>
      <c r="J469" s="303">
        <v>-22.007580999999998</v>
      </c>
      <c r="K469" s="303">
        <v>-21.175681000000001</v>
      </c>
      <c r="L469" s="303">
        <v>988.197</v>
      </c>
      <c r="M469" s="303">
        <v>112.500257</v>
      </c>
      <c r="N469" s="303">
        <v>17678.684519999999</v>
      </c>
      <c r="O469" s="303">
        <v>0</v>
      </c>
      <c r="P469" s="305">
        <v>0</v>
      </c>
      <c r="Q469" s="299">
        <f t="shared" si="3"/>
        <v>0</v>
      </c>
      <c r="R469" s="300" t="s">
        <v>230</v>
      </c>
      <c r="S469" s="300" t="s">
        <v>582</v>
      </c>
      <c r="T469" s="305" t="s">
        <v>583</v>
      </c>
      <c r="U469" s="305">
        <v>15</v>
      </c>
      <c r="V469" s="305">
        <v>5</v>
      </c>
      <c r="W469" s="303">
        <v>0.7</v>
      </c>
      <c r="X469" s="303">
        <v>0.7</v>
      </c>
      <c r="Y469" s="303">
        <v>0.7</v>
      </c>
      <c r="Z469" s="303">
        <v>1700</v>
      </c>
      <c r="AA469" s="303" t="s">
        <v>531</v>
      </c>
      <c r="AB469" s="303">
        <v>0.85</v>
      </c>
      <c r="AC469" s="303" t="s">
        <v>532</v>
      </c>
      <c r="AD469" s="303" t="s">
        <v>533</v>
      </c>
      <c r="AE469" s="303">
        <v>220</v>
      </c>
      <c r="AF469" s="324"/>
      <c r="AG469" s="325"/>
    </row>
    <row r="470" spans="1:33" ht="15" customHeight="1">
      <c r="A470" s="302" t="s">
        <v>733</v>
      </c>
      <c r="B470" s="303">
        <v>7</v>
      </c>
      <c r="C470" s="303">
        <v>352</v>
      </c>
      <c r="D470" s="303" t="s">
        <v>581</v>
      </c>
      <c r="E470" s="303">
        <v>1.5</v>
      </c>
      <c r="F470" s="304">
        <v>45420.62777777778</v>
      </c>
      <c r="G470" s="303">
        <v>2</v>
      </c>
      <c r="H470" s="303">
        <v>51.374099999999999</v>
      </c>
      <c r="I470" s="303">
        <v>8.0033100000000008</v>
      </c>
      <c r="J470" s="303">
        <v>-22.076699999999999</v>
      </c>
      <c r="K470" s="303">
        <v>-21.230356</v>
      </c>
      <c r="L470" s="303">
        <v>993.58100000000002</v>
      </c>
      <c r="M470" s="303">
        <v>129.999618</v>
      </c>
      <c r="N470" s="303">
        <v>17653.050660000001</v>
      </c>
      <c r="O470" s="303">
        <v>17661.721379999999</v>
      </c>
      <c r="P470" s="305">
        <v>2059.3580019999999</v>
      </c>
      <c r="Q470" s="299">
        <f t="shared" si="3"/>
        <v>2059.3580019999999</v>
      </c>
      <c r="R470" s="300" t="s">
        <v>230</v>
      </c>
      <c r="S470" s="300" t="s">
        <v>12</v>
      </c>
      <c r="T470" s="305" t="s">
        <v>530</v>
      </c>
      <c r="U470" s="305">
        <v>15</v>
      </c>
      <c r="V470" s="305">
        <v>5</v>
      </c>
      <c r="W470" s="303">
        <v>0.7</v>
      </c>
      <c r="X470" s="303">
        <v>0.7</v>
      </c>
      <c r="Y470" s="303">
        <v>0.7</v>
      </c>
      <c r="Z470" s="303">
        <v>1700</v>
      </c>
      <c r="AA470" s="303" t="s">
        <v>531</v>
      </c>
      <c r="AB470" s="303">
        <v>0.85</v>
      </c>
      <c r="AC470" s="303" t="s">
        <v>532</v>
      </c>
      <c r="AD470" s="303" t="s">
        <v>533</v>
      </c>
      <c r="AE470" s="303">
        <v>220</v>
      </c>
      <c r="AF470" s="324"/>
      <c r="AG470" s="326"/>
    </row>
    <row r="471" spans="1:33" ht="15" customHeight="1">
      <c r="A471" s="302" t="s">
        <v>734</v>
      </c>
      <c r="B471" s="303">
        <v>7</v>
      </c>
      <c r="C471" s="303">
        <v>352</v>
      </c>
      <c r="D471" s="303" t="s">
        <v>581</v>
      </c>
      <c r="E471" s="303">
        <v>1.5</v>
      </c>
      <c r="F471" s="304">
        <v>45420.631249999999</v>
      </c>
      <c r="G471" s="303">
        <v>2</v>
      </c>
      <c r="H471" s="303">
        <v>51.377400000000002</v>
      </c>
      <c r="I471" s="303">
        <v>7.8330500000000001</v>
      </c>
      <c r="J471" s="303">
        <v>-22.088331</v>
      </c>
      <c r="K471" s="303">
        <v>-21.245830999999999</v>
      </c>
      <c r="L471" s="303">
        <v>987.42899999999997</v>
      </c>
      <c r="M471" s="303">
        <v>117.000663</v>
      </c>
      <c r="N471" s="303">
        <v>17670.174739999999</v>
      </c>
      <c r="O471" s="303">
        <v>17661.721379999999</v>
      </c>
      <c r="P471" s="305">
        <v>2059.3580019999999</v>
      </c>
      <c r="Q471" s="299">
        <f t="shared" si="3"/>
        <v>2059.3580019999999</v>
      </c>
      <c r="R471" s="300" t="s">
        <v>230</v>
      </c>
      <c r="S471" s="300" t="s">
        <v>12</v>
      </c>
      <c r="T471" s="305" t="s">
        <v>530</v>
      </c>
      <c r="U471" s="305">
        <v>15</v>
      </c>
      <c r="V471" s="305">
        <v>5</v>
      </c>
      <c r="W471" s="303">
        <v>0.7</v>
      </c>
      <c r="X471" s="303">
        <v>0.7</v>
      </c>
      <c r="Y471" s="303">
        <v>0.7</v>
      </c>
      <c r="Z471" s="303">
        <v>1700</v>
      </c>
      <c r="AA471" s="303" t="s">
        <v>531</v>
      </c>
      <c r="AB471" s="303">
        <v>0.85</v>
      </c>
      <c r="AC471" s="303" t="s">
        <v>532</v>
      </c>
      <c r="AD471" s="303" t="s">
        <v>533</v>
      </c>
      <c r="AE471" s="303">
        <v>220</v>
      </c>
      <c r="AF471" s="324"/>
      <c r="AG471" s="326"/>
    </row>
    <row r="472" spans="1:33" ht="15" customHeight="1">
      <c r="A472" s="302" t="s">
        <v>735</v>
      </c>
      <c r="B472" s="303">
        <v>7</v>
      </c>
      <c r="C472" s="303">
        <v>352</v>
      </c>
      <c r="D472" s="303" t="s">
        <v>581</v>
      </c>
      <c r="E472" s="303">
        <v>1.5</v>
      </c>
      <c r="F472" s="304">
        <v>45420.634722222225</v>
      </c>
      <c r="G472" s="303">
        <v>2</v>
      </c>
      <c r="H472" s="303">
        <v>51.377400000000002</v>
      </c>
      <c r="I472" s="303">
        <v>7.8840599999999998</v>
      </c>
      <c r="J472" s="303">
        <v>-22.191419</v>
      </c>
      <c r="K472" s="303">
        <v>-21.355394</v>
      </c>
      <c r="L472" s="303">
        <v>978.80700000000002</v>
      </c>
      <c r="M472" s="303">
        <v>178.99965599999999</v>
      </c>
      <c r="N472" s="303">
        <v>17661.938730000002</v>
      </c>
      <c r="O472" s="303">
        <v>17661.721379999999</v>
      </c>
      <c r="P472" s="305">
        <v>2059.3580019999999</v>
      </c>
      <c r="Q472" s="299">
        <f t="shared" si="3"/>
        <v>2059.3580019999999</v>
      </c>
      <c r="R472" s="300" t="s">
        <v>230</v>
      </c>
      <c r="S472" s="300" t="s">
        <v>12</v>
      </c>
      <c r="T472" s="305" t="s">
        <v>530</v>
      </c>
      <c r="U472" s="305">
        <v>15</v>
      </c>
      <c r="V472" s="305">
        <v>5</v>
      </c>
      <c r="W472" s="303">
        <v>0.7</v>
      </c>
      <c r="X472" s="303">
        <v>0.7</v>
      </c>
      <c r="Y472" s="303">
        <v>0.7</v>
      </c>
      <c r="Z472" s="303">
        <v>1700</v>
      </c>
      <c r="AA472" s="303" t="s">
        <v>531</v>
      </c>
      <c r="AB472" s="303">
        <v>0.85</v>
      </c>
      <c r="AC472" s="303" t="s">
        <v>532</v>
      </c>
      <c r="AD472" s="303" t="s">
        <v>533</v>
      </c>
      <c r="AE472" s="303">
        <v>220</v>
      </c>
      <c r="AF472" s="324"/>
      <c r="AG472" s="326"/>
    </row>
    <row r="473" spans="1:33" ht="15" customHeight="1">
      <c r="A473" s="302" t="s">
        <v>617</v>
      </c>
      <c r="B473" s="303">
        <v>8</v>
      </c>
      <c r="C473" s="303">
        <v>353</v>
      </c>
      <c r="D473" s="303" t="s">
        <v>594</v>
      </c>
      <c r="E473" s="303">
        <v>1.5</v>
      </c>
      <c r="F473" s="304">
        <v>45420.63958333333</v>
      </c>
      <c r="G473" s="303">
        <v>1</v>
      </c>
      <c r="H473" s="303">
        <v>51.380699999999997</v>
      </c>
      <c r="I473" s="303">
        <v>7.7601399999999998</v>
      </c>
      <c r="J473" s="303">
        <v>-22.212593999999999</v>
      </c>
      <c r="K473" s="303">
        <v>-21.378900000000002</v>
      </c>
      <c r="L473" s="303">
        <v>992.77800000000002</v>
      </c>
      <c r="M473" s="303">
        <v>126.499399</v>
      </c>
      <c r="N473" s="303">
        <v>17667.22623</v>
      </c>
      <c r="O473" s="303">
        <v>17656.324059999999</v>
      </c>
      <c r="P473" s="305">
        <v>2058.7315269999999</v>
      </c>
      <c r="Q473" s="299">
        <f t="shared" si="3"/>
        <v>2058.7315269999999</v>
      </c>
      <c r="R473" s="300" t="s">
        <v>230</v>
      </c>
      <c r="S473" s="300" t="s">
        <v>12</v>
      </c>
      <c r="T473" s="305" t="s">
        <v>530</v>
      </c>
      <c r="U473" s="305">
        <v>15</v>
      </c>
      <c r="V473" s="305">
        <v>5</v>
      </c>
      <c r="W473" s="303">
        <v>0.7</v>
      </c>
      <c r="X473" s="303">
        <v>0.7</v>
      </c>
      <c r="Y473" s="303">
        <v>0.7</v>
      </c>
      <c r="Z473" s="303">
        <v>1700</v>
      </c>
      <c r="AA473" s="303" t="s">
        <v>531</v>
      </c>
      <c r="AB473" s="303">
        <v>0.85</v>
      </c>
      <c r="AC473" s="303" t="s">
        <v>532</v>
      </c>
      <c r="AD473" s="303" t="s">
        <v>533</v>
      </c>
      <c r="AE473" s="303">
        <v>220</v>
      </c>
      <c r="AF473" s="324"/>
      <c r="AG473" s="325"/>
    </row>
    <row r="474" spans="1:33" ht="15" customHeight="1">
      <c r="A474" s="302" t="s">
        <v>618</v>
      </c>
      <c r="B474" s="303">
        <v>8</v>
      </c>
      <c r="C474" s="303">
        <v>353</v>
      </c>
      <c r="D474" s="303" t="s">
        <v>594</v>
      </c>
      <c r="E474" s="303">
        <v>1.5</v>
      </c>
      <c r="F474" s="304">
        <v>45420.643055555556</v>
      </c>
      <c r="G474" s="303">
        <v>1</v>
      </c>
      <c r="H474" s="303">
        <v>51.377400000000002</v>
      </c>
      <c r="I474" s="303">
        <v>7.8143900000000004</v>
      </c>
      <c r="J474" s="303">
        <v>-22.083155999999999</v>
      </c>
      <c r="K474" s="303">
        <v>-21.244056</v>
      </c>
      <c r="L474" s="303">
        <v>982.87</v>
      </c>
      <c r="M474" s="303">
        <v>119.000108</v>
      </c>
      <c r="N474" s="303">
        <v>17657.74293</v>
      </c>
      <c r="O474" s="303">
        <v>17656.324059999999</v>
      </c>
      <c r="P474" s="305">
        <v>2058.7315269999999</v>
      </c>
      <c r="Q474" s="299">
        <f t="shared" si="3"/>
        <v>2058.7315269999999</v>
      </c>
      <c r="R474" s="300" t="s">
        <v>230</v>
      </c>
      <c r="S474" s="300" t="s">
        <v>12</v>
      </c>
      <c r="T474" s="305" t="s">
        <v>530</v>
      </c>
      <c r="U474" s="305">
        <v>15</v>
      </c>
      <c r="V474" s="305">
        <v>5</v>
      </c>
      <c r="W474" s="303">
        <v>0.7</v>
      </c>
      <c r="X474" s="303">
        <v>0.7</v>
      </c>
      <c r="Y474" s="303">
        <v>0.7</v>
      </c>
      <c r="Z474" s="303">
        <v>1700</v>
      </c>
      <c r="AA474" s="303" t="s">
        <v>531</v>
      </c>
      <c r="AB474" s="303">
        <v>0.85</v>
      </c>
      <c r="AC474" s="303" t="s">
        <v>532</v>
      </c>
      <c r="AD474" s="303" t="s">
        <v>533</v>
      </c>
      <c r="AE474" s="303">
        <v>220</v>
      </c>
      <c r="AF474" s="324"/>
      <c r="AG474" s="325"/>
    </row>
    <row r="475" spans="1:33" ht="15" customHeight="1">
      <c r="A475" s="302" t="s">
        <v>619</v>
      </c>
      <c r="B475" s="303">
        <v>8</v>
      </c>
      <c r="C475" s="303">
        <v>353</v>
      </c>
      <c r="D475" s="303" t="s">
        <v>594</v>
      </c>
      <c r="E475" s="303">
        <v>1.5</v>
      </c>
      <c r="F475" s="304">
        <v>45420.647222222222</v>
      </c>
      <c r="G475" s="303">
        <v>1</v>
      </c>
      <c r="H475" s="303">
        <v>51.374099999999999</v>
      </c>
      <c r="I475" s="303">
        <v>7.8651999999999997</v>
      </c>
      <c r="J475" s="303">
        <v>-22.065294000000002</v>
      </c>
      <c r="K475" s="303">
        <v>-21.258488</v>
      </c>
      <c r="L475" s="303">
        <v>986.298</v>
      </c>
      <c r="M475" s="303">
        <v>123.999392</v>
      </c>
      <c r="N475" s="303">
        <v>17618.39788</v>
      </c>
      <c r="O475" s="303">
        <v>17656.324059999999</v>
      </c>
      <c r="P475" s="305">
        <v>2058.7315269999999</v>
      </c>
      <c r="Q475" s="299">
        <f t="shared" si="3"/>
        <v>2058.7315269999999</v>
      </c>
      <c r="R475" s="300" t="s">
        <v>230</v>
      </c>
      <c r="S475" s="300" t="s">
        <v>12</v>
      </c>
      <c r="T475" s="305" t="s">
        <v>545</v>
      </c>
      <c r="U475" s="305">
        <v>15</v>
      </c>
      <c r="V475" s="305">
        <v>5</v>
      </c>
      <c r="W475" s="303">
        <v>0.7</v>
      </c>
      <c r="X475" s="303">
        <v>0.7</v>
      </c>
      <c r="Y475" s="303">
        <v>0.7</v>
      </c>
      <c r="Z475" s="303">
        <v>1700</v>
      </c>
      <c r="AA475" s="303" t="s">
        <v>531</v>
      </c>
      <c r="AB475" s="303">
        <v>0.85</v>
      </c>
      <c r="AC475" s="303" t="s">
        <v>532</v>
      </c>
      <c r="AD475" s="303" t="s">
        <v>533</v>
      </c>
      <c r="AE475" s="303">
        <v>220</v>
      </c>
      <c r="AF475" s="324"/>
      <c r="AG475" s="325"/>
    </row>
    <row r="476" spans="1:33" ht="15" customHeight="1">
      <c r="A476" s="302" t="s">
        <v>620</v>
      </c>
      <c r="B476" s="303">
        <v>8</v>
      </c>
      <c r="C476" s="303">
        <v>353</v>
      </c>
      <c r="D476" s="303" t="s">
        <v>594</v>
      </c>
      <c r="E476" s="303">
        <v>1.5</v>
      </c>
      <c r="F476" s="304">
        <v>45420.650694444441</v>
      </c>
      <c r="G476" s="303">
        <v>1</v>
      </c>
      <c r="H476" s="303">
        <v>51.374099999999999</v>
      </c>
      <c r="I476" s="303">
        <v>7.7629900000000003</v>
      </c>
      <c r="J476" s="303">
        <v>-22.116880999999999</v>
      </c>
      <c r="K476" s="303">
        <v>-21.271963</v>
      </c>
      <c r="L476" s="303">
        <v>998.84699999999998</v>
      </c>
      <c r="M476" s="303">
        <v>120.5</v>
      </c>
      <c r="N476" s="303">
        <v>17627.375739999999</v>
      </c>
      <c r="O476" s="303">
        <v>17656.324059999999</v>
      </c>
      <c r="P476" s="305">
        <v>2058.7315269999999</v>
      </c>
      <c r="Q476" s="299">
        <f t="shared" si="3"/>
        <v>2058.7315269999999</v>
      </c>
      <c r="R476" s="300" t="s">
        <v>230</v>
      </c>
      <c r="S476" s="300" t="s">
        <v>12</v>
      </c>
      <c r="T476" s="305" t="s">
        <v>545</v>
      </c>
      <c r="U476" s="305">
        <v>15</v>
      </c>
      <c r="V476" s="305">
        <v>5</v>
      </c>
      <c r="W476" s="303">
        <v>0.7</v>
      </c>
      <c r="X476" s="303">
        <v>0.7</v>
      </c>
      <c r="Y476" s="303">
        <v>0.7</v>
      </c>
      <c r="Z476" s="303">
        <v>1700</v>
      </c>
      <c r="AA476" s="303" t="s">
        <v>531</v>
      </c>
      <c r="AB476" s="303">
        <v>0.85</v>
      </c>
      <c r="AC476" s="303" t="s">
        <v>532</v>
      </c>
      <c r="AD476" s="303" t="s">
        <v>533</v>
      </c>
      <c r="AE476" s="303">
        <v>220</v>
      </c>
      <c r="AF476" s="324"/>
      <c r="AG476" s="325"/>
    </row>
    <row r="477" spans="1:33" ht="15" customHeight="1">
      <c r="A477" s="302" t="s">
        <v>621</v>
      </c>
      <c r="B477" s="303">
        <v>8</v>
      </c>
      <c r="C477" s="303">
        <v>353</v>
      </c>
      <c r="D477" s="303" t="s">
        <v>594</v>
      </c>
      <c r="E477" s="303">
        <v>1.5</v>
      </c>
      <c r="F477" s="304">
        <v>45420.654166666667</v>
      </c>
      <c r="G477" s="303">
        <v>1</v>
      </c>
      <c r="H477" s="303">
        <v>51.374099999999999</v>
      </c>
      <c r="I477" s="303">
        <v>7.85412</v>
      </c>
      <c r="J477" s="303">
        <v>-22.035912</v>
      </c>
      <c r="K477" s="303">
        <v>-21.227768999999999</v>
      </c>
      <c r="L477" s="303">
        <v>988.24300000000005</v>
      </c>
      <c r="M477" s="303">
        <v>123.000817</v>
      </c>
      <c r="N477" s="303">
        <v>17644.00303</v>
      </c>
      <c r="O477" s="303">
        <v>17656.324059999999</v>
      </c>
      <c r="P477" s="305">
        <v>2058.7315269999999</v>
      </c>
      <c r="Q477" s="299">
        <f t="shared" si="3"/>
        <v>2058.7315269999999</v>
      </c>
      <c r="R477" s="300" t="s">
        <v>230</v>
      </c>
      <c r="S477" s="300" t="s">
        <v>12</v>
      </c>
      <c r="T477" s="305" t="s">
        <v>530</v>
      </c>
      <c r="U477" s="305">
        <v>15</v>
      </c>
      <c r="V477" s="305">
        <v>5</v>
      </c>
      <c r="W477" s="303">
        <v>0.7</v>
      </c>
      <c r="X477" s="303">
        <v>0.7</v>
      </c>
      <c r="Y477" s="303">
        <v>0.7</v>
      </c>
      <c r="Z477" s="303">
        <v>1700</v>
      </c>
      <c r="AA477" s="303" t="s">
        <v>531</v>
      </c>
      <c r="AB477" s="303">
        <v>0.85</v>
      </c>
      <c r="AC477" s="303" t="s">
        <v>532</v>
      </c>
      <c r="AD477" s="303" t="s">
        <v>533</v>
      </c>
      <c r="AE477" s="303">
        <v>220</v>
      </c>
      <c r="AF477" s="324"/>
      <c r="AG477" s="325"/>
    </row>
    <row r="478" spans="1:33" ht="15" customHeight="1">
      <c r="A478" s="302" t="s">
        <v>627</v>
      </c>
      <c r="B478" s="303">
        <v>9</v>
      </c>
      <c r="C478" s="303">
        <v>456</v>
      </c>
      <c r="D478" s="303" t="s">
        <v>598</v>
      </c>
      <c r="E478" s="303">
        <v>1.5</v>
      </c>
      <c r="F478" s="304">
        <v>45420.658333333333</v>
      </c>
      <c r="G478" s="303">
        <v>1</v>
      </c>
      <c r="H478" s="303">
        <v>51.374099999999999</v>
      </c>
      <c r="I478" s="303">
        <v>7.8060600000000004</v>
      </c>
      <c r="J478" s="303">
        <v>-22.165156</v>
      </c>
      <c r="K478" s="303">
        <v>-21.327938</v>
      </c>
      <c r="L478" s="303">
        <v>991.60699999999997</v>
      </c>
      <c r="M478" s="303">
        <v>143.00027</v>
      </c>
      <c r="N478" s="303">
        <v>17636.304260000001</v>
      </c>
      <c r="O478" s="303">
        <v>17651.687000000002</v>
      </c>
      <c r="P478" s="305">
        <v>2058.1932969999998</v>
      </c>
      <c r="Q478" s="299">
        <f t="shared" si="3"/>
        <v>2058.1932969999998</v>
      </c>
      <c r="R478" s="300" t="s">
        <v>230</v>
      </c>
      <c r="S478" s="300" t="s">
        <v>12</v>
      </c>
      <c r="T478" s="305" t="s">
        <v>530</v>
      </c>
      <c r="U478" s="305">
        <v>15</v>
      </c>
      <c r="V478" s="305">
        <v>5</v>
      </c>
      <c r="W478" s="303">
        <v>0.7</v>
      </c>
      <c r="X478" s="303">
        <v>0.7</v>
      </c>
      <c r="Y478" s="303">
        <v>0.7</v>
      </c>
      <c r="Z478" s="303">
        <v>1700</v>
      </c>
      <c r="AA478" s="303" t="s">
        <v>531</v>
      </c>
      <c r="AB478" s="303">
        <v>0.85</v>
      </c>
      <c r="AC478" s="303" t="s">
        <v>532</v>
      </c>
      <c r="AD478" s="303" t="s">
        <v>533</v>
      </c>
      <c r="AE478" s="303">
        <v>220</v>
      </c>
      <c r="AF478" s="324"/>
      <c r="AG478" s="325"/>
    </row>
    <row r="479" spans="1:33" ht="15" customHeight="1">
      <c r="A479" s="302" t="s">
        <v>628</v>
      </c>
      <c r="B479" s="303">
        <v>9</v>
      </c>
      <c r="C479" s="303">
        <v>456</v>
      </c>
      <c r="D479" s="303" t="s">
        <v>598</v>
      </c>
      <c r="E479" s="303">
        <v>1.5</v>
      </c>
      <c r="F479" s="304">
        <v>45420.661805555559</v>
      </c>
      <c r="G479" s="303">
        <v>1</v>
      </c>
      <c r="H479" s="303">
        <v>51.377400000000002</v>
      </c>
      <c r="I479" s="303">
        <v>7.8971900000000002</v>
      </c>
      <c r="J479" s="303">
        <v>-22.143031000000001</v>
      </c>
      <c r="K479" s="303">
        <v>-21.305824999999999</v>
      </c>
      <c r="L479" s="303">
        <v>979.6</v>
      </c>
      <c r="M479" s="303">
        <v>137.00171700000001</v>
      </c>
      <c r="N479" s="303">
        <v>17652.016540000001</v>
      </c>
      <c r="O479" s="303">
        <v>17651.687000000002</v>
      </c>
      <c r="P479" s="305">
        <v>2058.1932969999998</v>
      </c>
      <c r="Q479" s="299">
        <f t="shared" si="3"/>
        <v>2058.1932969999998</v>
      </c>
      <c r="R479" s="300" t="s">
        <v>230</v>
      </c>
      <c r="S479" s="300" t="s">
        <v>12</v>
      </c>
      <c r="T479" s="305" t="s">
        <v>530</v>
      </c>
      <c r="U479" s="305">
        <v>15</v>
      </c>
      <c r="V479" s="305">
        <v>5</v>
      </c>
      <c r="W479" s="303">
        <v>0.7</v>
      </c>
      <c r="X479" s="303">
        <v>0.7</v>
      </c>
      <c r="Y479" s="303">
        <v>0.7</v>
      </c>
      <c r="Z479" s="303">
        <v>1700</v>
      </c>
      <c r="AA479" s="303" t="s">
        <v>531</v>
      </c>
      <c r="AB479" s="303">
        <v>0.85</v>
      </c>
      <c r="AC479" s="303" t="s">
        <v>532</v>
      </c>
      <c r="AD479" s="303" t="s">
        <v>533</v>
      </c>
      <c r="AE479" s="303">
        <v>220</v>
      </c>
      <c r="AF479" s="324"/>
      <c r="AG479" s="325"/>
    </row>
    <row r="480" spans="1:33" ht="15" customHeight="1">
      <c r="A480" s="302" t="s">
        <v>629</v>
      </c>
      <c r="B480" s="303">
        <v>9</v>
      </c>
      <c r="C480" s="303">
        <v>456</v>
      </c>
      <c r="D480" s="303" t="s">
        <v>598</v>
      </c>
      <c r="E480" s="303">
        <v>1.5</v>
      </c>
      <c r="F480" s="304">
        <v>45420.665972222225</v>
      </c>
      <c r="G480" s="303">
        <v>1</v>
      </c>
      <c r="H480" s="303">
        <v>51.377400000000002</v>
      </c>
      <c r="I480" s="303">
        <v>7.8177500000000002</v>
      </c>
      <c r="J480" s="303">
        <v>-22.055581</v>
      </c>
      <c r="K480" s="303">
        <v>-21.210325000000001</v>
      </c>
      <c r="L480" s="303">
        <v>986.23099999999999</v>
      </c>
      <c r="M480" s="303">
        <v>116.501462</v>
      </c>
      <c r="N480" s="303">
        <v>17666.74021</v>
      </c>
      <c r="O480" s="303">
        <v>17651.687000000002</v>
      </c>
      <c r="P480" s="305">
        <v>2058.1932969999998</v>
      </c>
      <c r="Q480" s="299">
        <f t="shared" si="3"/>
        <v>2058.1932969999998</v>
      </c>
      <c r="R480" s="300" t="s">
        <v>230</v>
      </c>
      <c r="S480" s="300" t="s">
        <v>12</v>
      </c>
      <c r="T480" s="305" t="s">
        <v>530</v>
      </c>
      <c r="U480" s="305">
        <v>15</v>
      </c>
      <c r="V480" s="305">
        <v>5</v>
      </c>
      <c r="W480" s="303">
        <v>0.7</v>
      </c>
      <c r="X480" s="303">
        <v>0.7</v>
      </c>
      <c r="Y480" s="303">
        <v>0.7</v>
      </c>
      <c r="Z480" s="303">
        <v>1700</v>
      </c>
      <c r="AA480" s="303" t="s">
        <v>531</v>
      </c>
      <c r="AB480" s="303">
        <v>0.85</v>
      </c>
      <c r="AC480" s="303" t="s">
        <v>532</v>
      </c>
      <c r="AD480" s="303" t="s">
        <v>533</v>
      </c>
      <c r="AE480" s="303">
        <v>220</v>
      </c>
      <c r="AF480" s="324"/>
      <c r="AG480" s="325"/>
    </row>
    <row r="481" spans="1:33" ht="15" customHeight="1">
      <c r="A481" s="302" t="s">
        <v>632</v>
      </c>
      <c r="B481" s="303">
        <v>10</v>
      </c>
      <c r="C481" s="303">
        <v>457</v>
      </c>
      <c r="D481" s="303" t="s">
        <v>603</v>
      </c>
      <c r="E481" s="303">
        <v>1.5</v>
      </c>
      <c r="F481" s="304">
        <v>45420.669444444444</v>
      </c>
      <c r="G481" s="303">
        <v>1</v>
      </c>
      <c r="H481" s="303">
        <v>51.374099999999999</v>
      </c>
      <c r="I481" s="303">
        <v>7.7480000000000002</v>
      </c>
      <c r="J481" s="303">
        <v>-21.930937</v>
      </c>
      <c r="K481" s="303">
        <v>-21.0962</v>
      </c>
      <c r="L481" s="303">
        <v>993.96400000000006</v>
      </c>
      <c r="M481" s="303">
        <v>110.00020600000001</v>
      </c>
      <c r="N481" s="303">
        <v>17670.801739999999</v>
      </c>
      <c r="O481" s="303">
        <v>17684.353050000002</v>
      </c>
      <c r="P481" s="305">
        <v>2061.9848959999999</v>
      </c>
      <c r="Q481" s="299">
        <f t="shared" si="3"/>
        <v>2061.9848959999999</v>
      </c>
      <c r="R481" s="300" t="s">
        <v>230</v>
      </c>
      <c r="S481" s="300" t="s">
        <v>12</v>
      </c>
      <c r="T481" s="305" t="s">
        <v>530</v>
      </c>
      <c r="U481" s="305">
        <v>15</v>
      </c>
      <c r="V481" s="305">
        <v>5</v>
      </c>
      <c r="W481" s="303">
        <v>0.7</v>
      </c>
      <c r="X481" s="303">
        <v>0.7</v>
      </c>
      <c r="Y481" s="303">
        <v>0.7</v>
      </c>
      <c r="Z481" s="303">
        <v>1700</v>
      </c>
      <c r="AA481" s="303" t="s">
        <v>531</v>
      </c>
      <c r="AB481" s="303">
        <v>0.85</v>
      </c>
      <c r="AC481" s="303" t="s">
        <v>532</v>
      </c>
      <c r="AD481" s="303" t="s">
        <v>533</v>
      </c>
      <c r="AE481" s="303">
        <v>220</v>
      </c>
      <c r="AF481" s="324"/>
      <c r="AG481" s="325"/>
    </row>
    <row r="482" spans="1:33" ht="15" customHeight="1">
      <c r="A482" s="302" t="s">
        <v>633</v>
      </c>
      <c r="B482" s="303">
        <v>10</v>
      </c>
      <c r="C482" s="303">
        <v>457</v>
      </c>
      <c r="D482" s="303" t="s">
        <v>603</v>
      </c>
      <c r="E482" s="303">
        <v>1.5</v>
      </c>
      <c r="F482" s="304">
        <v>45420.67291666667</v>
      </c>
      <c r="G482" s="303">
        <v>1</v>
      </c>
      <c r="H482" s="303">
        <v>51.377400000000002</v>
      </c>
      <c r="I482" s="303">
        <v>7.8721300000000003</v>
      </c>
      <c r="J482" s="303">
        <v>-22.091830999999999</v>
      </c>
      <c r="K482" s="303">
        <v>-21.260124999999999</v>
      </c>
      <c r="L482" s="303">
        <v>1000.85</v>
      </c>
      <c r="M482" s="303">
        <v>137.499843</v>
      </c>
      <c r="N482" s="303">
        <v>17715.540130000001</v>
      </c>
      <c r="O482" s="303">
        <v>17684.353050000002</v>
      </c>
      <c r="P482" s="305">
        <v>2061.9848959999999</v>
      </c>
      <c r="Q482" s="299">
        <f t="shared" si="3"/>
        <v>2061.9848959999999</v>
      </c>
      <c r="R482" s="300" t="s">
        <v>230</v>
      </c>
      <c r="S482" s="300" t="s">
        <v>12</v>
      </c>
      <c r="T482" s="305" t="s">
        <v>545</v>
      </c>
      <c r="U482" s="305">
        <v>15</v>
      </c>
      <c r="V482" s="305">
        <v>5</v>
      </c>
      <c r="W482" s="303">
        <v>0.7</v>
      </c>
      <c r="X482" s="303">
        <v>0.7</v>
      </c>
      <c r="Y482" s="303">
        <v>0.7</v>
      </c>
      <c r="Z482" s="303">
        <v>1700</v>
      </c>
      <c r="AA482" s="303" t="s">
        <v>531</v>
      </c>
      <c r="AB482" s="303">
        <v>0.85</v>
      </c>
      <c r="AC482" s="303" t="s">
        <v>532</v>
      </c>
      <c r="AD482" s="303" t="s">
        <v>533</v>
      </c>
      <c r="AE482" s="303">
        <v>220</v>
      </c>
      <c r="AF482" s="324"/>
      <c r="AG482" s="325"/>
    </row>
    <row r="483" spans="1:33" ht="15" customHeight="1">
      <c r="A483" s="302" t="s">
        <v>634</v>
      </c>
      <c r="B483" s="303">
        <v>10</v>
      </c>
      <c r="C483" s="303">
        <v>457</v>
      </c>
      <c r="D483" s="303" t="s">
        <v>603</v>
      </c>
      <c r="E483" s="303">
        <v>1.5</v>
      </c>
      <c r="F483" s="304">
        <v>45420.677083333336</v>
      </c>
      <c r="G483" s="303">
        <v>1</v>
      </c>
      <c r="H483" s="303">
        <v>51.374099999999999</v>
      </c>
      <c r="I483" s="303">
        <v>7.7313999999999998</v>
      </c>
      <c r="J483" s="303">
        <v>-22.098869000000001</v>
      </c>
      <c r="K483" s="303">
        <v>-21.249994000000001</v>
      </c>
      <c r="L483" s="303">
        <v>981.42100000000005</v>
      </c>
      <c r="M483" s="303">
        <v>118.50115700000001</v>
      </c>
      <c r="N483" s="303">
        <v>17691.210650000001</v>
      </c>
      <c r="O483" s="303">
        <v>17684.353050000002</v>
      </c>
      <c r="P483" s="305">
        <v>2061.9848959999999</v>
      </c>
      <c r="Q483" s="299">
        <f t="shared" si="3"/>
        <v>2061.9848959999999</v>
      </c>
      <c r="R483" s="300" t="s">
        <v>230</v>
      </c>
      <c r="S483" s="300" t="s">
        <v>12</v>
      </c>
      <c r="T483" s="305" t="s">
        <v>530</v>
      </c>
      <c r="U483" s="305">
        <v>15</v>
      </c>
      <c r="V483" s="305">
        <v>5</v>
      </c>
      <c r="W483" s="303">
        <v>0.7</v>
      </c>
      <c r="X483" s="303">
        <v>0.7</v>
      </c>
      <c r="Y483" s="303">
        <v>0.7</v>
      </c>
      <c r="Z483" s="303">
        <v>1700</v>
      </c>
      <c r="AA483" s="303" t="s">
        <v>531</v>
      </c>
      <c r="AB483" s="303">
        <v>0.85</v>
      </c>
      <c r="AC483" s="303" t="s">
        <v>532</v>
      </c>
      <c r="AD483" s="303" t="s">
        <v>533</v>
      </c>
      <c r="AE483" s="303">
        <v>220</v>
      </c>
      <c r="AF483" s="324"/>
      <c r="AG483" s="325"/>
    </row>
    <row r="484" spans="1:33" ht="15" customHeight="1">
      <c r="A484" s="302" t="s">
        <v>635</v>
      </c>
      <c r="B484" s="303">
        <v>10</v>
      </c>
      <c r="C484" s="303">
        <v>457</v>
      </c>
      <c r="D484" s="303" t="s">
        <v>603</v>
      </c>
      <c r="E484" s="303">
        <v>1.5</v>
      </c>
      <c r="F484" s="304">
        <v>45420.680555555555</v>
      </c>
      <c r="G484" s="303">
        <v>1</v>
      </c>
      <c r="H484" s="303">
        <v>51.370800000000003</v>
      </c>
      <c r="I484" s="303">
        <v>7.8689400000000003</v>
      </c>
      <c r="J484" s="303">
        <v>-22.018094000000001</v>
      </c>
      <c r="K484" s="303">
        <v>-21.204018999999999</v>
      </c>
      <c r="L484" s="303">
        <v>995.625</v>
      </c>
      <c r="M484" s="303">
        <v>187.999403</v>
      </c>
      <c r="N484" s="303">
        <v>17647.71355</v>
      </c>
      <c r="O484" s="303">
        <v>17684.353050000002</v>
      </c>
      <c r="P484" s="305">
        <v>2061.9848959999999</v>
      </c>
      <c r="Q484" s="299">
        <f t="shared" si="3"/>
        <v>2061.9848959999999</v>
      </c>
      <c r="R484" s="300" t="s">
        <v>230</v>
      </c>
      <c r="S484" s="300" t="s">
        <v>12</v>
      </c>
      <c r="T484" s="305" t="s">
        <v>545</v>
      </c>
      <c r="U484" s="305">
        <v>15</v>
      </c>
      <c r="V484" s="305">
        <v>5</v>
      </c>
      <c r="W484" s="303">
        <v>0.7</v>
      </c>
      <c r="X484" s="303">
        <v>0.7</v>
      </c>
      <c r="Y484" s="303">
        <v>0.7</v>
      </c>
      <c r="Z484" s="303">
        <v>1700</v>
      </c>
      <c r="AA484" s="303" t="s">
        <v>531</v>
      </c>
      <c r="AB484" s="303">
        <v>0.85</v>
      </c>
      <c r="AC484" s="303" t="s">
        <v>532</v>
      </c>
      <c r="AD484" s="303" t="s">
        <v>533</v>
      </c>
      <c r="AE484" s="303">
        <v>220</v>
      </c>
      <c r="AF484" s="324"/>
      <c r="AG484" s="325"/>
    </row>
    <row r="485" spans="1:33" ht="15" customHeight="1">
      <c r="A485" s="302" t="s">
        <v>636</v>
      </c>
      <c r="B485" s="303">
        <v>10</v>
      </c>
      <c r="C485" s="303">
        <v>457</v>
      </c>
      <c r="D485" s="303" t="s">
        <v>603</v>
      </c>
      <c r="E485" s="303">
        <v>1.5</v>
      </c>
      <c r="F485" s="304">
        <v>45420.68472222222</v>
      </c>
      <c r="G485" s="303">
        <v>1</v>
      </c>
      <c r="H485" s="303">
        <v>51.374099999999999</v>
      </c>
      <c r="I485" s="303">
        <v>7.8547799999999999</v>
      </c>
      <c r="J485" s="303">
        <v>-22.063212</v>
      </c>
      <c r="K485" s="303">
        <v>-21.224494</v>
      </c>
      <c r="L485" s="303">
        <v>986.30899999999997</v>
      </c>
      <c r="M485" s="303">
        <v>115.500615</v>
      </c>
      <c r="N485" s="303">
        <v>17691.046770000001</v>
      </c>
      <c r="O485" s="303">
        <v>17684.353050000002</v>
      </c>
      <c r="P485" s="305">
        <v>2061.9848959999999</v>
      </c>
      <c r="Q485" s="299">
        <f t="shared" si="3"/>
        <v>2061.9848959999999</v>
      </c>
      <c r="R485" s="300" t="s">
        <v>230</v>
      </c>
      <c r="S485" s="300" t="s">
        <v>12</v>
      </c>
      <c r="T485" s="305" t="s">
        <v>530</v>
      </c>
      <c r="U485" s="305">
        <v>15</v>
      </c>
      <c r="V485" s="305">
        <v>5</v>
      </c>
      <c r="W485" s="303">
        <v>0.7</v>
      </c>
      <c r="X485" s="303">
        <v>0.7</v>
      </c>
      <c r="Y485" s="303">
        <v>0.7</v>
      </c>
      <c r="Z485" s="303">
        <v>1700</v>
      </c>
      <c r="AA485" s="303" t="s">
        <v>531</v>
      </c>
      <c r="AB485" s="303">
        <v>0.85</v>
      </c>
      <c r="AC485" s="303" t="s">
        <v>532</v>
      </c>
      <c r="AD485" s="303" t="s">
        <v>533</v>
      </c>
      <c r="AE485" s="303">
        <v>220</v>
      </c>
      <c r="AF485" s="324"/>
      <c r="AG485" s="325"/>
    </row>
    <row r="486" spans="1:33" ht="15" customHeight="1">
      <c r="A486" s="308" t="s">
        <v>642</v>
      </c>
      <c r="B486" s="309">
        <v>11</v>
      </c>
      <c r="C486" s="309" t="s">
        <v>758</v>
      </c>
      <c r="D486" s="309" t="s">
        <v>529</v>
      </c>
      <c r="E486" s="309">
        <v>1.5</v>
      </c>
      <c r="F486" s="310">
        <v>45420.688888888886</v>
      </c>
      <c r="G486" s="309">
        <v>1</v>
      </c>
      <c r="H486" s="309">
        <v>51.370800000000003</v>
      </c>
      <c r="I486" s="309">
        <v>7.7567300000000001</v>
      </c>
      <c r="J486" s="309">
        <v>-22.091013</v>
      </c>
      <c r="K486" s="309">
        <v>-21.243362000000001</v>
      </c>
      <c r="L486" s="309">
        <v>996.37599999999998</v>
      </c>
      <c r="M486" s="309">
        <v>109.999433</v>
      </c>
      <c r="N486" s="309">
        <v>17765.416229999999</v>
      </c>
      <c r="O486" s="309">
        <v>17732.258600000001</v>
      </c>
      <c r="P486" s="311">
        <v>2067.5453670000002</v>
      </c>
      <c r="Q486" s="299">
        <f t="shared" si="3"/>
        <v>2067.5453670000002</v>
      </c>
      <c r="R486" s="300" t="s">
        <v>230</v>
      </c>
      <c r="S486" s="300" t="s">
        <v>12</v>
      </c>
      <c r="T486" s="305" t="s">
        <v>545</v>
      </c>
      <c r="U486" s="305">
        <v>15</v>
      </c>
      <c r="V486" s="305">
        <v>5</v>
      </c>
      <c r="W486" s="303">
        <v>0.7</v>
      </c>
      <c r="X486" s="303">
        <v>0.7</v>
      </c>
      <c r="Y486" s="303">
        <v>0.7</v>
      </c>
      <c r="Z486" s="303">
        <v>1700</v>
      </c>
      <c r="AA486" s="303" t="s">
        <v>531</v>
      </c>
      <c r="AB486" s="303">
        <v>0.85</v>
      </c>
      <c r="AC486" s="303" t="s">
        <v>532</v>
      </c>
      <c r="AD486" s="303" t="s">
        <v>533</v>
      </c>
      <c r="AE486" s="303">
        <v>220</v>
      </c>
      <c r="AF486" s="324"/>
      <c r="AG486" s="325"/>
    </row>
    <row r="487" spans="1:33" ht="15" customHeight="1">
      <c r="A487" s="308" t="s">
        <v>643</v>
      </c>
      <c r="B487" s="309">
        <v>11</v>
      </c>
      <c r="C487" s="309" t="s">
        <v>758</v>
      </c>
      <c r="D487" s="309" t="s">
        <v>529</v>
      </c>
      <c r="E487" s="309">
        <v>1.5</v>
      </c>
      <c r="F487" s="310">
        <v>45420.692361111112</v>
      </c>
      <c r="G487" s="309">
        <v>1</v>
      </c>
      <c r="H487" s="309">
        <v>51.374099999999999</v>
      </c>
      <c r="I487" s="309">
        <v>7.8053100000000004</v>
      </c>
      <c r="J487" s="309">
        <v>-22.010318999999999</v>
      </c>
      <c r="K487" s="309">
        <v>-21.162013000000002</v>
      </c>
      <c r="L487" s="309">
        <v>1003.35</v>
      </c>
      <c r="M487" s="309">
        <v>115.000491</v>
      </c>
      <c r="N487" s="309">
        <v>17731.610700000001</v>
      </c>
      <c r="O487" s="309">
        <v>17732.258600000001</v>
      </c>
      <c r="P487" s="311">
        <v>2067.5453670000002</v>
      </c>
      <c r="Q487" s="299">
        <f t="shared" si="3"/>
        <v>2067.5453670000002</v>
      </c>
      <c r="R487" s="300" t="s">
        <v>230</v>
      </c>
      <c r="S487" s="300" t="s">
        <v>12</v>
      </c>
      <c r="T487" s="305" t="s">
        <v>530</v>
      </c>
      <c r="U487" s="305">
        <v>15</v>
      </c>
      <c r="V487" s="305">
        <v>5</v>
      </c>
      <c r="W487" s="303">
        <v>0.7</v>
      </c>
      <c r="X487" s="303">
        <v>0.7</v>
      </c>
      <c r="Y487" s="303">
        <v>0.7</v>
      </c>
      <c r="Z487" s="303">
        <v>1700</v>
      </c>
      <c r="AA487" s="303" t="s">
        <v>531</v>
      </c>
      <c r="AB487" s="303">
        <v>0.85</v>
      </c>
      <c r="AC487" s="303" t="s">
        <v>532</v>
      </c>
      <c r="AD487" s="303" t="s">
        <v>533</v>
      </c>
      <c r="AE487" s="303">
        <v>220</v>
      </c>
      <c r="AF487" s="324"/>
      <c r="AG487" s="325"/>
    </row>
    <row r="488" spans="1:33" ht="15" customHeight="1">
      <c r="A488" s="308" t="s">
        <v>644</v>
      </c>
      <c r="B488" s="309">
        <v>11</v>
      </c>
      <c r="C488" s="309" t="s">
        <v>758</v>
      </c>
      <c r="D488" s="309" t="s">
        <v>529</v>
      </c>
      <c r="E488" s="309">
        <v>1.5</v>
      </c>
      <c r="F488" s="310">
        <v>45420.695833333331</v>
      </c>
      <c r="G488" s="309">
        <v>1</v>
      </c>
      <c r="H488" s="309">
        <v>51.3675</v>
      </c>
      <c r="I488" s="309">
        <v>7.8492800000000003</v>
      </c>
      <c r="J488" s="309">
        <v>-21.958068999999998</v>
      </c>
      <c r="K488" s="309">
        <v>-21.114781000000001</v>
      </c>
      <c r="L488" s="309">
        <v>997.27499999999998</v>
      </c>
      <c r="M488" s="309">
        <v>137.499697</v>
      </c>
      <c r="N488" s="309">
        <v>17718.29997</v>
      </c>
      <c r="O488" s="309">
        <v>17732.258600000001</v>
      </c>
      <c r="P488" s="311">
        <v>2067.5453670000002</v>
      </c>
      <c r="Q488" s="299">
        <f t="shared" si="3"/>
        <v>2067.5453670000002</v>
      </c>
      <c r="R488" s="300" t="s">
        <v>230</v>
      </c>
      <c r="S488" s="300" t="s">
        <v>12</v>
      </c>
      <c r="T488" s="305" t="s">
        <v>530</v>
      </c>
      <c r="U488" s="305">
        <v>15</v>
      </c>
      <c r="V488" s="305">
        <v>5</v>
      </c>
      <c r="W488" s="303">
        <v>0.7</v>
      </c>
      <c r="X488" s="303">
        <v>0.7</v>
      </c>
      <c r="Y488" s="303">
        <v>0.7</v>
      </c>
      <c r="Z488" s="303">
        <v>1700</v>
      </c>
      <c r="AA488" s="303" t="s">
        <v>531</v>
      </c>
      <c r="AB488" s="303">
        <v>0.85</v>
      </c>
      <c r="AC488" s="303" t="s">
        <v>532</v>
      </c>
      <c r="AD488" s="303" t="s">
        <v>533</v>
      </c>
      <c r="AE488" s="303">
        <v>220</v>
      </c>
      <c r="AF488" s="324"/>
      <c r="AG488" s="325"/>
    </row>
    <row r="489" spans="1:33" ht="15" customHeight="1">
      <c r="A489" s="308" t="s">
        <v>645</v>
      </c>
      <c r="B489" s="309">
        <v>11</v>
      </c>
      <c r="C489" s="309" t="s">
        <v>758</v>
      </c>
      <c r="D489" s="309" t="s">
        <v>529</v>
      </c>
      <c r="E489" s="309">
        <v>1.5</v>
      </c>
      <c r="F489" s="310">
        <v>45420.699305555558</v>
      </c>
      <c r="G489" s="309">
        <v>1</v>
      </c>
      <c r="H489" s="309">
        <v>51.377400000000002</v>
      </c>
      <c r="I489" s="309">
        <v>7.6772200000000002</v>
      </c>
      <c r="J489" s="309">
        <v>-22.069161999999999</v>
      </c>
      <c r="K489" s="309">
        <v>-21.242663</v>
      </c>
      <c r="L489" s="309">
        <v>1000.98</v>
      </c>
      <c r="M489" s="309">
        <v>116.49982300000001</v>
      </c>
      <c r="N489" s="309">
        <v>17746.865140000002</v>
      </c>
      <c r="O489" s="309">
        <v>17732.258600000001</v>
      </c>
      <c r="P489" s="311">
        <v>2067.5453670000002</v>
      </c>
      <c r="Q489" s="299">
        <f t="shared" si="3"/>
        <v>2067.5453670000002</v>
      </c>
      <c r="R489" s="300" t="s">
        <v>230</v>
      </c>
      <c r="S489" s="300" t="s">
        <v>12</v>
      </c>
      <c r="T489" s="305" t="s">
        <v>530</v>
      </c>
      <c r="U489" s="305">
        <v>15</v>
      </c>
      <c r="V489" s="305">
        <v>5</v>
      </c>
      <c r="W489" s="303">
        <v>0.7</v>
      </c>
      <c r="X489" s="303">
        <v>0.7</v>
      </c>
      <c r="Y489" s="303">
        <v>0.7</v>
      </c>
      <c r="Z489" s="303">
        <v>1700</v>
      </c>
      <c r="AA489" s="303" t="s">
        <v>531</v>
      </c>
      <c r="AB489" s="303">
        <v>0.85</v>
      </c>
      <c r="AC489" s="303" t="s">
        <v>532</v>
      </c>
      <c r="AD489" s="303" t="s">
        <v>533</v>
      </c>
      <c r="AE489" s="303">
        <v>220</v>
      </c>
      <c r="AF489" s="324"/>
      <c r="AG489" s="325"/>
    </row>
    <row r="490" spans="1:33" ht="15" customHeight="1">
      <c r="A490" s="314" t="s">
        <v>647</v>
      </c>
      <c r="B490" s="315">
        <v>12</v>
      </c>
      <c r="C490" s="315">
        <v>599</v>
      </c>
      <c r="D490" s="315" t="s">
        <v>561</v>
      </c>
      <c r="E490" s="315">
        <v>1.5</v>
      </c>
      <c r="F490" s="327">
        <v>45420.703472222223</v>
      </c>
      <c r="G490" s="315">
        <v>1</v>
      </c>
      <c r="H490" s="315">
        <v>51.370800000000003</v>
      </c>
      <c r="I490" s="315">
        <v>7.7930000000000001</v>
      </c>
      <c r="J490" s="315">
        <v>-22.057175000000001</v>
      </c>
      <c r="K490" s="315">
        <v>-21.212837</v>
      </c>
      <c r="L490" s="315">
        <v>976.35699999999997</v>
      </c>
      <c r="M490" s="315">
        <v>144.00022999999999</v>
      </c>
      <c r="N490" s="315">
        <v>17737.65655</v>
      </c>
      <c r="O490" s="315">
        <v>17872.787130000001</v>
      </c>
      <c r="P490" s="317">
        <v>2083.9191860000001</v>
      </c>
      <c r="Q490" s="299">
        <f t="shared" si="3"/>
        <v>2083.9191860000001</v>
      </c>
      <c r="R490" s="300" t="s">
        <v>230</v>
      </c>
      <c r="S490" s="300" t="s">
        <v>12</v>
      </c>
      <c r="T490" s="305" t="s">
        <v>545</v>
      </c>
      <c r="U490" s="305">
        <v>15</v>
      </c>
      <c r="V490" s="305">
        <v>5</v>
      </c>
      <c r="W490" s="303">
        <v>0.7</v>
      </c>
      <c r="X490" s="303">
        <v>0.7</v>
      </c>
      <c r="Y490" s="303">
        <v>0.7</v>
      </c>
      <c r="Z490" s="303">
        <v>1700</v>
      </c>
      <c r="AA490" s="303" t="s">
        <v>531</v>
      </c>
      <c r="AB490" s="303">
        <v>0.85</v>
      </c>
      <c r="AC490" s="303" t="s">
        <v>532</v>
      </c>
      <c r="AD490" s="303" t="s">
        <v>533</v>
      </c>
      <c r="AE490" s="303">
        <v>220</v>
      </c>
      <c r="AF490" s="324"/>
      <c r="AG490" s="325"/>
    </row>
    <row r="491" spans="1:33" ht="15" customHeight="1">
      <c r="A491" s="302" t="s">
        <v>648</v>
      </c>
      <c r="B491" s="303">
        <v>12</v>
      </c>
      <c r="C491" s="303">
        <v>599</v>
      </c>
      <c r="D491" s="303" t="s">
        <v>561</v>
      </c>
      <c r="E491" s="303">
        <v>1.5</v>
      </c>
      <c r="F491" s="304">
        <v>45420.707638888889</v>
      </c>
      <c r="G491" s="303">
        <v>1</v>
      </c>
      <c r="H491" s="303">
        <v>51.377400000000002</v>
      </c>
      <c r="I491" s="303">
        <v>7.7935299999999996</v>
      </c>
      <c r="J491" s="303">
        <v>-21.999144000000001</v>
      </c>
      <c r="K491" s="303">
        <v>-21.157399999999999</v>
      </c>
      <c r="L491" s="303">
        <v>1005.55</v>
      </c>
      <c r="M491" s="303">
        <v>144.00170800000001</v>
      </c>
      <c r="N491" s="303">
        <v>17885.92323</v>
      </c>
      <c r="O491" s="303">
        <v>17872.787130000001</v>
      </c>
      <c r="P491" s="305">
        <v>2083.9191860000001</v>
      </c>
      <c r="Q491" s="299">
        <f t="shared" si="3"/>
        <v>2083.9191860000001</v>
      </c>
      <c r="R491" s="300" t="s">
        <v>230</v>
      </c>
      <c r="S491" s="300" t="s">
        <v>12</v>
      </c>
      <c r="T491" s="305" t="s">
        <v>530</v>
      </c>
      <c r="U491" s="305">
        <v>15</v>
      </c>
      <c r="V491" s="305">
        <v>5</v>
      </c>
      <c r="W491" s="303">
        <v>0.7</v>
      </c>
      <c r="X491" s="303">
        <v>0.7</v>
      </c>
      <c r="Y491" s="303">
        <v>0.7</v>
      </c>
      <c r="Z491" s="303">
        <v>1700</v>
      </c>
      <c r="AA491" s="303" t="s">
        <v>531</v>
      </c>
      <c r="AB491" s="303">
        <v>0.85</v>
      </c>
      <c r="AC491" s="303" t="s">
        <v>532</v>
      </c>
      <c r="AD491" s="303" t="s">
        <v>533</v>
      </c>
      <c r="AE491" s="303">
        <v>220</v>
      </c>
      <c r="AF491" s="324"/>
      <c r="AG491" s="325"/>
    </row>
    <row r="492" spans="1:33" ht="15" customHeight="1">
      <c r="A492" s="302" t="s">
        <v>649</v>
      </c>
      <c r="B492" s="303">
        <v>12</v>
      </c>
      <c r="C492" s="303">
        <v>599</v>
      </c>
      <c r="D492" s="303" t="s">
        <v>561</v>
      </c>
      <c r="E492" s="303">
        <v>1.5</v>
      </c>
      <c r="F492" s="304">
        <v>45420.711111111108</v>
      </c>
      <c r="G492" s="303">
        <v>1</v>
      </c>
      <c r="H492" s="303">
        <v>51.377400000000002</v>
      </c>
      <c r="I492" s="303">
        <v>7.8002599999999997</v>
      </c>
      <c r="J492" s="303">
        <v>-21.971112999999999</v>
      </c>
      <c r="K492" s="303">
        <v>-21.126380999999999</v>
      </c>
      <c r="L492" s="303">
        <v>1005.59</v>
      </c>
      <c r="M492" s="303">
        <v>123.49829</v>
      </c>
      <c r="N492" s="303">
        <v>17857.866900000001</v>
      </c>
      <c r="O492" s="303">
        <v>17872.787130000001</v>
      </c>
      <c r="P492" s="305">
        <v>2083.9191860000001</v>
      </c>
      <c r="Q492" s="299">
        <f t="shared" si="3"/>
        <v>2083.9191860000001</v>
      </c>
      <c r="R492" s="300" t="s">
        <v>230</v>
      </c>
      <c r="S492" s="300" t="s">
        <v>12</v>
      </c>
      <c r="T492" s="305" t="s">
        <v>530</v>
      </c>
      <c r="U492" s="305">
        <v>15</v>
      </c>
      <c r="V492" s="305">
        <v>5</v>
      </c>
      <c r="W492" s="303">
        <v>0.7</v>
      </c>
      <c r="X492" s="303">
        <v>0.7</v>
      </c>
      <c r="Y492" s="303">
        <v>0.7</v>
      </c>
      <c r="Z492" s="303">
        <v>1700</v>
      </c>
      <c r="AA492" s="303" t="s">
        <v>531</v>
      </c>
      <c r="AB492" s="303">
        <v>0.85</v>
      </c>
      <c r="AC492" s="303" t="s">
        <v>532</v>
      </c>
      <c r="AD492" s="303" t="s">
        <v>533</v>
      </c>
      <c r="AE492" s="303">
        <v>220</v>
      </c>
      <c r="AF492" s="324"/>
      <c r="AG492" s="325"/>
    </row>
    <row r="493" spans="1:33" ht="15" customHeight="1">
      <c r="A493" s="302" t="s">
        <v>770</v>
      </c>
      <c r="B493" s="303">
        <v>12</v>
      </c>
      <c r="C493" s="303">
        <v>599</v>
      </c>
      <c r="D493" s="303" t="s">
        <v>561</v>
      </c>
      <c r="E493" s="303">
        <v>1.5</v>
      </c>
      <c r="F493" s="304">
        <v>45420.714583333334</v>
      </c>
      <c r="G493" s="303">
        <v>1</v>
      </c>
      <c r="H493" s="303">
        <v>51.374099999999999</v>
      </c>
      <c r="I493" s="303">
        <v>7.7183000000000002</v>
      </c>
      <c r="J493" s="303">
        <v>-21.935224999999999</v>
      </c>
      <c r="K493" s="303">
        <v>-21.091605999999999</v>
      </c>
      <c r="L493" s="303">
        <v>1001.71</v>
      </c>
      <c r="M493" s="303">
        <v>127.00021599999999</v>
      </c>
      <c r="N493" s="303">
        <v>17874.571260000001</v>
      </c>
      <c r="O493" s="303">
        <v>17872.787130000001</v>
      </c>
      <c r="P493" s="305">
        <v>2083.9191860000001</v>
      </c>
      <c r="Q493" s="299">
        <f t="shared" si="3"/>
        <v>2083.9191860000001</v>
      </c>
      <c r="R493" s="300" t="s">
        <v>230</v>
      </c>
      <c r="S493" s="300" t="s">
        <v>12</v>
      </c>
      <c r="T493" s="305" t="s">
        <v>530</v>
      </c>
      <c r="U493" s="305">
        <v>15</v>
      </c>
      <c r="V493" s="305">
        <v>5</v>
      </c>
      <c r="W493" s="303">
        <v>0.7</v>
      </c>
      <c r="X493" s="303">
        <v>0.7</v>
      </c>
      <c r="Y493" s="303">
        <v>0.7</v>
      </c>
      <c r="Z493" s="303">
        <v>1700</v>
      </c>
      <c r="AA493" s="303" t="s">
        <v>531</v>
      </c>
      <c r="AB493" s="303">
        <v>0.85</v>
      </c>
      <c r="AC493" s="303" t="s">
        <v>532</v>
      </c>
      <c r="AD493" s="303" t="s">
        <v>533</v>
      </c>
      <c r="AE493" s="303">
        <v>220</v>
      </c>
      <c r="AF493" s="324"/>
      <c r="AG493" s="325"/>
    </row>
    <row r="494" spans="1:33" ht="15" customHeight="1">
      <c r="A494" s="302" t="s">
        <v>650</v>
      </c>
      <c r="B494" s="303">
        <v>13</v>
      </c>
      <c r="C494" s="303">
        <v>600</v>
      </c>
      <c r="D494" s="303" t="s">
        <v>565</v>
      </c>
      <c r="E494" s="303">
        <v>1.5</v>
      </c>
      <c r="F494" s="304">
        <v>45420.71875</v>
      </c>
      <c r="G494" s="303">
        <v>1</v>
      </c>
      <c r="H494" s="303">
        <v>51.377400000000002</v>
      </c>
      <c r="I494" s="303">
        <v>7.79488</v>
      </c>
      <c r="J494" s="303">
        <v>-21.851061999999999</v>
      </c>
      <c r="K494" s="303">
        <v>-21.009494</v>
      </c>
      <c r="L494" s="303">
        <v>1002.96</v>
      </c>
      <c r="M494" s="303">
        <v>117.50117400000001</v>
      </c>
      <c r="N494" s="303">
        <v>17792.561600000001</v>
      </c>
      <c r="O494" s="303">
        <v>0</v>
      </c>
      <c r="P494" s="305">
        <v>0</v>
      </c>
      <c r="Q494" s="299">
        <f t="shared" si="3"/>
        <v>0</v>
      </c>
      <c r="R494" s="300" t="s">
        <v>230</v>
      </c>
      <c r="S494" s="300" t="s">
        <v>582</v>
      </c>
      <c r="T494" s="305" t="s">
        <v>583</v>
      </c>
      <c r="U494" s="305">
        <v>15</v>
      </c>
      <c r="V494" s="305">
        <v>5</v>
      </c>
      <c r="W494" s="303">
        <v>0.7</v>
      </c>
      <c r="X494" s="303">
        <v>0.7</v>
      </c>
      <c r="Y494" s="303">
        <v>0.7</v>
      </c>
      <c r="Z494" s="303">
        <v>1700</v>
      </c>
      <c r="AA494" s="303" t="s">
        <v>531</v>
      </c>
      <c r="AB494" s="303">
        <v>0.85</v>
      </c>
      <c r="AC494" s="303" t="s">
        <v>532</v>
      </c>
      <c r="AD494" s="303" t="s">
        <v>533</v>
      </c>
      <c r="AE494" s="303">
        <v>220</v>
      </c>
      <c r="AF494" s="324"/>
      <c r="AG494" s="325"/>
    </row>
    <row r="495" spans="1:33" ht="15" customHeight="1">
      <c r="A495" s="302" t="s">
        <v>651</v>
      </c>
      <c r="B495" s="303">
        <v>13</v>
      </c>
      <c r="C495" s="303">
        <v>600</v>
      </c>
      <c r="D495" s="303" t="s">
        <v>565</v>
      </c>
      <c r="E495" s="303">
        <v>1.5</v>
      </c>
      <c r="F495" s="304">
        <v>45420.722222222219</v>
      </c>
      <c r="G495" s="303">
        <v>1</v>
      </c>
      <c r="H495" s="303">
        <v>51.374099999999999</v>
      </c>
      <c r="I495" s="303">
        <v>7.83371</v>
      </c>
      <c r="J495" s="303">
        <v>-21.885562</v>
      </c>
      <c r="K495" s="303">
        <v>-21.038069</v>
      </c>
      <c r="L495" s="303">
        <v>999.58100000000002</v>
      </c>
      <c r="M495" s="303">
        <v>108.99959699999999</v>
      </c>
      <c r="N495" s="303">
        <v>17788.75013</v>
      </c>
      <c r="O495" s="303">
        <v>0</v>
      </c>
      <c r="P495" s="305">
        <v>0</v>
      </c>
      <c r="Q495" s="299">
        <f t="shared" si="3"/>
        <v>0</v>
      </c>
      <c r="R495" s="300" t="s">
        <v>230</v>
      </c>
      <c r="S495" s="300" t="s">
        <v>582</v>
      </c>
      <c r="T495" s="305" t="s">
        <v>583</v>
      </c>
      <c r="U495" s="305">
        <v>15</v>
      </c>
      <c r="V495" s="305">
        <v>5</v>
      </c>
      <c r="W495" s="303">
        <v>0.7</v>
      </c>
      <c r="X495" s="303">
        <v>0.7</v>
      </c>
      <c r="Y495" s="303">
        <v>0.7</v>
      </c>
      <c r="Z495" s="303">
        <v>1700</v>
      </c>
      <c r="AA495" s="303" t="s">
        <v>531</v>
      </c>
      <c r="AB495" s="303">
        <v>0.85</v>
      </c>
      <c r="AC495" s="303" t="s">
        <v>532</v>
      </c>
      <c r="AD495" s="303" t="s">
        <v>533</v>
      </c>
      <c r="AE495" s="303">
        <v>220</v>
      </c>
      <c r="AF495" s="324"/>
      <c r="AG495" s="325"/>
    </row>
    <row r="496" spans="1:33" ht="15" customHeight="1">
      <c r="A496" s="302" t="s">
        <v>652</v>
      </c>
      <c r="B496" s="303">
        <v>13</v>
      </c>
      <c r="C496" s="303">
        <v>600</v>
      </c>
      <c r="D496" s="303" t="s">
        <v>565</v>
      </c>
      <c r="E496" s="303">
        <v>1.5</v>
      </c>
      <c r="F496" s="304">
        <v>45420.725694444445</v>
      </c>
      <c r="G496" s="303">
        <v>1</v>
      </c>
      <c r="H496" s="303">
        <v>51.374099999999999</v>
      </c>
      <c r="I496" s="303">
        <v>7.8083499999999999</v>
      </c>
      <c r="J496" s="303">
        <v>-21.971450000000001</v>
      </c>
      <c r="K496" s="303">
        <v>-21.129418999999999</v>
      </c>
      <c r="L496" s="303">
        <v>998.46600000000001</v>
      </c>
      <c r="M496" s="303">
        <v>119.000669</v>
      </c>
      <c r="N496" s="303">
        <v>17839.089209999998</v>
      </c>
      <c r="O496" s="303">
        <v>0</v>
      </c>
      <c r="P496" s="305">
        <v>0</v>
      </c>
      <c r="Q496" s="299">
        <f t="shared" si="3"/>
        <v>0</v>
      </c>
      <c r="R496" s="300" t="s">
        <v>230</v>
      </c>
      <c r="S496" s="300" t="s">
        <v>582</v>
      </c>
      <c r="T496" s="305" t="s">
        <v>583</v>
      </c>
      <c r="U496" s="305">
        <v>15</v>
      </c>
      <c r="V496" s="305">
        <v>5</v>
      </c>
      <c r="W496" s="303">
        <v>0.7</v>
      </c>
      <c r="X496" s="303">
        <v>0.7</v>
      </c>
      <c r="Y496" s="303">
        <v>0.7</v>
      </c>
      <c r="Z496" s="303">
        <v>1700</v>
      </c>
      <c r="AA496" s="303" t="s">
        <v>531</v>
      </c>
      <c r="AB496" s="303">
        <v>0.85</v>
      </c>
      <c r="AC496" s="303" t="s">
        <v>532</v>
      </c>
      <c r="AD496" s="303" t="s">
        <v>533</v>
      </c>
      <c r="AE496" s="303">
        <v>220</v>
      </c>
      <c r="AF496" s="324"/>
      <c r="AG496" s="325"/>
    </row>
    <row r="497" spans="1:33" ht="15" customHeight="1">
      <c r="A497" s="302" t="s">
        <v>653</v>
      </c>
      <c r="B497" s="303">
        <v>13</v>
      </c>
      <c r="C497" s="303">
        <v>600</v>
      </c>
      <c r="D497" s="303" t="s">
        <v>565</v>
      </c>
      <c r="E497" s="303">
        <v>1.5</v>
      </c>
      <c r="F497" s="304">
        <v>45420.729166666664</v>
      </c>
      <c r="G497" s="303">
        <v>1</v>
      </c>
      <c r="H497" s="303">
        <v>51.374099999999999</v>
      </c>
      <c r="I497" s="303">
        <v>7.9175599999999999</v>
      </c>
      <c r="J497" s="303">
        <v>-22.132719000000002</v>
      </c>
      <c r="K497" s="303">
        <v>-21.310555999999998</v>
      </c>
      <c r="L497" s="303">
        <v>1015.17</v>
      </c>
      <c r="M497" s="303">
        <v>134.00003000000001</v>
      </c>
      <c r="N497" s="303">
        <v>17879.874769999999</v>
      </c>
      <c r="O497" s="303">
        <v>0</v>
      </c>
      <c r="P497" s="305">
        <v>0</v>
      </c>
      <c r="Q497" s="299">
        <f t="shared" si="3"/>
        <v>0</v>
      </c>
      <c r="R497" s="300" t="s">
        <v>230</v>
      </c>
      <c r="S497" s="300" t="s">
        <v>582</v>
      </c>
      <c r="T497" s="305" t="s">
        <v>583</v>
      </c>
      <c r="U497" s="305">
        <v>15</v>
      </c>
      <c r="V497" s="305">
        <v>5</v>
      </c>
      <c r="W497" s="303">
        <v>0.7</v>
      </c>
      <c r="X497" s="303">
        <v>0.7</v>
      </c>
      <c r="Y497" s="303">
        <v>0.7</v>
      </c>
      <c r="Z497" s="303">
        <v>1700</v>
      </c>
      <c r="AA497" s="303" t="s">
        <v>531</v>
      </c>
      <c r="AB497" s="303">
        <v>0.85</v>
      </c>
      <c r="AC497" s="303" t="s">
        <v>532</v>
      </c>
      <c r="AD497" s="303" t="s">
        <v>533</v>
      </c>
      <c r="AE497" s="303">
        <v>220</v>
      </c>
      <c r="AF497" s="324"/>
      <c r="AG497" s="325"/>
    </row>
    <row r="498" spans="1:33" ht="15" customHeight="1">
      <c r="A498" s="302" t="s">
        <v>771</v>
      </c>
      <c r="B498" s="303">
        <v>13</v>
      </c>
      <c r="C498" s="303">
        <v>600</v>
      </c>
      <c r="D498" s="303" t="s">
        <v>565</v>
      </c>
      <c r="E498" s="303">
        <v>1.5</v>
      </c>
      <c r="F498" s="304">
        <v>45420.73333333333</v>
      </c>
      <c r="G498" s="303">
        <v>1</v>
      </c>
      <c r="H498" s="303">
        <v>51.374099999999999</v>
      </c>
      <c r="I498" s="303">
        <v>7.9463900000000001</v>
      </c>
      <c r="J498" s="303">
        <v>-22.111456</v>
      </c>
      <c r="K498" s="303">
        <v>-21.290437000000001</v>
      </c>
      <c r="L498" s="303">
        <v>1005</v>
      </c>
      <c r="M498" s="303">
        <v>123.999459</v>
      </c>
      <c r="N498" s="303">
        <v>17823.228040000002</v>
      </c>
      <c r="O498" s="303">
        <v>0</v>
      </c>
      <c r="P498" s="305">
        <v>0</v>
      </c>
      <c r="Q498" s="299">
        <f t="shared" si="3"/>
        <v>0</v>
      </c>
      <c r="R498" s="300" t="s">
        <v>230</v>
      </c>
      <c r="S498" s="300" t="s">
        <v>582</v>
      </c>
      <c r="T498" s="305" t="s">
        <v>583</v>
      </c>
      <c r="U498" s="305">
        <v>15</v>
      </c>
      <c r="V498" s="305">
        <v>5</v>
      </c>
      <c r="W498" s="303">
        <v>0.7</v>
      </c>
      <c r="X498" s="303">
        <v>0.7</v>
      </c>
      <c r="Y498" s="303">
        <v>0.7</v>
      </c>
      <c r="Z498" s="303">
        <v>1700</v>
      </c>
      <c r="AA498" s="303" t="s">
        <v>531</v>
      </c>
      <c r="AB498" s="303">
        <v>0.85</v>
      </c>
      <c r="AC498" s="303" t="s">
        <v>532</v>
      </c>
      <c r="AD498" s="303" t="s">
        <v>533</v>
      </c>
      <c r="AE498" s="303">
        <v>220</v>
      </c>
      <c r="AF498" s="324"/>
      <c r="AG498" s="325"/>
    </row>
    <row r="499" spans="1:33" ht="15" customHeight="1">
      <c r="A499" s="302" t="s">
        <v>772</v>
      </c>
      <c r="B499" s="303">
        <v>13</v>
      </c>
      <c r="C499" s="303">
        <v>600</v>
      </c>
      <c r="D499" s="303" t="s">
        <v>565</v>
      </c>
      <c r="E499" s="303">
        <v>1.5</v>
      </c>
      <c r="F499" s="304">
        <v>45420.736805555556</v>
      </c>
      <c r="G499" s="303">
        <v>2</v>
      </c>
      <c r="H499" s="303">
        <v>51.374099999999999</v>
      </c>
      <c r="I499" s="303">
        <v>7.9123200000000002</v>
      </c>
      <c r="J499" s="303">
        <v>-22.086956000000001</v>
      </c>
      <c r="K499" s="303">
        <v>-21.247305999999998</v>
      </c>
      <c r="L499" s="303">
        <v>988.74599999999998</v>
      </c>
      <c r="M499" s="303">
        <v>127.501915</v>
      </c>
      <c r="N499" s="303">
        <v>17811.934290000001</v>
      </c>
      <c r="O499" s="303">
        <v>17826.194599999999</v>
      </c>
      <c r="P499" s="305">
        <v>2078.486112</v>
      </c>
      <c r="Q499" s="299">
        <f t="shared" si="3"/>
        <v>2078.486112</v>
      </c>
      <c r="R499" s="300" t="s">
        <v>230</v>
      </c>
      <c r="S499" s="300" t="s">
        <v>12</v>
      </c>
      <c r="T499" s="305" t="s">
        <v>530</v>
      </c>
      <c r="U499" s="305">
        <v>15</v>
      </c>
      <c r="V499" s="305">
        <v>5</v>
      </c>
      <c r="W499" s="303">
        <v>0.7</v>
      </c>
      <c r="X499" s="303">
        <v>0.7</v>
      </c>
      <c r="Y499" s="303">
        <v>0.7</v>
      </c>
      <c r="Z499" s="303">
        <v>1700</v>
      </c>
      <c r="AA499" s="303" t="s">
        <v>531</v>
      </c>
      <c r="AB499" s="303">
        <v>0.85</v>
      </c>
      <c r="AC499" s="303" t="s">
        <v>532</v>
      </c>
      <c r="AD499" s="303" t="s">
        <v>533</v>
      </c>
      <c r="AE499" s="303">
        <v>220</v>
      </c>
      <c r="AF499" s="324"/>
      <c r="AG499" s="325"/>
    </row>
    <row r="500" spans="1:33" ht="15" customHeight="1">
      <c r="A500" s="302" t="s">
        <v>773</v>
      </c>
      <c r="B500" s="303">
        <v>13</v>
      </c>
      <c r="C500" s="303">
        <v>600</v>
      </c>
      <c r="D500" s="303" t="s">
        <v>565</v>
      </c>
      <c r="E500" s="303">
        <v>1.5</v>
      </c>
      <c r="F500" s="304">
        <v>45420.740277777775</v>
      </c>
      <c r="G500" s="303">
        <v>2</v>
      </c>
      <c r="H500" s="303">
        <v>51.374099999999999</v>
      </c>
      <c r="I500" s="303">
        <v>8.0854400000000002</v>
      </c>
      <c r="J500" s="303">
        <v>-22.1</v>
      </c>
      <c r="K500" s="303">
        <v>-21.300194000000001</v>
      </c>
      <c r="L500" s="303">
        <v>1003.76</v>
      </c>
      <c r="M500" s="303">
        <v>144.00000800000001</v>
      </c>
      <c r="N500" s="303">
        <v>17875.542079999999</v>
      </c>
      <c r="O500" s="303">
        <v>17826.194599999999</v>
      </c>
      <c r="P500" s="305">
        <v>2078.486112</v>
      </c>
      <c r="Q500" s="299">
        <f t="shared" si="3"/>
        <v>2078.486112</v>
      </c>
      <c r="R500" s="300" t="s">
        <v>230</v>
      </c>
      <c r="S500" s="300" t="s">
        <v>12</v>
      </c>
      <c r="T500" s="305" t="s">
        <v>545</v>
      </c>
      <c r="U500" s="305">
        <v>15</v>
      </c>
      <c r="V500" s="305">
        <v>5</v>
      </c>
      <c r="W500" s="303">
        <v>0.7</v>
      </c>
      <c r="X500" s="303">
        <v>0.7</v>
      </c>
      <c r="Y500" s="303">
        <v>0.7</v>
      </c>
      <c r="Z500" s="303">
        <v>1700</v>
      </c>
      <c r="AA500" s="303" t="s">
        <v>531</v>
      </c>
      <c r="AB500" s="303">
        <v>0.85</v>
      </c>
      <c r="AC500" s="303" t="s">
        <v>532</v>
      </c>
      <c r="AD500" s="303" t="s">
        <v>533</v>
      </c>
      <c r="AE500" s="303">
        <v>220</v>
      </c>
      <c r="AF500" s="324"/>
      <c r="AG500" s="325"/>
    </row>
    <row r="501" spans="1:33" ht="15" customHeight="1">
      <c r="A501" s="302" t="s">
        <v>774</v>
      </c>
      <c r="B501" s="303">
        <v>13</v>
      </c>
      <c r="C501" s="303">
        <v>600</v>
      </c>
      <c r="D501" s="303" t="s">
        <v>565</v>
      </c>
      <c r="E501" s="303">
        <v>1.5</v>
      </c>
      <c r="F501" s="304">
        <v>45420.744444444441</v>
      </c>
      <c r="G501" s="303">
        <v>2</v>
      </c>
      <c r="H501" s="303">
        <v>51.374099999999999</v>
      </c>
      <c r="I501" s="303">
        <v>7.9496500000000001</v>
      </c>
      <c r="J501" s="303">
        <v>-22.091699999999999</v>
      </c>
      <c r="K501" s="303">
        <v>-21.250019000000002</v>
      </c>
      <c r="L501" s="303">
        <v>993.41300000000001</v>
      </c>
      <c r="M501" s="303">
        <v>115.50027900000001</v>
      </c>
      <c r="N501" s="303">
        <v>17830.62472</v>
      </c>
      <c r="O501" s="303">
        <v>17826.194599999999</v>
      </c>
      <c r="P501" s="305">
        <v>2078.486112</v>
      </c>
      <c r="Q501" s="299">
        <f t="shared" si="3"/>
        <v>2078.486112</v>
      </c>
      <c r="R501" s="300" t="s">
        <v>230</v>
      </c>
      <c r="S501" s="300" t="s">
        <v>12</v>
      </c>
      <c r="T501" s="305" t="s">
        <v>530</v>
      </c>
      <c r="U501" s="305">
        <v>15</v>
      </c>
      <c r="V501" s="305">
        <v>5</v>
      </c>
      <c r="W501" s="303">
        <v>0.7</v>
      </c>
      <c r="X501" s="303">
        <v>0.7</v>
      </c>
      <c r="Y501" s="303">
        <v>0.7</v>
      </c>
      <c r="Z501" s="303">
        <v>1700</v>
      </c>
      <c r="AA501" s="303" t="s">
        <v>531</v>
      </c>
      <c r="AB501" s="303">
        <v>0.85</v>
      </c>
      <c r="AC501" s="303" t="s">
        <v>532</v>
      </c>
      <c r="AD501" s="303" t="s">
        <v>533</v>
      </c>
      <c r="AE501" s="303">
        <v>220</v>
      </c>
      <c r="AF501" s="324"/>
      <c r="AG501" s="325"/>
    </row>
    <row r="502" spans="1:33" ht="15" customHeight="1">
      <c r="A502" s="302" t="s">
        <v>775</v>
      </c>
      <c r="B502" s="303">
        <v>13</v>
      </c>
      <c r="C502" s="303">
        <v>600</v>
      </c>
      <c r="D502" s="303" t="s">
        <v>565</v>
      </c>
      <c r="E502" s="303">
        <v>1.5</v>
      </c>
      <c r="F502" s="304">
        <v>45420.747916666667</v>
      </c>
      <c r="G502" s="303">
        <v>2</v>
      </c>
      <c r="H502" s="303">
        <v>51.377400000000002</v>
      </c>
      <c r="I502" s="303">
        <v>8.0174599999999998</v>
      </c>
      <c r="J502" s="303">
        <v>-22.063756000000001</v>
      </c>
      <c r="K502" s="303">
        <v>-21.223549999999999</v>
      </c>
      <c r="L502" s="303">
        <v>997.14400000000001</v>
      </c>
      <c r="M502" s="303">
        <v>160.50150500000001</v>
      </c>
      <c r="N502" s="303">
        <v>17877.774529999999</v>
      </c>
      <c r="O502" s="303">
        <v>17826.194599999999</v>
      </c>
      <c r="P502" s="305">
        <v>2078.486112</v>
      </c>
      <c r="Q502" s="299">
        <f t="shared" si="3"/>
        <v>2078.486112</v>
      </c>
      <c r="R502" s="300" t="s">
        <v>230</v>
      </c>
      <c r="S502" s="300" t="s">
        <v>12</v>
      </c>
      <c r="T502" s="305" t="s">
        <v>545</v>
      </c>
      <c r="U502" s="305">
        <v>15</v>
      </c>
      <c r="V502" s="305">
        <v>5</v>
      </c>
      <c r="W502" s="303">
        <v>0.7</v>
      </c>
      <c r="X502" s="303">
        <v>0.7</v>
      </c>
      <c r="Y502" s="303">
        <v>0.7</v>
      </c>
      <c r="Z502" s="303">
        <v>1700</v>
      </c>
      <c r="AA502" s="303" t="s">
        <v>531</v>
      </c>
      <c r="AB502" s="303">
        <v>0.85</v>
      </c>
      <c r="AC502" s="303" t="s">
        <v>532</v>
      </c>
      <c r="AD502" s="303" t="s">
        <v>533</v>
      </c>
      <c r="AE502" s="303">
        <v>220</v>
      </c>
      <c r="AF502" s="324"/>
      <c r="AG502" s="326"/>
    </row>
    <row r="503" spans="1:33" ht="15" customHeight="1">
      <c r="A503" s="302" t="s">
        <v>776</v>
      </c>
      <c r="B503" s="303">
        <v>13</v>
      </c>
      <c r="C503" s="303">
        <v>600</v>
      </c>
      <c r="D503" s="303" t="s">
        <v>565</v>
      </c>
      <c r="E503" s="303">
        <v>1.5</v>
      </c>
      <c r="F503" s="304">
        <v>45420.751388888886</v>
      </c>
      <c r="G503" s="303">
        <v>2</v>
      </c>
      <c r="H503" s="303">
        <v>51.377400000000002</v>
      </c>
      <c r="I503" s="303">
        <v>7.9335699999999996</v>
      </c>
      <c r="J503" s="303">
        <v>-22.126794</v>
      </c>
      <c r="K503" s="303">
        <v>-21.303743999999998</v>
      </c>
      <c r="L503" s="303">
        <v>999.23299999999995</v>
      </c>
      <c r="M503" s="303">
        <v>118.500957</v>
      </c>
      <c r="N503" s="303">
        <v>17836.024789999999</v>
      </c>
      <c r="O503" s="303">
        <v>17826.194599999999</v>
      </c>
      <c r="P503" s="305">
        <v>2078.486112</v>
      </c>
      <c r="Q503" s="299">
        <f t="shared" si="3"/>
        <v>2078.486112</v>
      </c>
      <c r="R503" s="300" t="s">
        <v>230</v>
      </c>
      <c r="S503" s="300" t="s">
        <v>12</v>
      </c>
      <c r="T503" s="305" t="s">
        <v>530</v>
      </c>
      <c r="U503" s="305">
        <v>15</v>
      </c>
      <c r="V503" s="305">
        <v>5</v>
      </c>
      <c r="W503" s="303">
        <v>0.7</v>
      </c>
      <c r="X503" s="303">
        <v>0.7</v>
      </c>
      <c r="Y503" s="303">
        <v>0.7</v>
      </c>
      <c r="Z503" s="303">
        <v>1700</v>
      </c>
      <c r="AA503" s="303" t="s">
        <v>531</v>
      </c>
      <c r="AB503" s="303">
        <v>0.85</v>
      </c>
      <c r="AC503" s="303" t="s">
        <v>532</v>
      </c>
      <c r="AD503" s="303" t="s">
        <v>533</v>
      </c>
      <c r="AE503" s="303">
        <v>220</v>
      </c>
      <c r="AF503" s="324"/>
      <c r="AG503" s="326"/>
    </row>
    <row r="504" spans="1:33" ht="15" customHeight="1">
      <c r="A504" s="302" t="s">
        <v>654</v>
      </c>
      <c r="B504" s="303">
        <v>14</v>
      </c>
      <c r="C504" s="303">
        <v>612</v>
      </c>
      <c r="D504" s="303" t="s">
        <v>570</v>
      </c>
      <c r="E504" s="303">
        <v>1.5</v>
      </c>
      <c r="F504" s="304">
        <v>45420.755555555559</v>
      </c>
      <c r="G504" s="303">
        <v>1</v>
      </c>
      <c r="H504" s="303">
        <v>51.374099999999999</v>
      </c>
      <c r="I504" s="303">
        <v>7.9722900000000001</v>
      </c>
      <c r="J504" s="303">
        <v>-22.178894</v>
      </c>
      <c r="K504" s="303">
        <v>-21.333644</v>
      </c>
      <c r="L504" s="303">
        <v>1016.2</v>
      </c>
      <c r="M504" s="303">
        <v>142.99982199999999</v>
      </c>
      <c r="N504" s="303">
        <v>17892.758529999999</v>
      </c>
      <c r="O504" s="303">
        <v>17883.42656</v>
      </c>
      <c r="P504" s="305">
        <v>2085.1598319999998</v>
      </c>
      <c r="Q504" s="299">
        <f t="shared" si="3"/>
        <v>2085.1598319999998</v>
      </c>
      <c r="R504" s="300" t="s">
        <v>230</v>
      </c>
      <c r="S504" s="300" t="s">
        <v>12</v>
      </c>
      <c r="T504" s="305" t="s">
        <v>530</v>
      </c>
      <c r="U504" s="305">
        <v>15</v>
      </c>
      <c r="V504" s="305">
        <v>5</v>
      </c>
      <c r="W504" s="303">
        <v>0.7</v>
      </c>
      <c r="X504" s="303">
        <v>0.7</v>
      </c>
      <c r="Y504" s="303">
        <v>0.7</v>
      </c>
      <c r="Z504" s="303">
        <v>1700</v>
      </c>
      <c r="AA504" s="303" t="s">
        <v>531</v>
      </c>
      <c r="AB504" s="303">
        <v>0.85</v>
      </c>
      <c r="AC504" s="303" t="s">
        <v>532</v>
      </c>
      <c r="AD504" s="303" t="s">
        <v>533</v>
      </c>
      <c r="AE504" s="303">
        <v>220</v>
      </c>
      <c r="AF504" s="324"/>
      <c r="AG504" s="326"/>
    </row>
    <row r="505" spans="1:33" ht="15" customHeight="1">
      <c r="A505" s="302" t="s">
        <v>655</v>
      </c>
      <c r="B505" s="303">
        <v>14</v>
      </c>
      <c r="C505" s="303">
        <v>612</v>
      </c>
      <c r="D505" s="303" t="s">
        <v>570</v>
      </c>
      <c r="E505" s="303">
        <v>1.5</v>
      </c>
      <c r="F505" s="304">
        <v>45420.759722222225</v>
      </c>
      <c r="G505" s="303">
        <v>1</v>
      </c>
      <c r="H505" s="303">
        <v>51.374099999999999</v>
      </c>
      <c r="I505" s="303">
        <v>7.93825</v>
      </c>
      <c r="J505" s="303">
        <v>-22.142662999999999</v>
      </c>
      <c r="K505" s="303">
        <v>-21.301843999999999</v>
      </c>
      <c r="L505" s="303">
        <v>999.28099999999995</v>
      </c>
      <c r="M505" s="303">
        <v>122.499117</v>
      </c>
      <c r="N505" s="303">
        <v>17887.29982</v>
      </c>
      <c r="O505" s="303">
        <v>17883.42656</v>
      </c>
      <c r="P505" s="305">
        <v>2085.1598319999998</v>
      </c>
      <c r="Q505" s="299">
        <f t="shared" si="3"/>
        <v>2085.1598319999998</v>
      </c>
      <c r="R505" s="300" t="s">
        <v>230</v>
      </c>
      <c r="S505" s="300" t="s">
        <v>12</v>
      </c>
      <c r="T505" s="305" t="s">
        <v>530</v>
      </c>
      <c r="U505" s="305">
        <v>15</v>
      </c>
      <c r="V505" s="305">
        <v>5</v>
      </c>
      <c r="W505" s="303">
        <v>0.7</v>
      </c>
      <c r="X505" s="303">
        <v>0.7</v>
      </c>
      <c r="Y505" s="303">
        <v>0.7</v>
      </c>
      <c r="Z505" s="303">
        <v>1700</v>
      </c>
      <c r="AA505" s="303" t="s">
        <v>531</v>
      </c>
      <c r="AB505" s="303">
        <v>0.85</v>
      </c>
      <c r="AC505" s="303" t="s">
        <v>532</v>
      </c>
      <c r="AD505" s="303" t="s">
        <v>533</v>
      </c>
      <c r="AE505" s="303">
        <v>220</v>
      </c>
      <c r="AF505" s="324"/>
      <c r="AG505" s="326"/>
    </row>
    <row r="506" spans="1:33" ht="15" customHeight="1">
      <c r="A506" s="302" t="s">
        <v>656</v>
      </c>
      <c r="B506" s="303">
        <v>14</v>
      </c>
      <c r="C506" s="303">
        <v>612</v>
      </c>
      <c r="D506" s="303" t="s">
        <v>570</v>
      </c>
      <c r="E506" s="303">
        <v>1.5</v>
      </c>
      <c r="F506" s="304">
        <v>45420.763194444444</v>
      </c>
      <c r="G506" s="303">
        <v>1</v>
      </c>
      <c r="H506" s="303">
        <v>51.380699999999997</v>
      </c>
      <c r="I506" s="303">
        <v>7.9973000000000001</v>
      </c>
      <c r="J506" s="303">
        <v>-22.152699999999999</v>
      </c>
      <c r="K506" s="303">
        <v>-21.307006000000001</v>
      </c>
      <c r="L506" s="303">
        <v>998.81</v>
      </c>
      <c r="M506" s="303">
        <v>123.498586</v>
      </c>
      <c r="N506" s="303">
        <v>17839.832139999999</v>
      </c>
      <c r="O506" s="303">
        <v>17883.42656</v>
      </c>
      <c r="P506" s="305">
        <v>2085.1598319999998</v>
      </c>
      <c r="Q506" s="299">
        <f t="shared" si="3"/>
        <v>2085.1598319999998</v>
      </c>
      <c r="R506" s="300" t="s">
        <v>230</v>
      </c>
      <c r="S506" s="300" t="s">
        <v>12</v>
      </c>
      <c r="T506" s="305" t="s">
        <v>545</v>
      </c>
      <c r="U506" s="305">
        <v>15</v>
      </c>
      <c r="V506" s="305">
        <v>5</v>
      </c>
      <c r="W506" s="303">
        <v>0.7</v>
      </c>
      <c r="X506" s="303">
        <v>0.7</v>
      </c>
      <c r="Y506" s="303">
        <v>0.7</v>
      </c>
      <c r="Z506" s="303">
        <v>1700</v>
      </c>
      <c r="AA506" s="303" t="s">
        <v>531</v>
      </c>
      <c r="AB506" s="303">
        <v>0.85</v>
      </c>
      <c r="AC506" s="303" t="s">
        <v>532</v>
      </c>
      <c r="AD506" s="303" t="s">
        <v>533</v>
      </c>
      <c r="AE506" s="303">
        <v>220</v>
      </c>
      <c r="AF506" s="324"/>
      <c r="AG506" s="325"/>
    </row>
    <row r="507" spans="1:33" ht="15" customHeight="1">
      <c r="A507" s="302" t="s">
        <v>777</v>
      </c>
      <c r="B507" s="303">
        <v>14</v>
      </c>
      <c r="C507" s="303">
        <v>612</v>
      </c>
      <c r="D507" s="303" t="s">
        <v>570</v>
      </c>
      <c r="E507" s="303">
        <v>1.5</v>
      </c>
      <c r="F507" s="304">
        <v>45420.76666666667</v>
      </c>
      <c r="G507" s="303">
        <v>1</v>
      </c>
      <c r="H507" s="303">
        <v>51.374099999999999</v>
      </c>
      <c r="I507" s="303">
        <v>7.8891900000000001</v>
      </c>
      <c r="J507" s="303">
        <v>-22.164149999999999</v>
      </c>
      <c r="K507" s="303">
        <v>-21.332218999999998</v>
      </c>
      <c r="L507" s="303">
        <v>999.72699999999998</v>
      </c>
      <c r="M507" s="303">
        <v>119.000057</v>
      </c>
      <c r="N507" s="303">
        <v>17850.087650000001</v>
      </c>
      <c r="O507" s="303">
        <v>17883.42656</v>
      </c>
      <c r="P507" s="305">
        <v>2085.1598319999998</v>
      </c>
      <c r="Q507" s="299">
        <f t="shared" si="3"/>
        <v>2085.1598319999998</v>
      </c>
      <c r="R507" s="300" t="s">
        <v>230</v>
      </c>
      <c r="S507" s="300" t="s">
        <v>12</v>
      </c>
      <c r="T507" s="305" t="s">
        <v>545</v>
      </c>
      <c r="U507" s="305">
        <v>15</v>
      </c>
      <c r="V507" s="305">
        <v>5</v>
      </c>
      <c r="W507" s="303">
        <v>0.7</v>
      </c>
      <c r="X507" s="303">
        <v>0.7</v>
      </c>
      <c r="Y507" s="303">
        <v>0.7</v>
      </c>
      <c r="Z507" s="303">
        <v>1700</v>
      </c>
      <c r="AA507" s="303" t="s">
        <v>531</v>
      </c>
      <c r="AB507" s="303">
        <v>0.85</v>
      </c>
      <c r="AC507" s="303" t="s">
        <v>532</v>
      </c>
      <c r="AD507" s="303" t="s">
        <v>533</v>
      </c>
      <c r="AE507" s="303">
        <v>220</v>
      </c>
      <c r="AF507" s="324"/>
      <c r="AG507" s="325"/>
    </row>
    <row r="508" spans="1:33" ht="15" customHeight="1">
      <c r="A508" s="302" t="s">
        <v>778</v>
      </c>
      <c r="B508" s="303">
        <v>14</v>
      </c>
      <c r="C508" s="303">
        <v>612</v>
      </c>
      <c r="D508" s="303" t="s">
        <v>570</v>
      </c>
      <c r="E508" s="303">
        <v>1.5</v>
      </c>
      <c r="F508" s="304">
        <v>45420.770138888889</v>
      </c>
      <c r="G508" s="303">
        <v>1</v>
      </c>
      <c r="H508" s="303">
        <v>51.374099999999999</v>
      </c>
      <c r="I508" s="303">
        <v>8.0040099999999992</v>
      </c>
      <c r="J508" s="303">
        <v>-22.200087</v>
      </c>
      <c r="K508" s="303">
        <v>-21.357056</v>
      </c>
      <c r="L508" s="303">
        <v>993.25699999999995</v>
      </c>
      <c r="M508" s="303">
        <v>132.49957499999999</v>
      </c>
      <c r="N508" s="303">
        <v>17870.22133</v>
      </c>
      <c r="O508" s="303">
        <v>17883.42656</v>
      </c>
      <c r="P508" s="305">
        <v>2085.1598319999998</v>
      </c>
      <c r="Q508" s="299">
        <f t="shared" si="3"/>
        <v>2085.1598319999998</v>
      </c>
      <c r="R508" s="300" t="s">
        <v>230</v>
      </c>
      <c r="S508" s="300" t="s">
        <v>12</v>
      </c>
      <c r="T508" s="305" t="s">
        <v>530</v>
      </c>
      <c r="U508" s="305">
        <v>15</v>
      </c>
      <c r="V508" s="305">
        <v>5</v>
      </c>
      <c r="W508" s="303">
        <v>0.7</v>
      </c>
      <c r="X508" s="303">
        <v>0.7</v>
      </c>
      <c r="Y508" s="303">
        <v>0.7</v>
      </c>
      <c r="Z508" s="303">
        <v>1700</v>
      </c>
      <c r="AA508" s="303" t="s">
        <v>531</v>
      </c>
      <c r="AB508" s="303">
        <v>0.85</v>
      </c>
      <c r="AC508" s="303" t="s">
        <v>532</v>
      </c>
      <c r="AD508" s="303" t="s">
        <v>533</v>
      </c>
      <c r="AE508" s="303">
        <v>220</v>
      </c>
      <c r="AF508" s="324"/>
      <c r="AG508" s="325"/>
    </row>
    <row r="509" spans="1:33" ht="15" customHeight="1">
      <c r="A509" s="302" t="s">
        <v>779</v>
      </c>
      <c r="B509" s="303">
        <v>15</v>
      </c>
      <c r="C509" s="303">
        <v>613</v>
      </c>
      <c r="D509" s="303" t="s">
        <v>575</v>
      </c>
      <c r="E509" s="303">
        <v>1.5</v>
      </c>
      <c r="F509" s="304">
        <v>45420.774305555555</v>
      </c>
      <c r="G509" s="303">
        <v>1</v>
      </c>
      <c r="H509" s="303">
        <v>51.374099999999999</v>
      </c>
      <c r="I509" s="303">
        <v>7.94672</v>
      </c>
      <c r="J509" s="303">
        <v>-22.158149999999999</v>
      </c>
      <c r="K509" s="303">
        <v>-21.314056000000001</v>
      </c>
      <c r="L509" s="303">
        <v>995.86300000000006</v>
      </c>
      <c r="M509" s="303">
        <v>121.501242</v>
      </c>
      <c r="N509" s="303">
        <v>17828.298480000001</v>
      </c>
      <c r="O509" s="303">
        <v>17808.17181</v>
      </c>
      <c r="P509" s="305">
        <v>2076.3845059999999</v>
      </c>
      <c r="Q509" s="299">
        <f t="shared" si="3"/>
        <v>2076.3845059999999</v>
      </c>
      <c r="R509" s="300" t="s">
        <v>230</v>
      </c>
      <c r="S509" s="300" t="s">
        <v>12</v>
      </c>
      <c r="T509" s="305" t="s">
        <v>530</v>
      </c>
      <c r="U509" s="305">
        <v>15</v>
      </c>
      <c r="V509" s="305">
        <v>5</v>
      </c>
      <c r="W509" s="303">
        <v>0.7</v>
      </c>
      <c r="X509" s="303">
        <v>0.7</v>
      </c>
      <c r="Y509" s="303">
        <v>0.7</v>
      </c>
      <c r="Z509" s="303">
        <v>1700</v>
      </c>
      <c r="AA509" s="303" t="s">
        <v>531</v>
      </c>
      <c r="AB509" s="303">
        <v>0.85</v>
      </c>
      <c r="AC509" s="303" t="s">
        <v>532</v>
      </c>
      <c r="AD509" s="303" t="s">
        <v>533</v>
      </c>
      <c r="AE509" s="303">
        <v>220</v>
      </c>
      <c r="AF509" s="324"/>
      <c r="AG509" s="326"/>
    </row>
    <row r="510" spans="1:33" ht="15" customHeight="1">
      <c r="A510" s="302" t="s">
        <v>780</v>
      </c>
      <c r="B510" s="303">
        <v>15</v>
      </c>
      <c r="C510" s="303">
        <v>613</v>
      </c>
      <c r="D510" s="303" t="s">
        <v>575</v>
      </c>
      <c r="E510" s="303">
        <v>1.5</v>
      </c>
      <c r="F510" s="304">
        <v>45420.777777777781</v>
      </c>
      <c r="G510" s="303">
        <v>1</v>
      </c>
      <c r="H510" s="303">
        <v>51.374099999999999</v>
      </c>
      <c r="I510" s="303">
        <v>7.9782299999999999</v>
      </c>
      <c r="J510" s="303">
        <v>-22.2591</v>
      </c>
      <c r="K510" s="303">
        <v>-21.420237</v>
      </c>
      <c r="L510" s="303">
        <v>986.71799999999996</v>
      </c>
      <c r="M510" s="303">
        <v>140.50044500000001</v>
      </c>
      <c r="N510" s="303">
        <v>17800.409240000001</v>
      </c>
      <c r="O510" s="303">
        <v>17808.17181</v>
      </c>
      <c r="P510" s="305">
        <v>2076.3845059999999</v>
      </c>
      <c r="Q510" s="299">
        <f t="shared" si="3"/>
        <v>2076.3845059999999</v>
      </c>
      <c r="R510" s="300" t="s">
        <v>230</v>
      </c>
      <c r="S510" s="300" t="s">
        <v>12</v>
      </c>
      <c r="T510" s="305" t="s">
        <v>530</v>
      </c>
      <c r="U510" s="305">
        <v>15</v>
      </c>
      <c r="V510" s="305">
        <v>5</v>
      </c>
      <c r="W510" s="303">
        <v>0.7</v>
      </c>
      <c r="X510" s="303">
        <v>0.7</v>
      </c>
      <c r="Y510" s="303">
        <v>0.7</v>
      </c>
      <c r="Z510" s="303">
        <v>1700</v>
      </c>
      <c r="AA510" s="303" t="s">
        <v>531</v>
      </c>
      <c r="AB510" s="303">
        <v>0.85</v>
      </c>
      <c r="AC510" s="303" t="s">
        <v>532</v>
      </c>
      <c r="AD510" s="303" t="s">
        <v>533</v>
      </c>
      <c r="AE510" s="303">
        <v>220</v>
      </c>
      <c r="AF510" s="324"/>
      <c r="AG510" s="326"/>
    </row>
    <row r="511" spans="1:33" ht="15" customHeight="1">
      <c r="A511" s="302" t="s">
        <v>781</v>
      </c>
      <c r="B511" s="303">
        <v>15</v>
      </c>
      <c r="C511" s="303">
        <v>613</v>
      </c>
      <c r="D511" s="303" t="s">
        <v>575</v>
      </c>
      <c r="E511" s="303">
        <v>1.5</v>
      </c>
      <c r="F511" s="304">
        <v>45420.781944444447</v>
      </c>
      <c r="G511" s="303">
        <v>1</v>
      </c>
      <c r="H511" s="303">
        <v>51.374099999999999</v>
      </c>
      <c r="I511" s="303">
        <v>7.9778399999999996</v>
      </c>
      <c r="J511" s="303">
        <v>-22.184349999999998</v>
      </c>
      <c r="K511" s="303">
        <v>-21.365319</v>
      </c>
      <c r="L511" s="303">
        <v>988.74199999999996</v>
      </c>
      <c r="M511" s="303">
        <v>123.501441</v>
      </c>
      <c r="N511" s="303">
        <v>17795.807710000001</v>
      </c>
      <c r="O511" s="303">
        <v>17808.17181</v>
      </c>
      <c r="P511" s="305">
        <v>2076.3845059999999</v>
      </c>
      <c r="Q511" s="299">
        <f t="shared" si="3"/>
        <v>2076.3845059999999</v>
      </c>
      <c r="R511" s="300" t="s">
        <v>230</v>
      </c>
      <c r="S511" s="300" t="s">
        <v>12</v>
      </c>
      <c r="T511" s="305" t="s">
        <v>530</v>
      </c>
      <c r="U511" s="305">
        <v>15</v>
      </c>
      <c r="V511" s="305">
        <v>5</v>
      </c>
      <c r="W511" s="303">
        <v>0.7</v>
      </c>
      <c r="X511" s="303">
        <v>0.7</v>
      </c>
      <c r="Y511" s="303">
        <v>0.7</v>
      </c>
      <c r="Z511" s="303">
        <v>1700</v>
      </c>
      <c r="AA511" s="303" t="s">
        <v>531</v>
      </c>
      <c r="AB511" s="303">
        <v>0.85</v>
      </c>
      <c r="AC511" s="303" t="s">
        <v>532</v>
      </c>
      <c r="AD511" s="303" t="s">
        <v>533</v>
      </c>
      <c r="AE511" s="303">
        <v>220</v>
      </c>
      <c r="AF511" s="324"/>
      <c r="AG511" s="326"/>
    </row>
    <row r="512" spans="1:33" ht="15" customHeight="1">
      <c r="A512" s="308" t="s">
        <v>782</v>
      </c>
      <c r="B512" s="309">
        <v>16</v>
      </c>
      <c r="C512" s="309" t="s">
        <v>758</v>
      </c>
      <c r="D512" s="309" t="s">
        <v>529</v>
      </c>
      <c r="E512" s="309">
        <v>1.5</v>
      </c>
      <c r="F512" s="310">
        <v>45420.786111111112</v>
      </c>
      <c r="G512" s="309">
        <v>1</v>
      </c>
      <c r="H512" s="309">
        <v>51.370800000000003</v>
      </c>
      <c r="I512" s="309">
        <v>7.8625699999999998</v>
      </c>
      <c r="J512" s="309">
        <v>-22.204912</v>
      </c>
      <c r="K512" s="309">
        <v>-21.362518999999999</v>
      </c>
      <c r="L512" s="309">
        <v>995.72</v>
      </c>
      <c r="M512" s="309">
        <v>120.99941800000001</v>
      </c>
      <c r="N512" s="309">
        <v>17733.749210000002</v>
      </c>
      <c r="O512" s="309">
        <v>17723.41188</v>
      </c>
      <c r="P512" s="311">
        <v>2066.5185139999999</v>
      </c>
      <c r="Q512" s="299">
        <f t="shared" si="3"/>
        <v>2066.5185139999999</v>
      </c>
      <c r="R512" s="300" t="s">
        <v>230</v>
      </c>
      <c r="S512" s="300" t="s">
        <v>12</v>
      </c>
      <c r="T512" s="305" t="s">
        <v>530</v>
      </c>
      <c r="U512" s="305">
        <v>15</v>
      </c>
      <c r="V512" s="305">
        <v>5</v>
      </c>
      <c r="W512" s="303">
        <v>0.7</v>
      </c>
      <c r="X512" s="303">
        <v>0.7</v>
      </c>
      <c r="Y512" s="303">
        <v>0.7</v>
      </c>
      <c r="Z512" s="303">
        <v>1700</v>
      </c>
      <c r="AA512" s="303" t="s">
        <v>531</v>
      </c>
      <c r="AB512" s="303">
        <v>0.85</v>
      </c>
      <c r="AC512" s="303" t="s">
        <v>532</v>
      </c>
      <c r="AD512" s="303" t="s">
        <v>533</v>
      </c>
      <c r="AE512" s="303">
        <v>220</v>
      </c>
      <c r="AF512" s="324"/>
      <c r="AG512" s="326"/>
    </row>
    <row r="513" spans="1:33" ht="15" customHeight="1">
      <c r="A513" s="308" t="s">
        <v>783</v>
      </c>
      <c r="B513" s="309">
        <v>16</v>
      </c>
      <c r="C513" s="309" t="s">
        <v>758</v>
      </c>
      <c r="D513" s="309" t="s">
        <v>529</v>
      </c>
      <c r="E513" s="309">
        <v>1.5</v>
      </c>
      <c r="F513" s="310">
        <v>45420.789583333331</v>
      </c>
      <c r="G513" s="309">
        <v>1</v>
      </c>
      <c r="H513" s="309">
        <v>51.377400000000002</v>
      </c>
      <c r="I513" s="309">
        <v>7.93344</v>
      </c>
      <c r="J513" s="309">
        <v>-22.232324999999999</v>
      </c>
      <c r="K513" s="309">
        <v>-21.400024999999999</v>
      </c>
      <c r="L513" s="309">
        <v>995.34299999999996</v>
      </c>
      <c r="M513" s="309">
        <v>119.500209</v>
      </c>
      <c r="N513" s="309">
        <v>17715.66417</v>
      </c>
      <c r="O513" s="309">
        <v>17723.41188</v>
      </c>
      <c r="P513" s="311">
        <v>2066.5185139999999</v>
      </c>
      <c r="Q513" s="299">
        <f t="shared" si="3"/>
        <v>2066.5185139999999</v>
      </c>
      <c r="R513" s="300" t="s">
        <v>230</v>
      </c>
      <c r="S513" s="300" t="s">
        <v>12</v>
      </c>
      <c r="T513" s="305" t="s">
        <v>530</v>
      </c>
      <c r="U513" s="305">
        <v>15</v>
      </c>
      <c r="V513" s="305">
        <v>5</v>
      </c>
      <c r="W513" s="303">
        <v>0.7</v>
      </c>
      <c r="X513" s="303">
        <v>0.7</v>
      </c>
      <c r="Y513" s="303">
        <v>0.7</v>
      </c>
      <c r="Z513" s="303">
        <v>1700</v>
      </c>
      <c r="AA513" s="303" t="s">
        <v>531</v>
      </c>
      <c r="AB513" s="303">
        <v>0.85</v>
      </c>
      <c r="AC513" s="303" t="s">
        <v>532</v>
      </c>
      <c r="AD513" s="303" t="s">
        <v>533</v>
      </c>
      <c r="AE513" s="303">
        <v>220</v>
      </c>
      <c r="AF513" s="324"/>
      <c r="AG513" s="325"/>
    </row>
    <row r="514" spans="1:33" ht="15" customHeight="1">
      <c r="A514" s="308" t="s">
        <v>784</v>
      </c>
      <c r="B514" s="309">
        <v>16</v>
      </c>
      <c r="C514" s="309" t="s">
        <v>758</v>
      </c>
      <c r="D514" s="309" t="s">
        <v>529</v>
      </c>
      <c r="E514" s="309">
        <v>1.5</v>
      </c>
      <c r="F514" s="310">
        <v>45420.793055555558</v>
      </c>
      <c r="G514" s="309">
        <v>1</v>
      </c>
      <c r="H514" s="309">
        <v>51.374099999999999</v>
      </c>
      <c r="I514" s="309">
        <v>8.0007599999999996</v>
      </c>
      <c r="J514" s="309">
        <v>-22.177275000000002</v>
      </c>
      <c r="K514" s="309">
        <v>-21.338380999999998</v>
      </c>
      <c r="L514" s="309">
        <v>992.00099999999998</v>
      </c>
      <c r="M514" s="309">
        <v>128.499267</v>
      </c>
      <c r="N514" s="309">
        <v>17686.366709999998</v>
      </c>
      <c r="O514" s="309">
        <v>17723.41188</v>
      </c>
      <c r="P514" s="311">
        <v>2066.5185139999999</v>
      </c>
      <c r="Q514" s="299">
        <f t="shared" si="3"/>
        <v>2066.5185139999999</v>
      </c>
      <c r="R514" s="300" t="s">
        <v>230</v>
      </c>
      <c r="S514" s="300" t="s">
        <v>12</v>
      </c>
      <c r="T514" s="305" t="s">
        <v>545</v>
      </c>
      <c r="U514" s="305">
        <v>15</v>
      </c>
      <c r="V514" s="305">
        <v>5</v>
      </c>
      <c r="W514" s="303">
        <v>0.7</v>
      </c>
      <c r="X514" s="303">
        <v>0.7</v>
      </c>
      <c r="Y514" s="303">
        <v>0.7</v>
      </c>
      <c r="Z514" s="303">
        <v>1700</v>
      </c>
      <c r="AA514" s="303" t="s">
        <v>531</v>
      </c>
      <c r="AB514" s="303">
        <v>0.85</v>
      </c>
      <c r="AC514" s="303" t="s">
        <v>532</v>
      </c>
      <c r="AD514" s="303" t="s">
        <v>533</v>
      </c>
      <c r="AE514" s="303">
        <v>220</v>
      </c>
      <c r="AF514" s="324"/>
      <c r="AG514" s="325"/>
    </row>
    <row r="515" spans="1:33" ht="15" customHeight="1">
      <c r="A515" s="308" t="s">
        <v>785</v>
      </c>
      <c r="B515" s="309">
        <v>16</v>
      </c>
      <c r="C515" s="309" t="s">
        <v>758</v>
      </c>
      <c r="D515" s="309" t="s">
        <v>529</v>
      </c>
      <c r="E515" s="309">
        <v>1.5</v>
      </c>
      <c r="F515" s="310">
        <v>45420.796527777777</v>
      </c>
      <c r="G515" s="309">
        <v>1</v>
      </c>
      <c r="H515" s="309">
        <v>51.370800000000003</v>
      </c>
      <c r="I515" s="309">
        <v>7.9726400000000002</v>
      </c>
      <c r="J515" s="309">
        <v>-22.208531000000001</v>
      </c>
      <c r="K515" s="309">
        <v>-21.368919000000002</v>
      </c>
      <c r="L515" s="309">
        <v>994.48099999999999</v>
      </c>
      <c r="M515" s="309">
        <v>111.999095</v>
      </c>
      <c r="N515" s="309">
        <v>17720.822260000001</v>
      </c>
      <c r="O515" s="309">
        <v>17723.41188</v>
      </c>
      <c r="P515" s="311">
        <v>2066.5185139999999</v>
      </c>
      <c r="Q515" s="299">
        <f t="shared" si="3"/>
        <v>2066.5185139999999</v>
      </c>
      <c r="R515" s="300" t="s">
        <v>230</v>
      </c>
      <c r="S515" s="300" t="s">
        <v>12</v>
      </c>
      <c r="T515" s="305" t="s">
        <v>530</v>
      </c>
      <c r="U515" s="305">
        <v>15</v>
      </c>
      <c r="V515" s="305">
        <v>5</v>
      </c>
      <c r="W515" s="303">
        <v>0.7</v>
      </c>
      <c r="X515" s="303">
        <v>0.7</v>
      </c>
      <c r="Y515" s="303">
        <v>0.7</v>
      </c>
      <c r="Z515" s="303">
        <v>1700</v>
      </c>
      <c r="AA515" s="303" t="s">
        <v>531</v>
      </c>
      <c r="AB515" s="303">
        <v>0.85</v>
      </c>
      <c r="AC515" s="303" t="s">
        <v>532</v>
      </c>
      <c r="AD515" s="303" t="s">
        <v>533</v>
      </c>
      <c r="AE515" s="303">
        <v>220</v>
      </c>
      <c r="AF515" s="324"/>
      <c r="AG515" s="325"/>
    </row>
    <row r="516" spans="1:33" ht="15" customHeight="1">
      <c r="A516" s="302" t="s">
        <v>526</v>
      </c>
      <c r="B516" s="303" t="s">
        <v>527</v>
      </c>
      <c r="C516" s="303"/>
      <c r="D516" s="303" t="s">
        <v>529</v>
      </c>
      <c r="E516" s="303">
        <v>1</v>
      </c>
      <c r="F516" s="304">
        <v>45421.457638888889</v>
      </c>
      <c r="G516" s="303">
        <v>1</v>
      </c>
      <c r="H516" s="303">
        <v>51.377400000000002</v>
      </c>
      <c r="I516" s="303">
        <v>8.2000799999999998</v>
      </c>
      <c r="J516" s="303">
        <v>-22.430669000000002</v>
      </c>
      <c r="K516" s="303">
        <v>-21.583863000000001</v>
      </c>
      <c r="L516" s="303">
        <v>886.43200000000002</v>
      </c>
      <c r="M516" s="303">
        <v>99.500885999999994</v>
      </c>
      <c r="N516" s="303">
        <v>11379.58808</v>
      </c>
      <c r="O516" s="303">
        <v>11379.58808</v>
      </c>
      <c r="P516" s="305">
        <v>1995.2716150000001</v>
      </c>
      <c r="Q516" s="299">
        <f t="shared" si="3"/>
        <v>1995.2716150000001</v>
      </c>
      <c r="R516" s="300" t="s">
        <v>230</v>
      </c>
      <c r="S516" s="300" t="s">
        <v>12</v>
      </c>
      <c r="T516" s="305" t="s">
        <v>530</v>
      </c>
      <c r="U516" s="305">
        <v>15</v>
      </c>
      <c r="V516" s="305">
        <v>5</v>
      </c>
      <c r="W516" s="303">
        <v>0.7</v>
      </c>
      <c r="X516" s="303">
        <v>0.7</v>
      </c>
      <c r="Y516" s="303">
        <v>0.7</v>
      </c>
      <c r="Z516" s="303">
        <v>1700</v>
      </c>
      <c r="AA516" s="303" t="s">
        <v>531</v>
      </c>
      <c r="AB516" s="303">
        <v>0.85</v>
      </c>
      <c r="AC516" s="303" t="s">
        <v>532</v>
      </c>
      <c r="AD516" s="303" t="s">
        <v>533</v>
      </c>
      <c r="AE516" s="303">
        <v>220</v>
      </c>
      <c r="AF516" s="324"/>
      <c r="AG516" s="325"/>
    </row>
    <row r="517" spans="1:33" ht="15" customHeight="1">
      <c r="A517" s="302" t="s">
        <v>534</v>
      </c>
      <c r="B517" s="303" t="s">
        <v>527</v>
      </c>
      <c r="C517" s="303"/>
      <c r="D517" s="303" t="s">
        <v>529</v>
      </c>
      <c r="E517" s="303">
        <v>1</v>
      </c>
      <c r="F517" s="304">
        <v>45421.461111111108</v>
      </c>
      <c r="G517" s="303">
        <v>1</v>
      </c>
      <c r="H517" s="303">
        <v>51.374099999999999</v>
      </c>
      <c r="I517" s="303">
        <v>8.1028800000000007</v>
      </c>
      <c r="J517" s="303">
        <v>-22.411961999999999</v>
      </c>
      <c r="K517" s="303">
        <v>-21.565925</v>
      </c>
      <c r="L517" s="303">
        <v>885.42200000000003</v>
      </c>
      <c r="M517" s="303">
        <v>98.501082999999994</v>
      </c>
      <c r="N517" s="303">
        <v>11387.816699999999</v>
      </c>
      <c r="O517" s="303">
        <v>11387.816699999999</v>
      </c>
      <c r="P517" s="305">
        <v>1996.704279</v>
      </c>
      <c r="Q517" s="299">
        <f t="shared" si="3"/>
        <v>1996.704279</v>
      </c>
      <c r="R517" s="300" t="s">
        <v>230</v>
      </c>
      <c r="S517" s="300" t="s">
        <v>12</v>
      </c>
      <c r="T517" s="305" t="s">
        <v>530</v>
      </c>
      <c r="U517" s="305">
        <v>15</v>
      </c>
      <c r="V517" s="305">
        <v>5</v>
      </c>
      <c r="W517" s="303">
        <v>0.7</v>
      </c>
      <c r="X517" s="303">
        <v>0.7</v>
      </c>
      <c r="Y517" s="303">
        <v>0.7</v>
      </c>
      <c r="Z517" s="303">
        <v>1700</v>
      </c>
      <c r="AA517" s="303" t="s">
        <v>531</v>
      </c>
      <c r="AB517" s="303">
        <v>0.85</v>
      </c>
      <c r="AC517" s="303" t="s">
        <v>532</v>
      </c>
      <c r="AD517" s="303" t="s">
        <v>533</v>
      </c>
      <c r="AE517" s="303">
        <v>220</v>
      </c>
      <c r="AF517" s="324"/>
      <c r="AG517" s="325"/>
    </row>
    <row r="518" spans="1:33" ht="15" customHeight="1">
      <c r="A518" s="302" t="s">
        <v>535</v>
      </c>
      <c r="B518" s="303" t="s">
        <v>527</v>
      </c>
      <c r="C518" s="303"/>
      <c r="D518" s="303" t="s">
        <v>529</v>
      </c>
      <c r="E518" s="303">
        <v>1</v>
      </c>
      <c r="F518" s="304">
        <v>45421.463888888888</v>
      </c>
      <c r="G518" s="303">
        <v>1</v>
      </c>
      <c r="H518" s="303">
        <v>51.374099999999999</v>
      </c>
      <c r="I518" s="303">
        <v>8.1488499999999995</v>
      </c>
      <c r="J518" s="303">
        <v>-22.388500000000001</v>
      </c>
      <c r="K518" s="303">
        <v>-21.539838</v>
      </c>
      <c r="L518" s="303">
        <v>882.50300000000004</v>
      </c>
      <c r="M518" s="303">
        <v>110.00069000000001</v>
      </c>
      <c r="N518" s="303">
        <v>11342.761909999999</v>
      </c>
      <c r="O518" s="303">
        <v>11342.761909999999</v>
      </c>
      <c r="P518" s="305">
        <v>1988.8599079999999</v>
      </c>
      <c r="Q518" s="299">
        <f t="shared" si="3"/>
        <v>1988.8599079999999</v>
      </c>
      <c r="R518" s="300" t="s">
        <v>230</v>
      </c>
      <c r="S518" s="300" t="s">
        <v>12</v>
      </c>
      <c r="T518" s="305" t="s">
        <v>530</v>
      </c>
      <c r="U518" s="305">
        <v>15</v>
      </c>
      <c r="V518" s="305">
        <v>5</v>
      </c>
      <c r="W518" s="303">
        <v>0.7</v>
      </c>
      <c r="X518" s="303">
        <v>0.7</v>
      </c>
      <c r="Y518" s="303">
        <v>0.7</v>
      </c>
      <c r="Z518" s="303">
        <v>1700</v>
      </c>
      <c r="AA518" s="303" t="s">
        <v>531</v>
      </c>
      <c r="AB518" s="303">
        <v>0.85</v>
      </c>
      <c r="AC518" s="303" t="s">
        <v>532</v>
      </c>
      <c r="AD518" s="303" t="s">
        <v>533</v>
      </c>
      <c r="AE518" s="303">
        <v>220</v>
      </c>
      <c r="AF518" s="324"/>
      <c r="AG518" s="325"/>
    </row>
    <row r="519" spans="1:33" ht="15" customHeight="1">
      <c r="A519" s="302" t="s">
        <v>536</v>
      </c>
      <c r="B519" s="303" t="s">
        <v>527</v>
      </c>
      <c r="C519" s="303"/>
      <c r="D519" s="303" t="s">
        <v>529</v>
      </c>
      <c r="E519" s="303">
        <v>1</v>
      </c>
      <c r="F519" s="304">
        <v>45421.46875</v>
      </c>
      <c r="G519" s="303">
        <v>1</v>
      </c>
      <c r="H519" s="303">
        <v>51.374099999999999</v>
      </c>
      <c r="I519" s="303">
        <v>8.1134400000000007</v>
      </c>
      <c r="J519" s="303">
        <v>-22.455618999999999</v>
      </c>
      <c r="K519" s="303">
        <v>-21.627974999999999</v>
      </c>
      <c r="L519" s="303">
        <v>899.15200000000004</v>
      </c>
      <c r="M519" s="303">
        <v>105.499876</v>
      </c>
      <c r="N519" s="303">
        <v>11413.477339999999</v>
      </c>
      <c r="O519" s="303">
        <v>11413.477339999999</v>
      </c>
      <c r="P519" s="305">
        <v>2001.171983</v>
      </c>
      <c r="Q519" s="299">
        <f t="shared" si="3"/>
        <v>2001.171983</v>
      </c>
      <c r="R519" s="300" t="s">
        <v>230</v>
      </c>
      <c r="S519" s="300" t="s">
        <v>12</v>
      </c>
      <c r="T519" s="305" t="s">
        <v>530</v>
      </c>
      <c r="U519" s="305">
        <v>15</v>
      </c>
      <c r="V519" s="305">
        <v>5</v>
      </c>
      <c r="W519" s="303">
        <v>0.7</v>
      </c>
      <c r="X519" s="303">
        <v>0.7</v>
      </c>
      <c r="Y519" s="303">
        <v>0.7</v>
      </c>
      <c r="Z519" s="303">
        <v>1700</v>
      </c>
      <c r="AA519" s="303" t="s">
        <v>531</v>
      </c>
      <c r="AB519" s="303">
        <v>0.85</v>
      </c>
      <c r="AC519" s="303" t="s">
        <v>532</v>
      </c>
      <c r="AD519" s="303" t="s">
        <v>533</v>
      </c>
      <c r="AE519" s="303">
        <v>220</v>
      </c>
      <c r="AF519" s="324"/>
      <c r="AG519" s="325"/>
    </row>
    <row r="520" spans="1:33" ht="15" customHeight="1">
      <c r="A520" s="302" t="s">
        <v>537</v>
      </c>
      <c r="B520" s="303" t="s">
        <v>527</v>
      </c>
      <c r="C520" s="303"/>
      <c r="D520" s="303" t="s">
        <v>529</v>
      </c>
      <c r="E520" s="303">
        <v>1</v>
      </c>
      <c r="F520" s="304">
        <v>45421.472222222219</v>
      </c>
      <c r="G520" s="303">
        <v>1</v>
      </c>
      <c r="H520" s="303">
        <v>51.374099999999999</v>
      </c>
      <c r="I520" s="303">
        <v>8.1152300000000004</v>
      </c>
      <c r="J520" s="303">
        <v>-22.522188</v>
      </c>
      <c r="K520" s="303">
        <v>-21.672394000000001</v>
      </c>
      <c r="L520" s="303">
        <v>889.52</v>
      </c>
      <c r="M520" s="303">
        <v>106.00035699999999</v>
      </c>
      <c r="N520" s="303">
        <v>11428.95384</v>
      </c>
      <c r="O520" s="303">
        <v>11428.95384</v>
      </c>
      <c r="P520" s="305">
        <v>2003.8665559999999</v>
      </c>
      <c r="Q520" s="299">
        <f t="shared" si="3"/>
        <v>2003.8665559999999</v>
      </c>
      <c r="R520" s="300" t="s">
        <v>230</v>
      </c>
      <c r="S520" s="300" t="s">
        <v>12</v>
      </c>
      <c r="T520" s="305" t="s">
        <v>530</v>
      </c>
      <c r="U520" s="305">
        <v>15</v>
      </c>
      <c r="V520" s="305">
        <v>5</v>
      </c>
      <c r="W520" s="303">
        <v>0.7</v>
      </c>
      <c r="X520" s="303">
        <v>0.7</v>
      </c>
      <c r="Y520" s="303">
        <v>0.7</v>
      </c>
      <c r="Z520" s="303">
        <v>1700</v>
      </c>
      <c r="AA520" s="303" t="s">
        <v>531</v>
      </c>
      <c r="AB520" s="303">
        <v>0.85</v>
      </c>
      <c r="AC520" s="303" t="s">
        <v>532</v>
      </c>
      <c r="AD520" s="303" t="s">
        <v>533</v>
      </c>
      <c r="AE520" s="303">
        <v>220</v>
      </c>
      <c r="AF520" s="324"/>
      <c r="AG520" s="325"/>
    </row>
    <row r="521" spans="1:33" ht="15" customHeight="1">
      <c r="A521" s="302" t="s">
        <v>538</v>
      </c>
      <c r="B521" s="303" t="s">
        <v>527</v>
      </c>
      <c r="C521" s="303"/>
      <c r="D521" s="303" t="s">
        <v>529</v>
      </c>
      <c r="E521" s="303">
        <v>1</v>
      </c>
      <c r="F521" s="304">
        <v>45421.474999999999</v>
      </c>
      <c r="G521" s="303">
        <v>1</v>
      </c>
      <c r="H521" s="303">
        <v>51.374099999999999</v>
      </c>
      <c r="I521" s="303">
        <v>7.9842199999999997</v>
      </c>
      <c r="J521" s="303">
        <v>-22.363619</v>
      </c>
      <c r="K521" s="303">
        <v>-21.520769000000001</v>
      </c>
      <c r="L521" s="303">
        <v>894.86300000000006</v>
      </c>
      <c r="M521" s="303">
        <v>87.001507000000004</v>
      </c>
      <c r="N521" s="303">
        <v>11395.630859999999</v>
      </c>
      <c r="O521" s="303">
        <v>11395.630859999999</v>
      </c>
      <c r="P521" s="305">
        <v>1998.0647799999999</v>
      </c>
      <c r="Q521" s="299">
        <f t="shared" si="3"/>
        <v>1998.0647799999999</v>
      </c>
      <c r="R521" s="300" t="s">
        <v>230</v>
      </c>
      <c r="S521" s="300" t="s">
        <v>12</v>
      </c>
      <c r="T521" s="305" t="s">
        <v>530</v>
      </c>
      <c r="U521" s="305">
        <v>15</v>
      </c>
      <c r="V521" s="305">
        <v>5</v>
      </c>
      <c r="W521" s="303">
        <v>0.7</v>
      </c>
      <c r="X521" s="303">
        <v>0.7</v>
      </c>
      <c r="Y521" s="303">
        <v>0.7</v>
      </c>
      <c r="Z521" s="303">
        <v>1700</v>
      </c>
      <c r="AA521" s="303" t="s">
        <v>531</v>
      </c>
      <c r="AB521" s="303">
        <v>0.85</v>
      </c>
      <c r="AC521" s="303" t="s">
        <v>532</v>
      </c>
      <c r="AD521" s="303" t="s">
        <v>533</v>
      </c>
      <c r="AE521" s="303">
        <v>220</v>
      </c>
      <c r="AF521" s="324"/>
      <c r="AG521" s="325"/>
    </row>
    <row r="522" spans="1:33" ht="15" customHeight="1">
      <c r="A522" s="302" t="s">
        <v>539</v>
      </c>
      <c r="B522" s="303" t="s">
        <v>527</v>
      </c>
      <c r="C522" s="303"/>
      <c r="D522" s="303" t="s">
        <v>529</v>
      </c>
      <c r="E522" s="303">
        <v>1</v>
      </c>
      <c r="F522" s="304">
        <v>45421.478472222225</v>
      </c>
      <c r="G522" s="303">
        <v>1</v>
      </c>
      <c r="H522" s="303">
        <v>51.377400000000002</v>
      </c>
      <c r="I522" s="303">
        <v>8.0440799999999992</v>
      </c>
      <c r="J522" s="303">
        <v>-22.439406000000002</v>
      </c>
      <c r="K522" s="303">
        <v>-21.593350000000001</v>
      </c>
      <c r="L522" s="303">
        <v>891.48</v>
      </c>
      <c r="M522" s="303">
        <v>98.499797999999998</v>
      </c>
      <c r="N522" s="303">
        <v>11400.018969999999</v>
      </c>
      <c r="O522" s="303">
        <v>11400.018969999999</v>
      </c>
      <c r="P522" s="305">
        <v>1998.828782</v>
      </c>
      <c r="Q522" s="299">
        <f t="shared" si="3"/>
        <v>1998.828782</v>
      </c>
      <c r="R522" s="300" t="s">
        <v>230</v>
      </c>
      <c r="S522" s="300" t="s">
        <v>12</v>
      </c>
      <c r="T522" s="305" t="s">
        <v>530</v>
      </c>
      <c r="U522" s="305">
        <v>15</v>
      </c>
      <c r="V522" s="305">
        <v>5</v>
      </c>
      <c r="W522" s="303">
        <v>0.7</v>
      </c>
      <c r="X522" s="303">
        <v>0.7</v>
      </c>
      <c r="Y522" s="303">
        <v>0.7</v>
      </c>
      <c r="Z522" s="303">
        <v>1700</v>
      </c>
      <c r="AA522" s="303" t="s">
        <v>531</v>
      </c>
      <c r="AB522" s="303">
        <v>0.85</v>
      </c>
      <c r="AC522" s="303" t="s">
        <v>532</v>
      </c>
      <c r="AD522" s="303" t="s">
        <v>533</v>
      </c>
      <c r="AE522" s="303">
        <v>220</v>
      </c>
      <c r="AF522" s="324"/>
      <c r="AG522" s="325"/>
    </row>
    <row r="523" spans="1:33" ht="15" customHeight="1">
      <c r="A523" s="302" t="s">
        <v>540</v>
      </c>
      <c r="B523" s="303" t="s">
        <v>527</v>
      </c>
      <c r="C523" s="303"/>
      <c r="D523" s="303" t="s">
        <v>529</v>
      </c>
      <c r="E523" s="303">
        <v>1</v>
      </c>
      <c r="F523" s="304">
        <v>45421.481944444444</v>
      </c>
      <c r="G523" s="303">
        <v>1</v>
      </c>
      <c r="H523" s="303">
        <v>51.377400000000002</v>
      </c>
      <c r="I523" s="303">
        <v>7.9704100000000002</v>
      </c>
      <c r="J523" s="303">
        <v>-22.344080999999999</v>
      </c>
      <c r="K523" s="303">
        <v>-21.494769000000002</v>
      </c>
      <c r="L523" s="303">
        <v>889.06</v>
      </c>
      <c r="M523" s="303">
        <v>97.499662000000001</v>
      </c>
      <c r="N523" s="303">
        <v>11349.58411</v>
      </c>
      <c r="O523" s="303">
        <v>11349.58411</v>
      </c>
      <c r="P523" s="305">
        <v>1990.0477040000001</v>
      </c>
      <c r="Q523" s="299">
        <f t="shared" si="3"/>
        <v>1990.0477040000001</v>
      </c>
      <c r="R523" s="300" t="s">
        <v>230</v>
      </c>
      <c r="S523" s="300" t="s">
        <v>12</v>
      </c>
      <c r="T523" s="305" t="s">
        <v>530</v>
      </c>
      <c r="U523" s="305">
        <v>15</v>
      </c>
      <c r="V523" s="305">
        <v>5</v>
      </c>
      <c r="W523" s="303">
        <v>0.7</v>
      </c>
      <c r="X523" s="303">
        <v>0.7</v>
      </c>
      <c r="Y523" s="303">
        <v>0.7</v>
      </c>
      <c r="Z523" s="303">
        <v>1700</v>
      </c>
      <c r="AA523" s="303" t="s">
        <v>531</v>
      </c>
      <c r="AB523" s="303">
        <v>0.85</v>
      </c>
      <c r="AC523" s="303" t="s">
        <v>532</v>
      </c>
      <c r="AD523" s="303" t="s">
        <v>533</v>
      </c>
      <c r="AE523" s="303">
        <v>220</v>
      </c>
      <c r="AF523" s="324"/>
      <c r="AG523" s="325"/>
    </row>
    <row r="524" spans="1:33" ht="15" customHeight="1">
      <c r="A524" s="302" t="s">
        <v>541</v>
      </c>
      <c r="B524" s="303" t="s">
        <v>527</v>
      </c>
      <c r="C524" s="303"/>
      <c r="D524" s="303" t="s">
        <v>529</v>
      </c>
      <c r="E524" s="303">
        <v>1</v>
      </c>
      <c r="F524" s="304">
        <v>45421.484722222223</v>
      </c>
      <c r="G524" s="303">
        <v>1</v>
      </c>
      <c r="H524" s="303">
        <v>51.377400000000002</v>
      </c>
      <c r="I524" s="303">
        <v>7.9838500000000003</v>
      </c>
      <c r="J524" s="303">
        <v>-22.416374999999999</v>
      </c>
      <c r="K524" s="303">
        <v>-21.576899999999998</v>
      </c>
      <c r="L524" s="303">
        <v>889.66899999999998</v>
      </c>
      <c r="M524" s="303">
        <v>94.998339999999999</v>
      </c>
      <c r="N524" s="303">
        <v>11402.376469999999</v>
      </c>
      <c r="O524" s="303">
        <v>11402.376469999999</v>
      </c>
      <c r="P524" s="305">
        <v>1999.2392400000001</v>
      </c>
      <c r="Q524" s="299">
        <f t="shared" si="3"/>
        <v>1999.2392400000001</v>
      </c>
      <c r="R524" s="300" t="s">
        <v>230</v>
      </c>
      <c r="S524" s="300" t="s">
        <v>12</v>
      </c>
      <c r="T524" s="305" t="s">
        <v>530</v>
      </c>
      <c r="U524" s="305">
        <v>15</v>
      </c>
      <c r="V524" s="305">
        <v>5</v>
      </c>
      <c r="W524" s="303">
        <v>0.7</v>
      </c>
      <c r="X524" s="303">
        <v>0.7</v>
      </c>
      <c r="Y524" s="303">
        <v>0.7</v>
      </c>
      <c r="Z524" s="303">
        <v>1700</v>
      </c>
      <c r="AA524" s="303" t="s">
        <v>531</v>
      </c>
      <c r="AB524" s="303">
        <v>0.85</v>
      </c>
      <c r="AC524" s="303" t="s">
        <v>532</v>
      </c>
      <c r="AD524" s="303" t="s">
        <v>533</v>
      </c>
      <c r="AE524" s="303">
        <v>220</v>
      </c>
      <c r="AF524" s="324"/>
      <c r="AG524" s="325"/>
    </row>
    <row r="525" spans="1:33" ht="15" customHeight="1">
      <c r="A525" s="302" t="s">
        <v>657</v>
      </c>
      <c r="B525" s="303" t="s">
        <v>527</v>
      </c>
      <c r="C525" s="303"/>
      <c r="D525" s="303" t="s">
        <v>529</v>
      </c>
      <c r="E525" s="303">
        <v>1</v>
      </c>
      <c r="F525" s="304">
        <v>45421.487500000003</v>
      </c>
      <c r="G525" s="303">
        <v>1</v>
      </c>
      <c r="H525" s="303">
        <v>51.370800000000003</v>
      </c>
      <c r="I525" s="303">
        <v>7.9667700000000004</v>
      </c>
      <c r="J525" s="303">
        <v>-22.408994</v>
      </c>
      <c r="K525" s="303">
        <v>-21.582212999999999</v>
      </c>
      <c r="L525" s="303">
        <v>891.14300000000003</v>
      </c>
      <c r="M525" s="303">
        <v>92.999733000000006</v>
      </c>
      <c r="N525" s="303">
        <v>11408.83885</v>
      </c>
      <c r="O525" s="303">
        <v>11408.83885</v>
      </c>
      <c r="P525" s="305">
        <v>2000.3643870000001</v>
      </c>
      <c r="Q525" s="299">
        <f t="shared" si="3"/>
        <v>2000.3643870000001</v>
      </c>
      <c r="R525" s="300" t="s">
        <v>230</v>
      </c>
      <c r="S525" s="300" t="s">
        <v>12</v>
      </c>
      <c r="T525" s="305" t="s">
        <v>530</v>
      </c>
      <c r="U525" s="305">
        <v>15</v>
      </c>
      <c r="V525" s="305">
        <v>5</v>
      </c>
      <c r="W525" s="303">
        <v>0.7</v>
      </c>
      <c r="X525" s="303">
        <v>0.7</v>
      </c>
      <c r="Y525" s="303">
        <v>0.7</v>
      </c>
      <c r="Z525" s="303">
        <v>1700</v>
      </c>
      <c r="AA525" s="303" t="s">
        <v>531</v>
      </c>
      <c r="AB525" s="303">
        <v>0.85</v>
      </c>
      <c r="AC525" s="303" t="s">
        <v>532</v>
      </c>
      <c r="AD525" s="303" t="s">
        <v>533</v>
      </c>
      <c r="AE525" s="303">
        <v>220</v>
      </c>
      <c r="AF525" s="324"/>
      <c r="AG525" s="325"/>
    </row>
    <row r="526" spans="1:33" ht="15" customHeight="1">
      <c r="A526" s="302" t="s">
        <v>557</v>
      </c>
      <c r="B526" s="303" t="s">
        <v>527</v>
      </c>
      <c r="C526" s="303"/>
      <c r="D526" s="303" t="s">
        <v>529</v>
      </c>
      <c r="E526" s="303">
        <v>1</v>
      </c>
      <c r="F526" s="304">
        <v>45421.490972222222</v>
      </c>
      <c r="G526" s="303">
        <v>1</v>
      </c>
      <c r="H526" s="303">
        <v>51.377400000000002</v>
      </c>
      <c r="I526" s="303">
        <v>7.9554099999999996</v>
      </c>
      <c r="J526" s="303">
        <v>-22.447075000000002</v>
      </c>
      <c r="K526" s="303">
        <v>-21.610769000000001</v>
      </c>
      <c r="L526" s="303">
        <v>888.86099999999999</v>
      </c>
      <c r="M526" s="303">
        <v>95.498352999999994</v>
      </c>
      <c r="N526" s="303">
        <v>11449.08944</v>
      </c>
      <c r="O526" s="303">
        <v>11449.08944</v>
      </c>
      <c r="P526" s="305">
        <v>2007.3723110000001</v>
      </c>
      <c r="Q526" s="299">
        <f t="shared" si="3"/>
        <v>2007.3723110000001</v>
      </c>
      <c r="R526" s="300" t="s">
        <v>230</v>
      </c>
      <c r="S526" s="300" t="s">
        <v>12</v>
      </c>
      <c r="T526" s="305" t="s">
        <v>530</v>
      </c>
      <c r="U526" s="305">
        <v>15</v>
      </c>
      <c r="V526" s="305">
        <v>5</v>
      </c>
      <c r="W526" s="303">
        <v>0.7</v>
      </c>
      <c r="X526" s="303">
        <v>0.7</v>
      </c>
      <c r="Y526" s="303">
        <v>0.7</v>
      </c>
      <c r="Z526" s="303">
        <v>1700</v>
      </c>
      <c r="AA526" s="303" t="s">
        <v>531</v>
      </c>
      <c r="AB526" s="303">
        <v>0.85</v>
      </c>
      <c r="AC526" s="303" t="s">
        <v>532</v>
      </c>
      <c r="AD526" s="303" t="s">
        <v>533</v>
      </c>
      <c r="AE526" s="303">
        <v>220</v>
      </c>
      <c r="AF526" s="324"/>
      <c r="AG526" s="325"/>
    </row>
    <row r="527" spans="1:33" ht="15" customHeight="1">
      <c r="A527" s="302" t="s">
        <v>560</v>
      </c>
      <c r="B527" s="303" t="s">
        <v>527</v>
      </c>
      <c r="C527" s="303"/>
      <c r="D527" s="303" t="s">
        <v>529</v>
      </c>
      <c r="E527" s="303">
        <v>1</v>
      </c>
      <c r="F527" s="304">
        <v>45421.495138888888</v>
      </c>
      <c r="G527" s="303">
        <v>1</v>
      </c>
      <c r="H527" s="303">
        <v>51.377400000000002</v>
      </c>
      <c r="I527" s="303">
        <v>7.8986499999999999</v>
      </c>
      <c r="J527" s="303">
        <v>-22.482225</v>
      </c>
      <c r="K527" s="303">
        <v>-21.638605999999999</v>
      </c>
      <c r="L527" s="303">
        <v>884.46100000000001</v>
      </c>
      <c r="M527" s="303">
        <v>109.000339</v>
      </c>
      <c r="N527" s="303">
        <v>11400.239589999999</v>
      </c>
      <c r="O527" s="303">
        <v>11400.239589999999</v>
      </c>
      <c r="P527" s="305">
        <v>1998.8671939999999</v>
      </c>
      <c r="Q527" s="299">
        <f t="shared" si="3"/>
        <v>1998.8671939999999</v>
      </c>
      <c r="R527" s="300" t="s">
        <v>230</v>
      </c>
      <c r="S527" s="300" t="s">
        <v>12</v>
      </c>
      <c r="T527" s="305" t="s">
        <v>530</v>
      </c>
      <c r="U527" s="305">
        <v>15</v>
      </c>
      <c r="V527" s="305">
        <v>5</v>
      </c>
      <c r="W527" s="303">
        <v>0.7</v>
      </c>
      <c r="X527" s="303">
        <v>0.7</v>
      </c>
      <c r="Y527" s="303">
        <v>0.7</v>
      </c>
      <c r="Z527" s="303">
        <v>1700</v>
      </c>
      <c r="AA527" s="303" t="s">
        <v>531</v>
      </c>
      <c r="AB527" s="303">
        <v>0.85</v>
      </c>
      <c r="AC527" s="303" t="s">
        <v>532</v>
      </c>
      <c r="AD527" s="303" t="s">
        <v>533</v>
      </c>
      <c r="AE527" s="303">
        <v>220</v>
      </c>
      <c r="AF527" s="324"/>
      <c r="AG527" s="325"/>
    </row>
    <row r="528" spans="1:33" ht="15" customHeight="1">
      <c r="A528" s="302" t="s">
        <v>564</v>
      </c>
      <c r="B528" s="303" t="s">
        <v>527</v>
      </c>
      <c r="C528" s="303"/>
      <c r="D528" s="303" t="s">
        <v>529</v>
      </c>
      <c r="E528" s="303">
        <v>1</v>
      </c>
      <c r="F528" s="304">
        <v>45421.498611111114</v>
      </c>
      <c r="G528" s="303">
        <v>1</v>
      </c>
      <c r="H528" s="303">
        <v>51.370800000000003</v>
      </c>
      <c r="I528" s="303">
        <v>7.9148399999999999</v>
      </c>
      <c r="J528" s="303">
        <v>-22.352436999999998</v>
      </c>
      <c r="K528" s="303">
        <v>-21.510249999999999</v>
      </c>
      <c r="L528" s="303">
        <v>893.48599999999999</v>
      </c>
      <c r="M528" s="303">
        <v>98.500679000000005</v>
      </c>
      <c r="N528" s="303">
        <v>11423.220579999999</v>
      </c>
      <c r="O528" s="303">
        <v>11423.220579999999</v>
      </c>
      <c r="P528" s="305">
        <v>2002.868352</v>
      </c>
      <c r="Q528" s="299">
        <f t="shared" si="3"/>
        <v>2002.868352</v>
      </c>
      <c r="R528" s="300" t="s">
        <v>230</v>
      </c>
      <c r="S528" s="300" t="s">
        <v>12</v>
      </c>
      <c r="T528" s="305" t="s">
        <v>530</v>
      </c>
      <c r="U528" s="305">
        <v>15</v>
      </c>
      <c r="V528" s="305">
        <v>5</v>
      </c>
      <c r="W528" s="303">
        <v>0.7</v>
      </c>
      <c r="X528" s="303">
        <v>0.7</v>
      </c>
      <c r="Y528" s="303">
        <v>0.7</v>
      </c>
      <c r="Z528" s="303">
        <v>1700</v>
      </c>
      <c r="AA528" s="303" t="s">
        <v>531</v>
      </c>
      <c r="AB528" s="303">
        <v>0.85</v>
      </c>
      <c r="AC528" s="303" t="s">
        <v>532</v>
      </c>
      <c r="AD528" s="303" t="s">
        <v>533</v>
      </c>
      <c r="AE528" s="303">
        <v>220</v>
      </c>
      <c r="AF528" s="324"/>
      <c r="AG528" s="325"/>
    </row>
    <row r="529" spans="1:33" ht="15" customHeight="1">
      <c r="A529" s="302" t="s">
        <v>569</v>
      </c>
      <c r="B529" s="303" t="s">
        <v>527</v>
      </c>
      <c r="C529" s="303"/>
      <c r="D529" s="303" t="s">
        <v>529</v>
      </c>
      <c r="E529" s="303">
        <v>1</v>
      </c>
      <c r="F529" s="304">
        <v>45421.502083333333</v>
      </c>
      <c r="G529" s="303">
        <v>1</v>
      </c>
      <c r="H529" s="303">
        <v>51.377400000000002</v>
      </c>
      <c r="I529" s="303">
        <v>7.8373999999999997</v>
      </c>
      <c r="J529" s="303">
        <v>-22.409875</v>
      </c>
      <c r="K529" s="303">
        <v>-21.566244000000001</v>
      </c>
      <c r="L529" s="303">
        <v>898.30799999999999</v>
      </c>
      <c r="M529" s="303">
        <v>101.50006500000001</v>
      </c>
      <c r="N529" s="303">
        <v>11412.360199999999</v>
      </c>
      <c r="O529" s="303">
        <v>11412.360199999999</v>
      </c>
      <c r="P529" s="305">
        <v>2000.97748</v>
      </c>
      <c r="Q529" s="299">
        <f t="shared" si="3"/>
        <v>2000.97748</v>
      </c>
      <c r="R529" s="300" t="s">
        <v>230</v>
      </c>
      <c r="S529" s="300" t="s">
        <v>12</v>
      </c>
      <c r="T529" s="305" t="s">
        <v>530</v>
      </c>
      <c r="U529" s="305">
        <v>15</v>
      </c>
      <c r="V529" s="305">
        <v>5</v>
      </c>
      <c r="W529" s="303">
        <v>0.7</v>
      </c>
      <c r="X529" s="303">
        <v>0.7</v>
      </c>
      <c r="Y529" s="303">
        <v>0.7</v>
      </c>
      <c r="Z529" s="303">
        <v>1700</v>
      </c>
      <c r="AA529" s="303" t="s">
        <v>531</v>
      </c>
      <c r="AB529" s="303">
        <v>0.85</v>
      </c>
      <c r="AC529" s="303" t="s">
        <v>532</v>
      </c>
      <c r="AD529" s="303" t="s">
        <v>533</v>
      </c>
      <c r="AE529" s="303">
        <v>220</v>
      </c>
      <c r="AF529" s="324"/>
      <c r="AG529" s="325"/>
    </row>
    <row r="530" spans="1:33" ht="15" customHeight="1">
      <c r="A530" s="302" t="s">
        <v>574</v>
      </c>
      <c r="B530" s="303" t="s">
        <v>527</v>
      </c>
      <c r="C530" s="303"/>
      <c r="D530" s="303" t="s">
        <v>529</v>
      </c>
      <c r="E530" s="303">
        <v>1</v>
      </c>
      <c r="F530" s="304">
        <v>45421.504861111112</v>
      </c>
      <c r="G530" s="303">
        <v>1</v>
      </c>
      <c r="H530" s="303">
        <v>51.370800000000003</v>
      </c>
      <c r="I530" s="303">
        <v>7.6939099999999998</v>
      </c>
      <c r="J530" s="303">
        <v>-22.296468999999998</v>
      </c>
      <c r="K530" s="303">
        <v>-21.495131000000001</v>
      </c>
      <c r="L530" s="303">
        <v>897.46900000000005</v>
      </c>
      <c r="M530" s="303">
        <v>90.999835000000004</v>
      </c>
      <c r="N530" s="303">
        <v>11415.984560000001</v>
      </c>
      <c r="O530" s="303">
        <v>11415.984560000001</v>
      </c>
      <c r="P530" s="305">
        <v>2001.6085089999999</v>
      </c>
      <c r="Q530" s="299">
        <f t="shared" si="3"/>
        <v>2001.6085089999999</v>
      </c>
      <c r="R530" s="300" t="s">
        <v>230</v>
      </c>
      <c r="S530" s="300" t="s">
        <v>12</v>
      </c>
      <c r="T530" s="305" t="s">
        <v>530</v>
      </c>
      <c r="U530" s="305">
        <v>15</v>
      </c>
      <c r="V530" s="305">
        <v>5</v>
      </c>
      <c r="W530" s="303">
        <v>0.7</v>
      </c>
      <c r="X530" s="303">
        <v>0.7</v>
      </c>
      <c r="Y530" s="303">
        <v>0.7</v>
      </c>
      <c r="Z530" s="303">
        <v>1700</v>
      </c>
      <c r="AA530" s="303" t="s">
        <v>531</v>
      </c>
      <c r="AB530" s="303">
        <v>0.85</v>
      </c>
      <c r="AC530" s="303" t="s">
        <v>532</v>
      </c>
      <c r="AD530" s="303" t="s">
        <v>533</v>
      </c>
      <c r="AE530" s="303">
        <v>220</v>
      </c>
      <c r="AF530" s="324"/>
      <c r="AG530" s="325"/>
    </row>
    <row r="531" spans="1:33" ht="15" customHeight="1">
      <c r="A531" s="302" t="s">
        <v>757</v>
      </c>
      <c r="B531" s="303" t="s">
        <v>543</v>
      </c>
      <c r="C531" s="303" t="s">
        <v>786</v>
      </c>
      <c r="D531" s="303" t="s">
        <v>529</v>
      </c>
      <c r="E531" s="303">
        <v>1.2</v>
      </c>
      <c r="F531" s="304">
        <v>45421.513194444444</v>
      </c>
      <c r="G531" s="303">
        <v>1</v>
      </c>
      <c r="H531" s="303">
        <v>51.374099999999999</v>
      </c>
      <c r="I531" s="303">
        <v>7.6492599999999999</v>
      </c>
      <c r="J531" s="303">
        <v>-22.349988</v>
      </c>
      <c r="K531" s="303">
        <v>-21.507055999999999</v>
      </c>
      <c r="L531" s="303">
        <v>984.505</v>
      </c>
      <c r="M531" s="303">
        <v>102.499877</v>
      </c>
      <c r="N531" s="303">
        <v>13994.931409999999</v>
      </c>
      <c r="O531" s="303">
        <v>14094.50685</v>
      </c>
      <c r="P531" s="305">
        <v>2078.6862839999999</v>
      </c>
      <c r="Q531" s="328">
        <v>2069</v>
      </c>
      <c r="R531" s="300" t="s">
        <v>787</v>
      </c>
      <c r="S531" s="300" t="s">
        <v>12</v>
      </c>
      <c r="T531" s="305" t="s">
        <v>545</v>
      </c>
      <c r="U531" s="305">
        <v>15</v>
      </c>
      <c r="V531" s="305">
        <v>5</v>
      </c>
      <c r="W531" s="303">
        <v>0.7</v>
      </c>
      <c r="X531" s="303">
        <v>0.7</v>
      </c>
      <c r="Y531" s="303">
        <v>0.7</v>
      </c>
      <c r="Z531" s="303">
        <v>1700</v>
      </c>
      <c r="AA531" s="303" t="s">
        <v>531</v>
      </c>
      <c r="AB531" s="303">
        <v>0.85</v>
      </c>
      <c r="AC531" s="303" t="s">
        <v>532</v>
      </c>
      <c r="AD531" s="303" t="s">
        <v>533</v>
      </c>
      <c r="AE531" s="303">
        <v>220</v>
      </c>
      <c r="AF531" s="324"/>
      <c r="AG531" s="325"/>
    </row>
    <row r="532" spans="1:33" ht="15" customHeight="1">
      <c r="A532" s="302" t="s">
        <v>759</v>
      </c>
      <c r="B532" s="303" t="s">
        <v>543</v>
      </c>
      <c r="C532" s="303" t="s">
        <v>786</v>
      </c>
      <c r="D532" s="303" t="s">
        <v>529</v>
      </c>
      <c r="E532" s="303">
        <v>1.2</v>
      </c>
      <c r="F532" s="304">
        <v>45421.51666666667</v>
      </c>
      <c r="G532" s="303">
        <v>1</v>
      </c>
      <c r="H532" s="303">
        <v>51.370800000000003</v>
      </c>
      <c r="I532" s="303">
        <v>7.7726100000000002</v>
      </c>
      <c r="J532" s="303">
        <v>-22.289249999999999</v>
      </c>
      <c r="K532" s="303">
        <v>-21.443580999999998</v>
      </c>
      <c r="L532" s="303">
        <v>968.81700000000001</v>
      </c>
      <c r="M532" s="303">
        <v>100.49979</v>
      </c>
      <c r="N532" s="303">
        <v>14094.08833</v>
      </c>
      <c r="O532" s="303">
        <v>14094.50685</v>
      </c>
      <c r="P532" s="305">
        <v>2078.6862839999999</v>
      </c>
      <c r="Q532" s="328">
        <v>2069</v>
      </c>
      <c r="R532" s="300" t="s">
        <v>787</v>
      </c>
      <c r="S532" s="300" t="s">
        <v>12</v>
      </c>
      <c r="T532" s="305" t="s">
        <v>530</v>
      </c>
      <c r="U532" s="305">
        <v>15</v>
      </c>
      <c r="V532" s="305">
        <v>5</v>
      </c>
      <c r="W532" s="303">
        <v>0.7</v>
      </c>
      <c r="X532" s="303">
        <v>0.7</v>
      </c>
      <c r="Y532" s="303">
        <v>0.7</v>
      </c>
      <c r="Z532" s="303">
        <v>1700</v>
      </c>
      <c r="AA532" s="303" t="s">
        <v>531</v>
      </c>
      <c r="AB532" s="303">
        <v>0.85</v>
      </c>
      <c r="AC532" s="303" t="s">
        <v>532</v>
      </c>
      <c r="AD532" s="303" t="s">
        <v>533</v>
      </c>
      <c r="AE532" s="303">
        <v>220</v>
      </c>
      <c r="AF532" s="324"/>
      <c r="AG532" s="326"/>
    </row>
    <row r="533" spans="1:33" ht="15" customHeight="1">
      <c r="A533" s="302" t="s">
        <v>760</v>
      </c>
      <c r="B533" s="303" t="s">
        <v>543</v>
      </c>
      <c r="C533" s="303" t="s">
        <v>786</v>
      </c>
      <c r="D533" s="303" t="s">
        <v>529</v>
      </c>
      <c r="E533" s="303">
        <v>1.2</v>
      </c>
      <c r="F533" s="304">
        <v>45421.520138888889</v>
      </c>
      <c r="G533" s="303">
        <v>1</v>
      </c>
      <c r="H533" s="303">
        <v>51.3675</v>
      </c>
      <c r="I533" s="303">
        <v>7.7755599999999996</v>
      </c>
      <c r="J533" s="303">
        <v>-22.315930999999999</v>
      </c>
      <c r="K533" s="303">
        <v>-21.466349999999998</v>
      </c>
      <c r="L533" s="303">
        <v>976.17100000000005</v>
      </c>
      <c r="M533" s="303">
        <v>97.999730999999997</v>
      </c>
      <c r="N533" s="303">
        <v>14102.35009</v>
      </c>
      <c r="O533" s="303">
        <v>14094.50685</v>
      </c>
      <c r="P533" s="305">
        <v>2078.6862839999999</v>
      </c>
      <c r="Q533" s="328">
        <v>2069</v>
      </c>
      <c r="R533" s="300" t="s">
        <v>787</v>
      </c>
      <c r="S533" s="300" t="s">
        <v>12</v>
      </c>
      <c r="T533" s="305" t="s">
        <v>530</v>
      </c>
      <c r="U533" s="305">
        <v>15</v>
      </c>
      <c r="V533" s="305">
        <v>5</v>
      </c>
      <c r="W533" s="303">
        <v>0.7</v>
      </c>
      <c r="X533" s="303">
        <v>0.7</v>
      </c>
      <c r="Y533" s="303">
        <v>0.7</v>
      </c>
      <c r="Z533" s="303">
        <v>1700</v>
      </c>
      <c r="AA533" s="303" t="s">
        <v>531</v>
      </c>
      <c r="AB533" s="303">
        <v>0.85</v>
      </c>
      <c r="AC533" s="303" t="s">
        <v>532</v>
      </c>
      <c r="AD533" s="303" t="s">
        <v>533</v>
      </c>
      <c r="AE533" s="303">
        <v>220</v>
      </c>
      <c r="AF533" s="324"/>
      <c r="AG533" s="326"/>
    </row>
    <row r="534" spans="1:33" ht="15" customHeight="1">
      <c r="A534" s="302" t="s">
        <v>761</v>
      </c>
      <c r="B534" s="303" t="s">
        <v>543</v>
      </c>
      <c r="C534" s="303" t="s">
        <v>786</v>
      </c>
      <c r="D534" s="303" t="s">
        <v>529</v>
      </c>
      <c r="E534" s="303">
        <v>1.2</v>
      </c>
      <c r="F534" s="304">
        <v>45421.522916666669</v>
      </c>
      <c r="G534" s="303">
        <v>1</v>
      </c>
      <c r="H534" s="303">
        <v>51.374099999999999</v>
      </c>
      <c r="I534" s="303">
        <v>7.8369900000000001</v>
      </c>
      <c r="J534" s="303">
        <v>-22.287894000000001</v>
      </c>
      <c r="K534" s="303">
        <v>-21.442724999999999</v>
      </c>
      <c r="L534" s="303">
        <v>974.26900000000001</v>
      </c>
      <c r="M534" s="303">
        <v>99.500872000000001</v>
      </c>
      <c r="N534" s="303">
        <v>14087.082119999999</v>
      </c>
      <c r="O534" s="303">
        <v>14094.50685</v>
      </c>
      <c r="P534" s="305">
        <v>2078.6862839999999</v>
      </c>
      <c r="Q534" s="328">
        <v>2069</v>
      </c>
      <c r="R534" s="300" t="s">
        <v>787</v>
      </c>
      <c r="S534" s="300" t="s">
        <v>12</v>
      </c>
      <c r="T534" s="305" t="s">
        <v>530</v>
      </c>
      <c r="U534" s="305">
        <v>15</v>
      </c>
      <c r="V534" s="305">
        <v>5</v>
      </c>
      <c r="W534" s="303">
        <v>0.7</v>
      </c>
      <c r="X534" s="303">
        <v>0.7</v>
      </c>
      <c r="Y534" s="303">
        <v>0.7</v>
      </c>
      <c r="Z534" s="303">
        <v>1700</v>
      </c>
      <c r="AA534" s="303" t="s">
        <v>531</v>
      </c>
      <c r="AB534" s="303">
        <v>0.85</v>
      </c>
      <c r="AC534" s="303" t="s">
        <v>532</v>
      </c>
      <c r="AD534" s="303" t="s">
        <v>533</v>
      </c>
      <c r="AE534" s="303">
        <v>220</v>
      </c>
      <c r="AF534" s="324"/>
      <c r="AG534" s="326"/>
    </row>
    <row r="535" spans="1:33" ht="15" customHeight="1">
      <c r="A535" s="308" t="s">
        <v>762</v>
      </c>
      <c r="B535" s="309" t="s">
        <v>550</v>
      </c>
      <c r="C535" s="309" t="s">
        <v>786</v>
      </c>
      <c r="D535" s="309" t="s">
        <v>529</v>
      </c>
      <c r="E535" s="309">
        <v>1.5</v>
      </c>
      <c r="F535" s="310">
        <v>45421.526388888888</v>
      </c>
      <c r="G535" s="309">
        <v>1</v>
      </c>
      <c r="H535" s="309">
        <v>51.374099999999999</v>
      </c>
      <c r="I535" s="309">
        <v>7.8365</v>
      </c>
      <c r="J535" s="309">
        <v>-22.257843999999999</v>
      </c>
      <c r="K535" s="309">
        <v>-21.412724999999998</v>
      </c>
      <c r="L535" s="309">
        <v>1000.91</v>
      </c>
      <c r="M535" s="309">
        <v>115.000061</v>
      </c>
      <c r="N535" s="309">
        <v>17645.86969</v>
      </c>
      <c r="O535" s="309">
        <v>17651.446830000001</v>
      </c>
      <c r="P535" s="311">
        <v>2078.6862839999999</v>
      </c>
      <c r="Q535" s="328">
        <v>2069</v>
      </c>
      <c r="R535" s="300" t="s">
        <v>787</v>
      </c>
      <c r="S535" s="300" t="s">
        <v>12</v>
      </c>
      <c r="T535" s="305" t="s">
        <v>530</v>
      </c>
      <c r="U535" s="305">
        <v>15</v>
      </c>
      <c r="V535" s="305">
        <v>5</v>
      </c>
      <c r="W535" s="303">
        <v>0.7</v>
      </c>
      <c r="X535" s="303">
        <v>0.7</v>
      </c>
      <c r="Y535" s="303">
        <v>0.7</v>
      </c>
      <c r="Z535" s="303">
        <v>1700</v>
      </c>
      <c r="AA535" s="303" t="s">
        <v>531</v>
      </c>
      <c r="AB535" s="303">
        <v>0.85</v>
      </c>
      <c r="AC535" s="303" t="s">
        <v>532</v>
      </c>
      <c r="AD535" s="303" t="s">
        <v>533</v>
      </c>
      <c r="AE535" s="303">
        <v>220</v>
      </c>
      <c r="AF535" s="324"/>
      <c r="AG535" s="326"/>
    </row>
    <row r="536" spans="1:33" ht="15" customHeight="1">
      <c r="A536" s="308" t="s">
        <v>763</v>
      </c>
      <c r="B536" s="309" t="s">
        <v>550</v>
      </c>
      <c r="C536" s="309" t="s">
        <v>786</v>
      </c>
      <c r="D536" s="309" t="s">
        <v>529</v>
      </c>
      <c r="E536" s="309">
        <v>1.5</v>
      </c>
      <c r="F536" s="310">
        <v>45421.529861111114</v>
      </c>
      <c r="G536" s="309">
        <v>1</v>
      </c>
      <c r="H536" s="309">
        <v>51.370800000000003</v>
      </c>
      <c r="I536" s="309">
        <v>7.76884</v>
      </c>
      <c r="J536" s="309">
        <v>-22.259374999999999</v>
      </c>
      <c r="K536" s="309">
        <v>-21.411131000000001</v>
      </c>
      <c r="L536" s="309">
        <v>999.38499999999999</v>
      </c>
      <c r="M536" s="309">
        <v>113.499447</v>
      </c>
      <c r="N536" s="309">
        <v>17650.763749999998</v>
      </c>
      <c r="O536" s="309">
        <v>17651.446830000001</v>
      </c>
      <c r="P536" s="311">
        <v>2078.6862839999999</v>
      </c>
      <c r="Q536" s="328">
        <v>2069</v>
      </c>
      <c r="R536" s="300" t="s">
        <v>787</v>
      </c>
      <c r="S536" s="300" t="s">
        <v>12</v>
      </c>
      <c r="T536" s="305" t="s">
        <v>530</v>
      </c>
      <c r="U536" s="305">
        <v>15</v>
      </c>
      <c r="V536" s="305">
        <v>5</v>
      </c>
      <c r="W536" s="303">
        <v>0.7</v>
      </c>
      <c r="X536" s="303">
        <v>0.7</v>
      </c>
      <c r="Y536" s="303">
        <v>0.7</v>
      </c>
      <c r="Z536" s="303">
        <v>1700</v>
      </c>
      <c r="AA536" s="303" t="s">
        <v>531</v>
      </c>
      <c r="AB536" s="303">
        <v>0.85</v>
      </c>
      <c r="AC536" s="303" t="s">
        <v>532</v>
      </c>
      <c r="AD536" s="303" t="s">
        <v>533</v>
      </c>
      <c r="AE536" s="303">
        <v>220</v>
      </c>
      <c r="AF536" s="324"/>
      <c r="AG536" s="325"/>
    </row>
    <row r="537" spans="1:33" ht="15" customHeight="1">
      <c r="A537" s="308" t="s">
        <v>764</v>
      </c>
      <c r="B537" s="309" t="s">
        <v>550</v>
      </c>
      <c r="C537" s="309" t="s">
        <v>786</v>
      </c>
      <c r="D537" s="309" t="s">
        <v>529</v>
      </c>
      <c r="E537" s="309">
        <v>1.5</v>
      </c>
      <c r="F537" s="310">
        <v>45421.533333333333</v>
      </c>
      <c r="G537" s="309">
        <v>1</v>
      </c>
      <c r="H537" s="309">
        <v>51.374099999999999</v>
      </c>
      <c r="I537" s="309">
        <v>7.8228999999999997</v>
      </c>
      <c r="J537" s="309">
        <v>-22.339312</v>
      </c>
      <c r="K537" s="309">
        <v>-21.491081000000001</v>
      </c>
      <c r="L537" s="309">
        <v>1020.91</v>
      </c>
      <c r="M537" s="309">
        <v>121.99995800000001</v>
      </c>
      <c r="N537" s="309">
        <v>17657.707040000001</v>
      </c>
      <c r="O537" s="309">
        <v>17651.446830000001</v>
      </c>
      <c r="P537" s="311">
        <v>2078.6862839999999</v>
      </c>
      <c r="Q537" s="328">
        <v>2069</v>
      </c>
      <c r="R537" s="300" t="s">
        <v>787</v>
      </c>
      <c r="S537" s="300" t="s">
        <v>12</v>
      </c>
      <c r="T537" s="305" t="s">
        <v>530</v>
      </c>
      <c r="U537" s="305">
        <v>15</v>
      </c>
      <c r="V537" s="305">
        <v>5</v>
      </c>
      <c r="W537" s="303">
        <v>0.7</v>
      </c>
      <c r="X537" s="303">
        <v>0.7</v>
      </c>
      <c r="Y537" s="303">
        <v>0.7</v>
      </c>
      <c r="Z537" s="303">
        <v>1700</v>
      </c>
      <c r="AA537" s="303" t="s">
        <v>531</v>
      </c>
      <c r="AB537" s="303">
        <v>0.85</v>
      </c>
      <c r="AC537" s="303" t="s">
        <v>532</v>
      </c>
      <c r="AD537" s="303" t="s">
        <v>533</v>
      </c>
      <c r="AE537" s="303">
        <v>220</v>
      </c>
      <c r="AF537" s="324"/>
      <c r="AG537" s="325"/>
    </row>
    <row r="538" spans="1:33" ht="15" customHeight="1">
      <c r="A538" s="314" t="s">
        <v>765</v>
      </c>
      <c r="B538" s="315" t="s">
        <v>554</v>
      </c>
      <c r="C538" s="315" t="s">
        <v>786</v>
      </c>
      <c r="D538" s="315" t="s">
        <v>529</v>
      </c>
      <c r="E538" s="315">
        <v>1.8</v>
      </c>
      <c r="F538" s="327">
        <v>45421.537499999999</v>
      </c>
      <c r="G538" s="315">
        <v>1</v>
      </c>
      <c r="H538" s="315">
        <v>51.374099999999999</v>
      </c>
      <c r="I538" s="315">
        <v>7.8435100000000002</v>
      </c>
      <c r="J538" s="315">
        <v>-22.293544000000001</v>
      </c>
      <c r="K538" s="315">
        <v>-21.452337</v>
      </c>
      <c r="L538" s="315">
        <v>1018.55</v>
      </c>
      <c r="M538" s="315">
        <v>138.001454</v>
      </c>
      <c r="N538" s="315">
        <v>21180.66951</v>
      </c>
      <c r="O538" s="315">
        <v>21177.236700000001</v>
      </c>
      <c r="P538" s="317">
        <v>2078.6862839999999</v>
      </c>
      <c r="Q538" s="328">
        <v>2069</v>
      </c>
      <c r="R538" s="300" t="s">
        <v>787</v>
      </c>
      <c r="S538" s="300" t="s">
        <v>12</v>
      </c>
      <c r="T538" s="305" t="s">
        <v>530</v>
      </c>
      <c r="U538" s="305">
        <v>15</v>
      </c>
      <c r="V538" s="305">
        <v>5</v>
      </c>
      <c r="W538" s="303">
        <v>0.7</v>
      </c>
      <c r="X538" s="303">
        <v>0.7</v>
      </c>
      <c r="Y538" s="303">
        <v>0.7</v>
      </c>
      <c r="Z538" s="303">
        <v>1700</v>
      </c>
      <c r="AA538" s="303" t="s">
        <v>531</v>
      </c>
      <c r="AB538" s="303">
        <v>0.85</v>
      </c>
      <c r="AC538" s="303" t="s">
        <v>532</v>
      </c>
      <c r="AD538" s="303" t="s">
        <v>533</v>
      </c>
      <c r="AE538" s="303">
        <v>220</v>
      </c>
      <c r="AF538" s="324"/>
      <c r="AG538" s="325"/>
    </row>
    <row r="539" spans="1:33" ht="15" customHeight="1">
      <c r="A539" s="314" t="s">
        <v>766</v>
      </c>
      <c r="B539" s="315" t="s">
        <v>554</v>
      </c>
      <c r="C539" s="315" t="s">
        <v>786</v>
      </c>
      <c r="D539" s="315" t="s">
        <v>529</v>
      </c>
      <c r="E539" s="315">
        <v>1.8</v>
      </c>
      <c r="F539" s="327">
        <v>45421.540972222225</v>
      </c>
      <c r="G539" s="315">
        <v>1</v>
      </c>
      <c r="H539" s="315">
        <v>51.374099999999999</v>
      </c>
      <c r="I539" s="315">
        <v>7.78165</v>
      </c>
      <c r="J539" s="315">
        <v>-22.2895</v>
      </c>
      <c r="K539" s="315">
        <v>-21.453962000000001</v>
      </c>
      <c r="L539" s="315">
        <v>1000.22</v>
      </c>
      <c r="M539" s="315">
        <v>131.00142500000001</v>
      </c>
      <c r="N539" s="315">
        <v>21176.814480000001</v>
      </c>
      <c r="O539" s="315">
        <v>21177.236700000001</v>
      </c>
      <c r="P539" s="317">
        <v>2078.6862839999999</v>
      </c>
      <c r="Q539" s="328">
        <v>2069</v>
      </c>
      <c r="R539" s="300" t="s">
        <v>787</v>
      </c>
      <c r="S539" s="300" t="s">
        <v>12</v>
      </c>
      <c r="T539" s="305" t="s">
        <v>530</v>
      </c>
      <c r="U539" s="305">
        <v>15</v>
      </c>
      <c r="V539" s="305">
        <v>5</v>
      </c>
      <c r="W539" s="303">
        <v>0.7</v>
      </c>
      <c r="X539" s="303">
        <v>0.7</v>
      </c>
      <c r="Y539" s="303">
        <v>0.7</v>
      </c>
      <c r="Z539" s="303">
        <v>1700</v>
      </c>
      <c r="AA539" s="303" t="s">
        <v>531</v>
      </c>
      <c r="AB539" s="303">
        <v>0.85</v>
      </c>
      <c r="AC539" s="303" t="s">
        <v>532</v>
      </c>
      <c r="AD539" s="303" t="s">
        <v>533</v>
      </c>
      <c r="AE539" s="303">
        <v>220</v>
      </c>
      <c r="AF539" s="324"/>
      <c r="AG539" s="325"/>
    </row>
    <row r="540" spans="1:33" ht="15" customHeight="1">
      <c r="A540" s="314" t="s">
        <v>767</v>
      </c>
      <c r="B540" s="315" t="s">
        <v>554</v>
      </c>
      <c r="C540" s="315" t="s">
        <v>786</v>
      </c>
      <c r="D540" s="315" t="s">
        <v>529</v>
      </c>
      <c r="E540" s="315">
        <v>1.8</v>
      </c>
      <c r="F540" s="327">
        <v>45421.545138888891</v>
      </c>
      <c r="G540" s="315">
        <v>1</v>
      </c>
      <c r="H540" s="315">
        <v>51.377400000000002</v>
      </c>
      <c r="I540" s="315">
        <v>7.7149400000000004</v>
      </c>
      <c r="J540" s="315">
        <v>-22.286769</v>
      </c>
      <c r="K540" s="315">
        <v>-21.442368999999999</v>
      </c>
      <c r="L540" s="315">
        <v>1016.81</v>
      </c>
      <c r="M540" s="315">
        <v>132.99996200000001</v>
      </c>
      <c r="N540" s="315">
        <v>21174.2261</v>
      </c>
      <c r="O540" s="315">
        <v>21177.236700000001</v>
      </c>
      <c r="P540" s="317">
        <v>2078.6862839999999</v>
      </c>
      <c r="Q540" s="328">
        <v>2069</v>
      </c>
      <c r="R540" s="300" t="s">
        <v>787</v>
      </c>
      <c r="S540" s="300" t="s">
        <v>12</v>
      </c>
      <c r="T540" s="305" t="s">
        <v>530</v>
      </c>
      <c r="U540" s="305">
        <v>15</v>
      </c>
      <c r="V540" s="305">
        <v>5</v>
      </c>
      <c r="W540" s="303">
        <v>0.7</v>
      </c>
      <c r="X540" s="303">
        <v>0.7</v>
      </c>
      <c r="Y540" s="303">
        <v>0.7</v>
      </c>
      <c r="Z540" s="303">
        <v>1700</v>
      </c>
      <c r="AA540" s="303" t="s">
        <v>531</v>
      </c>
      <c r="AB540" s="303">
        <v>0.85</v>
      </c>
      <c r="AC540" s="303" t="s">
        <v>532</v>
      </c>
      <c r="AD540" s="303" t="s">
        <v>533</v>
      </c>
      <c r="AE540" s="303">
        <v>220</v>
      </c>
      <c r="AF540" s="324"/>
      <c r="AG540" s="325"/>
    </row>
    <row r="541" spans="1:33" ht="15" customHeight="1">
      <c r="A541" s="302" t="s">
        <v>593</v>
      </c>
      <c r="B541" s="303">
        <v>2</v>
      </c>
      <c r="C541" s="303">
        <v>534</v>
      </c>
      <c r="D541" s="303" t="s">
        <v>561</v>
      </c>
      <c r="E541" s="303">
        <v>1.5</v>
      </c>
      <c r="F541" s="304">
        <v>45421.549305555556</v>
      </c>
      <c r="G541" s="303">
        <v>1</v>
      </c>
      <c r="H541" s="303">
        <v>51.374099999999999</v>
      </c>
      <c r="I541" s="303">
        <v>7.6169799999999999</v>
      </c>
      <c r="J541" s="303">
        <v>-22.274113</v>
      </c>
      <c r="K541" s="303">
        <v>-21.443999999999999</v>
      </c>
      <c r="L541" s="303">
        <v>996.19100000000003</v>
      </c>
      <c r="M541" s="303">
        <v>112.00053699999999</v>
      </c>
      <c r="N541" s="303">
        <v>17438.0347</v>
      </c>
      <c r="O541" s="303">
        <v>17443.857520000001</v>
      </c>
      <c r="P541" s="305">
        <v>2054.423123</v>
      </c>
      <c r="Q541" s="299">
        <f t="shared" ref="Q541:Q608" si="4">(Q$540/P$540)*P541</f>
        <v>2044.8499007303787</v>
      </c>
      <c r="R541" s="300" t="s">
        <v>787</v>
      </c>
      <c r="S541" s="300" t="s">
        <v>12</v>
      </c>
      <c r="T541" s="305" t="s">
        <v>530</v>
      </c>
      <c r="U541" s="305">
        <v>15</v>
      </c>
      <c r="V541" s="305">
        <v>5</v>
      </c>
      <c r="W541" s="303">
        <v>0.7</v>
      </c>
      <c r="X541" s="303">
        <v>0.7</v>
      </c>
      <c r="Y541" s="303">
        <v>0.7</v>
      </c>
      <c r="Z541" s="303">
        <v>1700</v>
      </c>
      <c r="AA541" s="303" t="s">
        <v>531</v>
      </c>
      <c r="AB541" s="303">
        <v>0.85</v>
      </c>
      <c r="AC541" s="303" t="s">
        <v>532</v>
      </c>
      <c r="AD541" s="303" t="s">
        <v>533</v>
      </c>
      <c r="AE541" s="303">
        <v>220</v>
      </c>
      <c r="AF541" s="324"/>
      <c r="AG541" s="325"/>
    </row>
    <row r="542" spans="1:33" ht="15" customHeight="1">
      <c r="A542" s="302" t="s">
        <v>595</v>
      </c>
      <c r="B542" s="303">
        <v>2</v>
      </c>
      <c r="C542" s="303">
        <v>534</v>
      </c>
      <c r="D542" s="303" t="s">
        <v>561</v>
      </c>
      <c r="E542" s="303">
        <v>1.5</v>
      </c>
      <c r="F542" s="304">
        <v>45421.552777777775</v>
      </c>
      <c r="G542" s="303">
        <v>1</v>
      </c>
      <c r="H542" s="303">
        <v>51.370800000000003</v>
      </c>
      <c r="I542" s="303">
        <v>7.6329000000000002</v>
      </c>
      <c r="J542" s="303">
        <v>-22.182843999999999</v>
      </c>
      <c r="K542" s="303">
        <v>-21.333037999999998</v>
      </c>
      <c r="L542" s="303">
        <v>978.74</v>
      </c>
      <c r="M542" s="303">
        <v>109.000849</v>
      </c>
      <c r="N542" s="303">
        <v>17446.70739</v>
      </c>
      <c r="O542" s="303">
        <v>17443.857520000001</v>
      </c>
      <c r="P542" s="305">
        <v>2054.423123</v>
      </c>
      <c r="Q542" s="299">
        <f t="shared" si="4"/>
        <v>2044.8499007303787</v>
      </c>
      <c r="R542" s="300" t="s">
        <v>787</v>
      </c>
      <c r="S542" s="300" t="s">
        <v>12</v>
      </c>
      <c r="T542" s="305" t="s">
        <v>530</v>
      </c>
      <c r="U542" s="305">
        <v>15</v>
      </c>
      <c r="V542" s="305">
        <v>5</v>
      </c>
      <c r="W542" s="303">
        <v>0.7</v>
      </c>
      <c r="X542" s="303">
        <v>0.7</v>
      </c>
      <c r="Y542" s="303">
        <v>0.7</v>
      </c>
      <c r="Z542" s="303">
        <v>1700</v>
      </c>
      <c r="AA542" s="303" t="s">
        <v>531</v>
      </c>
      <c r="AB542" s="303">
        <v>0.85</v>
      </c>
      <c r="AC542" s="303" t="s">
        <v>532</v>
      </c>
      <c r="AD542" s="303" t="s">
        <v>533</v>
      </c>
      <c r="AE542" s="303">
        <v>220</v>
      </c>
      <c r="AF542" s="324"/>
      <c r="AG542" s="325"/>
    </row>
    <row r="543" spans="1:33" ht="15" customHeight="1">
      <c r="A543" s="302" t="s">
        <v>596</v>
      </c>
      <c r="B543" s="303">
        <v>2</v>
      </c>
      <c r="C543" s="303">
        <v>534</v>
      </c>
      <c r="D543" s="303" t="s">
        <v>561</v>
      </c>
      <c r="E543" s="303">
        <v>1.5</v>
      </c>
      <c r="F543" s="304">
        <v>45421.555555555555</v>
      </c>
      <c r="G543" s="303">
        <v>1</v>
      </c>
      <c r="H543" s="303">
        <v>51.377400000000002</v>
      </c>
      <c r="I543" s="303">
        <v>7.7381500000000001</v>
      </c>
      <c r="J543" s="303">
        <v>-22.321981000000001</v>
      </c>
      <c r="K543" s="303">
        <v>-21.498218999999999</v>
      </c>
      <c r="L543" s="303">
        <v>981.65899999999999</v>
      </c>
      <c r="M543" s="303">
        <v>113.501598</v>
      </c>
      <c r="N543" s="303">
        <v>17491.793020000001</v>
      </c>
      <c r="O543" s="303">
        <v>17443.857520000001</v>
      </c>
      <c r="P543" s="305">
        <v>2054.423123</v>
      </c>
      <c r="Q543" s="299">
        <f t="shared" si="4"/>
        <v>2044.8499007303787</v>
      </c>
      <c r="R543" s="300" t="s">
        <v>787</v>
      </c>
      <c r="S543" s="300" t="s">
        <v>12</v>
      </c>
      <c r="T543" s="305" t="s">
        <v>545</v>
      </c>
      <c r="U543" s="305">
        <v>15</v>
      </c>
      <c r="V543" s="305">
        <v>5</v>
      </c>
      <c r="W543" s="303">
        <v>0.7</v>
      </c>
      <c r="X543" s="303">
        <v>0.7</v>
      </c>
      <c r="Y543" s="303">
        <v>0.7</v>
      </c>
      <c r="Z543" s="303">
        <v>1700</v>
      </c>
      <c r="AA543" s="303" t="s">
        <v>531</v>
      </c>
      <c r="AB543" s="303">
        <v>0.85</v>
      </c>
      <c r="AC543" s="303" t="s">
        <v>532</v>
      </c>
      <c r="AD543" s="303" t="s">
        <v>533</v>
      </c>
      <c r="AE543" s="303">
        <v>220</v>
      </c>
      <c r="AF543" s="324"/>
      <c r="AG543" s="325"/>
    </row>
    <row r="544" spans="1:33" ht="15" customHeight="1">
      <c r="A544" s="302" t="s">
        <v>768</v>
      </c>
      <c r="B544" s="303">
        <v>2</v>
      </c>
      <c r="C544" s="303">
        <v>534</v>
      </c>
      <c r="D544" s="303" t="s">
        <v>561</v>
      </c>
      <c r="E544" s="303">
        <v>1.5</v>
      </c>
      <c r="F544" s="304">
        <v>45421.559027777781</v>
      </c>
      <c r="G544" s="303">
        <v>1</v>
      </c>
      <c r="H544" s="303">
        <v>51.377400000000002</v>
      </c>
      <c r="I544" s="303">
        <v>7.77163</v>
      </c>
      <c r="J544" s="303">
        <v>-22.254825</v>
      </c>
      <c r="K544" s="303">
        <v>-21.440069000000001</v>
      </c>
      <c r="L544" s="303">
        <v>994.505</v>
      </c>
      <c r="M544" s="303">
        <v>122.49982799999999</v>
      </c>
      <c r="N544" s="303">
        <v>17446.830470000001</v>
      </c>
      <c r="O544" s="303">
        <v>17443.857520000001</v>
      </c>
      <c r="P544" s="305">
        <v>2054.423123</v>
      </c>
      <c r="Q544" s="299">
        <f t="shared" si="4"/>
        <v>2044.8499007303787</v>
      </c>
      <c r="R544" s="300" t="s">
        <v>787</v>
      </c>
      <c r="S544" s="300" t="s">
        <v>12</v>
      </c>
      <c r="T544" s="305" t="s">
        <v>530</v>
      </c>
      <c r="U544" s="305">
        <v>15</v>
      </c>
      <c r="V544" s="305">
        <v>5</v>
      </c>
      <c r="W544" s="303">
        <v>0.7</v>
      </c>
      <c r="X544" s="303">
        <v>0.7</v>
      </c>
      <c r="Y544" s="303">
        <v>0.7</v>
      </c>
      <c r="Z544" s="303">
        <v>1700</v>
      </c>
      <c r="AA544" s="303" t="s">
        <v>531</v>
      </c>
      <c r="AB544" s="303">
        <v>0.85</v>
      </c>
      <c r="AC544" s="303" t="s">
        <v>532</v>
      </c>
      <c r="AD544" s="303" t="s">
        <v>533</v>
      </c>
      <c r="AE544" s="303">
        <v>220</v>
      </c>
      <c r="AF544" s="324"/>
      <c r="AG544" s="325"/>
    </row>
    <row r="545" spans="1:33" ht="15" customHeight="1">
      <c r="A545" s="318" t="s">
        <v>597</v>
      </c>
      <c r="B545" s="319">
        <v>3</v>
      </c>
      <c r="C545" s="319">
        <v>535</v>
      </c>
      <c r="D545" s="319" t="s">
        <v>565</v>
      </c>
      <c r="E545" s="319">
        <v>1.5</v>
      </c>
      <c r="F545" s="320">
        <v>45421.563194444447</v>
      </c>
      <c r="G545" s="319">
        <v>1</v>
      </c>
      <c r="H545" s="319">
        <v>51.377400000000002</v>
      </c>
      <c r="I545" s="319">
        <v>7.57118</v>
      </c>
      <c r="J545" s="319">
        <v>-22.298137000000001</v>
      </c>
      <c r="K545" s="319">
        <v>-21.455874999999999</v>
      </c>
      <c r="L545" s="319">
        <v>570.26900000000001</v>
      </c>
      <c r="M545" s="319">
        <v>97.999774000000002</v>
      </c>
      <c r="N545" s="319">
        <v>10554.80192</v>
      </c>
      <c r="O545" s="319">
        <v>10560.18706</v>
      </c>
      <c r="P545" s="321">
        <v>1249.855632</v>
      </c>
      <c r="Q545" s="299">
        <f t="shared" si="4"/>
        <v>1244.0315417061749</v>
      </c>
      <c r="R545" s="300" t="s">
        <v>787</v>
      </c>
      <c r="S545" s="300" t="s">
        <v>582</v>
      </c>
      <c r="T545" s="305" t="s">
        <v>530</v>
      </c>
      <c r="U545" s="305">
        <v>15</v>
      </c>
      <c r="V545" s="305">
        <v>5</v>
      </c>
      <c r="W545" s="303">
        <v>0.7</v>
      </c>
      <c r="X545" s="303">
        <v>0.7</v>
      </c>
      <c r="Y545" s="303">
        <v>0.7</v>
      </c>
      <c r="Z545" s="303">
        <v>1700</v>
      </c>
      <c r="AA545" s="303" t="s">
        <v>531</v>
      </c>
      <c r="AB545" s="303">
        <v>0.85</v>
      </c>
      <c r="AC545" s="303" t="s">
        <v>532</v>
      </c>
      <c r="AD545" s="303" t="s">
        <v>533</v>
      </c>
      <c r="AE545" s="303">
        <v>220</v>
      </c>
      <c r="AF545" s="324"/>
      <c r="AG545" s="325"/>
    </row>
    <row r="546" spans="1:33" ht="15" customHeight="1">
      <c r="A546" s="318" t="s">
        <v>599</v>
      </c>
      <c r="B546" s="319">
        <v>3</v>
      </c>
      <c r="C546" s="319">
        <v>535</v>
      </c>
      <c r="D546" s="319" t="s">
        <v>565</v>
      </c>
      <c r="E546" s="319">
        <v>1.5</v>
      </c>
      <c r="F546" s="320">
        <v>45421.566666666666</v>
      </c>
      <c r="G546" s="319">
        <v>1</v>
      </c>
      <c r="H546" s="319">
        <v>51.374099999999999</v>
      </c>
      <c r="I546" s="319">
        <v>7.7289099999999999</v>
      </c>
      <c r="J546" s="319">
        <v>-22.209330999999999</v>
      </c>
      <c r="K546" s="319">
        <v>-21.378530999999999</v>
      </c>
      <c r="L546" s="319">
        <v>572.36</v>
      </c>
      <c r="M546" s="319">
        <v>110.000857</v>
      </c>
      <c r="N546" s="319">
        <v>10570.14479</v>
      </c>
      <c r="O546" s="319">
        <v>10560.18706</v>
      </c>
      <c r="P546" s="321">
        <v>1249.855632</v>
      </c>
      <c r="Q546" s="299">
        <f t="shared" si="4"/>
        <v>1244.0315417061749</v>
      </c>
      <c r="R546" s="300" t="s">
        <v>787</v>
      </c>
      <c r="S546" s="300" t="s">
        <v>582</v>
      </c>
      <c r="T546" s="305" t="s">
        <v>530</v>
      </c>
      <c r="U546" s="305">
        <v>15</v>
      </c>
      <c r="V546" s="305">
        <v>5</v>
      </c>
      <c r="W546" s="303">
        <v>0.7</v>
      </c>
      <c r="X546" s="303">
        <v>0.7</v>
      </c>
      <c r="Y546" s="303">
        <v>0.7</v>
      </c>
      <c r="Z546" s="303">
        <v>1700</v>
      </c>
      <c r="AA546" s="303" t="s">
        <v>531</v>
      </c>
      <c r="AB546" s="303">
        <v>0.85</v>
      </c>
      <c r="AC546" s="303" t="s">
        <v>532</v>
      </c>
      <c r="AD546" s="303" t="s">
        <v>533</v>
      </c>
      <c r="AE546" s="303">
        <v>220</v>
      </c>
      <c r="AF546" s="324"/>
      <c r="AG546" s="325"/>
    </row>
    <row r="547" spans="1:33" ht="15" customHeight="1">
      <c r="A547" s="318" t="s">
        <v>600</v>
      </c>
      <c r="B547" s="319">
        <v>3</v>
      </c>
      <c r="C547" s="319">
        <v>535</v>
      </c>
      <c r="D547" s="319" t="s">
        <v>565</v>
      </c>
      <c r="E547" s="319">
        <v>1.5</v>
      </c>
      <c r="F547" s="320">
        <v>45421.570138888892</v>
      </c>
      <c r="G547" s="319">
        <v>1</v>
      </c>
      <c r="H547" s="319">
        <v>51.374099999999999</v>
      </c>
      <c r="I547" s="319">
        <v>7.79427</v>
      </c>
      <c r="J547" s="319">
        <v>-22.2806</v>
      </c>
      <c r="K547" s="319">
        <v>-21.431231</v>
      </c>
      <c r="L547" s="319">
        <v>572.88</v>
      </c>
      <c r="M547" s="319">
        <v>107.499385</v>
      </c>
      <c r="N547" s="319">
        <v>10555.61448</v>
      </c>
      <c r="O547" s="319">
        <v>10560.18706</v>
      </c>
      <c r="P547" s="321">
        <v>1249.855632</v>
      </c>
      <c r="Q547" s="299">
        <f t="shared" si="4"/>
        <v>1244.0315417061749</v>
      </c>
      <c r="R547" s="300" t="s">
        <v>787</v>
      </c>
      <c r="S547" s="300" t="s">
        <v>582</v>
      </c>
      <c r="T547" s="305" t="s">
        <v>530</v>
      </c>
      <c r="U547" s="305">
        <v>15</v>
      </c>
      <c r="V547" s="305">
        <v>5</v>
      </c>
      <c r="W547" s="303">
        <v>0.7</v>
      </c>
      <c r="X547" s="303">
        <v>0.7</v>
      </c>
      <c r="Y547" s="303">
        <v>0.7</v>
      </c>
      <c r="Z547" s="303">
        <v>1700</v>
      </c>
      <c r="AA547" s="303" t="s">
        <v>531</v>
      </c>
      <c r="AB547" s="303">
        <v>0.85</v>
      </c>
      <c r="AC547" s="303" t="s">
        <v>532</v>
      </c>
      <c r="AD547" s="303" t="s">
        <v>533</v>
      </c>
      <c r="AE547" s="303">
        <v>220</v>
      </c>
      <c r="AF547" s="324"/>
      <c r="AG547" s="325"/>
    </row>
    <row r="548" spans="1:33" ht="15" customHeight="1">
      <c r="A548" s="302" t="s">
        <v>602</v>
      </c>
      <c r="B548" s="303">
        <v>4</v>
      </c>
      <c r="C548" s="303">
        <v>430</v>
      </c>
      <c r="D548" s="303" t="s">
        <v>570</v>
      </c>
      <c r="E548" s="303">
        <v>1.5</v>
      </c>
      <c r="F548" s="304">
        <v>45421.574305555558</v>
      </c>
      <c r="G548" s="303">
        <v>1</v>
      </c>
      <c r="H548" s="303">
        <v>51.377400000000002</v>
      </c>
      <c r="I548" s="303">
        <v>7.8518699999999999</v>
      </c>
      <c r="J548" s="303">
        <v>-22.278531000000001</v>
      </c>
      <c r="K548" s="303">
        <v>-21.430762000000001</v>
      </c>
      <c r="L548" s="303">
        <v>1011.01</v>
      </c>
      <c r="M548" s="303">
        <v>125.500726</v>
      </c>
      <c r="N548" s="303">
        <v>17893.690149999999</v>
      </c>
      <c r="O548" s="303">
        <v>17897.221000000001</v>
      </c>
      <c r="P548" s="305">
        <v>2107.6663100000001</v>
      </c>
      <c r="Q548" s="299">
        <f t="shared" si="4"/>
        <v>2097.8449845729583</v>
      </c>
      <c r="R548" s="300" t="s">
        <v>787</v>
      </c>
      <c r="S548" s="300" t="s">
        <v>12</v>
      </c>
      <c r="T548" s="305" t="s">
        <v>530</v>
      </c>
      <c r="U548" s="305">
        <v>15</v>
      </c>
      <c r="V548" s="305">
        <v>5</v>
      </c>
      <c r="W548" s="303">
        <v>0.7</v>
      </c>
      <c r="X548" s="303">
        <v>0.7</v>
      </c>
      <c r="Y548" s="303">
        <v>0.7</v>
      </c>
      <c r="Z548" s="303">
        <v>1700</v>
      </c>
      <c r="AA548" s="303" t="s">
        <v>531</v>
      </c>
      <c r="AB548" s="303">
        <v>0.85</v>
      </c>
      <c r="AC548" s="303" t="s">
        <v>532</v>
      </c>
      <c r="AD548" s="303" t="s">
        <v>533</v>
      </c>
      <c r="AE548" s="303">
        <v>220</v>
      </c>
      <c r="AF548" s="324"/>
      <c r="AG548" s="325"/>
    </row>
    <row r="549" spans="1:33" ht="15" customHeight="1">
      <c r="A549" s="302" t="s">
        <v>604</v>
      </c>
      <c r="B549" s="303">
        <v>4</v>
      </c>
      <c r="C549" s="303">
        <v>430</v>
      </c>
      <c r="D549" s="303" t="s">
        <v>570</v>
      </c>
      <c r="E549" s="303">
        <v>1.5</v>
      </c>
      <c r="F549" s="304">
        <v>45421.577777777777</v>
      </c>
      <c r="G549" s="303">
        <v>1</v>
      </c>
      <c r="H549" s="303">
        <v>51.374099999999999</v>
      </c>
      <c r="I549" s="303">
        <v>7.8134499999999996</v>
      </c>
      <c r="J549" s="303">
        <v>-22.221537999999999</v>
      </c>
      <c r="K549" s="303">
        <v>-21.376761999999999</v>
      </c>
      <c r="L549" s="303">
        <v>1014.39</v>
      </c>
      <c r="M549" s="303">
        <v>135.999562</v>
      </c>
      <c r="N549" s="303">
        <v>17907.143960000001</v>
      </c>
      <c r="O549" s="303">
        <v>17897.221000000001</v>
      </c>
      <c r="P549" s="305">
        <v>2107.6663100000001</v>
      </c>
      <c r="Q549" s="299">
        <f t="shared" si="4"/>
        <v>2097.8449845729583</v>
      </c>
      <c r="R549" s="300" t="s">
        <v>787</v>
      </c>
      <c r="S549" s="300" t="s">
        <v>12</v>
      </c>
      <c r="T549" s="305" t="s">
        <v>530</v>
      </c>
      <c r="U549" s="305">
        <v>15</v>
      </c>
      <c r="V549" s="305">
        <v>5</v>
      </c>
      <c r="W549" s="303">
        <v>0.7</v>
      </c>
      <c r="X549" s="303">
        <v>0.7</v>
      </c>
      <c r="Y549" s="303">
        <v>0.7</v>
      </c>
      <c r="Z549" s="303">
        <v>1700</v>
      </c>
      <c r="AA549" s="303" t="s">
        <v>531</v>
      </c>
      <c r="AB549" s="303">
        <v>0.85</v>
      </c>
      <c r="AC549" s="303" t="s">
        <v>532</v>
      </c>
      <c r="AD549" s="303" t="s">
        <v>533</v>
      </c>
      <c r="AE549" s="303">
        <v>220</v>
      </c>
      <c r="AF549" s="324"/>
      <c r="AG549" s="325"/>
    </row>
    <row r="550" spans="1:33" ht="15" customHeight="1">
      <c r="A550" s="302" t="s">
        <v>605</v>
      </c>
      <c r="B550" s="303">
        <v>4</v>
      </c>
      <c r="C550" s="303">
        <v>430</v>
      </c>
      <c r="D550" s="303" t="s">
        <v>570</v>
      </c>
      <c r="E550" s="303">
        <v>1.5</v>
      </c>
      <c r="F550" s="304">
        <v>45421.581250000003</v>
      </c>
      <c r="G550" s="303">
        <v>1</v>
      </c>
      <c r="H550" s="303">
        <v>51.370800000000003</v>
      </c>
      <c r="I550" s="303">
        <v>7.7479500000000003</v>
      </c>
      <c r="J550" s="303">
        <v>-22.241887999999999</v>
      </c>
      <c r="K550" s="303">
        <v>-21.392088000000001</v>
      </c>
      <c r="L550" s="303">
        <v>1009.35</v>
      </c>
      <c r="M550" s="303">
        <v>114.49886600000001</v>
      </c>
      <c r="N550" s="303">
        <v>17890.828890000001</v>
      </c>
      <c r="O550" s="303">
        <v>17897.221000000001</v>
      </c>
      <c r="P550" s="305">
        <v>2107.6663100000001</v>
      </c>
      <c r="Q550" s="299">
        <f t="shared" si="4"/>
        <v>2097.8449845729583</v>
      </c>
      <c r="R550" s="300" t="s">
        <v>787</v>
      </c>
      <c r="S550" s="300" t="s">
        <v>12</v>
      </c>
      <c r="T550" s="305" t="s">
        <v>530</v>
      </c>
      <c r="U550" s="305">
        <v>15</v>
      </c>
      <c r="V550" s="305">
        <v>5</v>
      </c>
      <c r="W550" s="303">
        <v>0.7</v>
      </c>
      <c r="X550" s="303">
        <v>0.7</v>
      </c>
      <c r="Y550" s="303">
        <v>0.7</v>
      </c>
      <c r="Z550" s="303">
        <v>1700</v>
      </c>
      <c r="AA550" s="303" t="s">
        <v>531</v>
      </c>
      <c r="AB550" s="303">
        <v>0.85</v>
      </c>
      <c r="AC550" s="303" t="s">
        <v>532</v>
      </c>
      <c r="AD550" s="303" t="s">
        <v>533</v>
      </c>
      <c r="AE550" s="303">
        <v>220</v>
      </c>
      <c r="AF550" s="324"/>
      <c r="AG550" s="325"/>
    </row>
    <row r="551" spans="1:33" ht="15" customHeight="1">
      <c r="A551" s="302" t="s">
        <v>606</v>
      </c>
      <c r="B551" s="303">
        <v>5</v>
      </c>
      <c r="C551" s="303">
        <v>431</v>
      </c>
      <c r="D551" s="303" t="s">
        <v>575</v>
      </c>
      <c r="E551" s="303">
        <v>1.5</v>
      </c>
      <c r="F551" s="304">
        <v>45421.585416666669</v>
      </c>
      <c r="G551" s="303">
        <v>1</v>
      </c>
      <c r="H551" s="303">
        <v>51.377400000000002</v>
      </c>
      <c r="I551" s="303">
        <v>7.8383700000000003</v>
      </c>
      <c r="J551" s="303">
        <v>-22.240849999999998</v>
      </c>
      <c r="K551" s="303">
        <v>-21.420518999999999</v>
      </c>
      <c r="L551" s="303">
        <v>991.32899999999995</v>
      </c>
      <c r="M551" s="303">
        <v>129.500226</v>
      </c>
      <c r="N551" s="303">
        <v>17914.296170000001</v>
      </c>
      <c r="O551" s="303">
        <v>17898.253720000001</v>
      </c>
      <c r="P551" s="305">
        <v>2107.7880810000001</v>
      </c>
      <c r="Q551" s="299">
        <f t="shared" si="4"/>
        <v>2097.9661881431844</v>
      </c>
      <c r="R551" s="300" t="s">
        <v>787</v>
      </c>
      <c r="S551" s="300" t="s">
        <v>12</v>
      </c>
      <c r="T551" s="305" t="s">
        <v>530</v>
      </c>
      <c r="U551" s="305">
        <v>15</v>
      </c>
      <c r="V551" s="305">
        <v>5</v>
      </c>
      <c r="W551" s="303">
        <v>0.7</v>
      </c>
      <c r="X551" s="303">
        <v>0.7</v>
      </c>
      <c r="Y551" s="303">
        <v>0.7</v>
      </c>
      <c r="Z551" s="303">
        <v>1700</v>
      </c>
      <c r="AA551" s="303" t="s">
        <v>531</v>
      </c>
      <c r="AB551" s="303">
        <v>0.85</v>
      </c>
      <c r="AC551" s="303" t="s">
        <v>532</v>
      </c>
      <c r="AD551" s="303" t="s">
        <v>533</v>
      </c>
      <c r="AE551" s="303">
        <v>220</v>
      </c>
      <c r="AF551" s="324"/>
      <c r="AG551" s="325"/>
    </row>
    <row r="552" spans="1:33" ht="15" customHeight="1">
      <c r="A552" s="302" t="s">
        <v>607</v>
      </c>
      <c r="B552" s="303">
        <v>5</v>
      </c>
      <c r="C552" s="303">
        <v>431</v>
      </c>
      <c r="D552" s="303" t="s">
        <v>575</v>
      </c>
      <c r="E552" s="303">
        <v>1.5</v>
      </c>
      <c r="F552" s="304">
        <v>45421.588888888888</v>
      </c>
      <c r="G552" s="303">
        <v>1</v>
      </c>
      <c r="H552" s="303">
        <v>51.377400000000002</v>
      </c>
      <c r="I552" s="303">
        <v>7.8539399999999997</v>
      </c>
      <c r="J552" s="303">
        <v>-22.257206</v>
      </c>
      <c r="K552" s="303">
        <v>-21.453219000000001</v>
      </c>
      <c r="L552" s="303">
        <v>1012.87</v>
      </c>
      <c r="M552" s="303">
        <v>132.00074900000001</v>
      </c>
      <c r="N552" s="303">
        <v>17936.384259999999</v>
      </c>
      <c r="O552" s="303">
        <v>17898.253720000001</v>
      </c>
      <c r="P552" s="305">
        <v>2107.7880810000001</v>
      </c>
      <c r="Q552" s="299">
        <f t="shared" si="4"/>
        <v>2097.9661881431844</v>
      </c>
      <c r="R552" s="300" t="s">
        <v>787</v>
      </c>
      <c r="S552" s="300" t="s">
        <v>12</v>
      </c>
      <c r="T552" s="305" t="s">
        <v>545</v>
      </c>
      <c r="U552" s="305">
        <v>15</v>
      </c>
      <c r="V552" s="305">
        <v>5</v>
      </c>
      <c r="W552" s="303">
        <v>0.7</v>
      </c>
      <c r="X552" s="303">
        <v>0.7</v>
      </c>
      <c r="Y552" s="303">
        <v>0.7</v>
      </c>
      <c r="Z552" s="303">
        <v>1700</v>
      </c>
      <c r="AA552" s="303" t="s">
        <v>531</v>
      </c>
      <c r="AB552" s="303">
        <v>0.85</v>
      </c>
      <c r="AC552" s="303" t="s">
        <v>532</v>
      </c>
      <c r="AD552" s="303" t="s">
        <v>533</v>
      </c>
      <c r="AE552" s="303">
        <v>220</v>
      </c>
      <c r="AF552" s="324"/>
      <c r="AG552" s="325"/>
    </row>
    <row r="553" spans="1:33" ht="15" customHeight="1">
      <c r="A553" s="302" t="s">
        <v>608</v>
      </c>
      <c r="B553" s="303">
        <v>5</v>
      </c>
      <c r="C553" s="303">
        <v>431</v>
      </c>
      <c r="D553" s="303" t="s">
        <v>575</v>
      </c>
      <c r="E553" s="303">
        <v>1.5</v>
      </c>
      <c r="F553" s="304">
        <v>45421.593055555553</v>
      </c>
      <c r="G553" s="303">
        <v>1</v>
      </c>
      <c r="H553" s="303">
        <v>51.374099999999999</v>
      </c>
      <c r="I553" s="303">
        <v>7.7428999999999997</v>
      </c>
      <c r="J553" s="303">
        <v>-22.293068999999999</v>
      </c>
      <c r="K553" s="303">
        <v>-21.451125000000001</v>
      </c>
      <c r="L553" s="303">
        <v>1017.25</v>
      </c>
      <c r="M553" s="303">
        <v>128.00178099999999</v>
      </c>
      <c r="N553" s="303">
        <v>17885.879939999999</v>
      </c>
      <c r="O553" s="303">
        <v>17898.253720000001</v>
      </c>
      <c r="P553" s="305">
        <v>2107.7880810000001</v>
      </c>
      <c r="Q553" s="299">
        <f t="shared" si="4"/>
        <v>2097.9661881431844</v>
      </c>
      <c r="R553" s="300" t="s">
        <v>787</v>
      </c>
      <c r="S553" s="300" t="s">
        <v>12</v>
      </c>
      <c r="T553" s="305" t="s">
        <v>530</v>
      </c>
      <c r="U553" s="305">
        <v>15</v>
      </c>
      <c r="V553" s="305">
        <v>5</v>
      </c>
      <c r="W553" s="303">
        <v>0.7</v>
      </c>
      <c r="X553" s="303">
        <v>0.7</v>
      </c>
      <c r="Y553" s="303">
        <v>0.7</v>
      </c>
      <c r="Z553" s="303">
        <v>1700</v>
      </c>
      <c r="AA553" s="303" t="s">
        <v>531</v>
      </c>
      <c r="AB553" s="303">
        <v>0.85</v>
      </c>
      <c r="AC553" s="303" t="s">
        <v>532</v>
      </c>
      <c r="AD553" s="303" t="s">
        <v>533</v>
      </c>
      <c r="AE553" s="303">
        <v>220</v>
      </c>
      <c r="AF553" s="324"/>
      <c r="AG553" s="325"/>
    </row>
    <row r="554" spans="1:33" ht="15" customHeight="1">
      <c r="A554" s="302" t="s">
        <v>609</v>
      </c>
      <c r="B554" s="303">
        <v>5</v>
      </c>
      <c r="C554" s="303">
        <v>431</v>
      </c>
      <c r="D554" s="303" t="s">
        <v>575</v>
      </c>
      <c r="E554" s="303">
        <v>1.5</v>
      </c>
      <c r="F554" s="304">
        <v>45421.59652777778</v>
      </c>
      <c r="G554" s="303">
        <v>1</v>
      </c>
      <c r="H554" s="303">
        <v>51.374099999999999</v>
      </c>
      <c r="I554" s="303">
        <v>7.7138</v>
      </c>
      <c r="J554" s="303">
        <v>-22.283044</v>
      </c>
      <c r="K554" s="303">
        <v>-21.459225</v>
      </c>
      <c r="L554" s="303">
        <v>1017.2</v>
      </c>
      <c r="M554" s="303">
        <v>121.00133</v>
      </c>
      <c r="N554" s="303">
        <v>17894.585050000002</v>
      </c>
      <c r="O554" s="303">
        <v>17898.253720000001</v>
      </c>
      <c r="P554" s="305">
        <v>2107.7880810000001</v>
      </c>
      <c r="Q554" s="299">
        <f t="shared" si="4"/>
        <v>2097.9661881431844</v>
      </c>
      <c r="R554" s="300" t="s">
        <v>787</v>
      </c>
      <c r="S554" s="300" t="s">
        <v>12</v>
      </c>
      <c r="T554" s="305" t="s">
        <v>530</v>
      </c>
      <c r="U554" s="305">
        <v>15</v>
      </c>
      <c r="V554" s="305">
        <v>5</v>
      </c>
      <c r="W554" s="303">
        <v>0.7</v>
      </c>
      <c r="X554" s="303">
        <v>0.7</v>
      </c>
      <c r="Y554" s="303">
        <v>0.7</v>
      </c>
      <c r="Z554" s="303">
        <v>1700</v>
      </c>
      <c r="AA554" s="303" t="s">
        <v>531</v>
      </c>
      <c r="AB554" s="303">
        <v>0.85</v>
      </c>
      <c r="AC554" s="303" t="s">
        <v>532</v>
      </c>
      <c r="AD554" s="303" t="s">
        <v>533</v>
      </c>
      <c r="AE554" s="303">
        <v>220</v>
      </c>
      <c r="AF554" s="324"/>
      <c r="AG554" s="325"/>
    </row>
    <row r="555" spans="1:33" ht="15" customHeight="1">
      <c r="A555" s="302" t="s">
        <v>610</v>
      </c>
      <c r="B555" s="303">
        <v>6</v>
      </c>
      <c r="C555" s="303">
        <v>573</v>
      </c>
      <c r="D555" s="303" t="s">
        <v>581</v>
      </c>
      <c r="E555" s="303">
        <v>1.5</v>
      </c>
      <c r="F555" s="304">
        <v>45421.600694444445</v>
      </c>
      <c r="G555" s="303">
        <v>1</v>
      </c>
      <c r="H555" s="303">
        <v>51.370800000000003</v>
      </c>
      <c r="I555" s="303">
        <v>7.7960900000000004</v>
      </c>
      <c r="J555" s="303">
        <v>-22.257055999999999</v>
      </c>
      <c r="K555" s="303">
        <v>-21.411037</v>
      </c>
      <c r="L555" s="303">
        <v>999.33299999999997</v>
      </c>
      <c r="M555" s="303">
        <v>131.50097600000001</v>
      </c>
      <c r="N555" s="303">
        <v>17792.1571</v>
      </c>
      <c r="O555" s="303">
        <v>17868.521199999999</v>
      </c>
      <c r="P555" s="305">
        <v>2104.282224</v>
      </c>
      <c r="Q555" s="299">
        <f t="shared" si="4"/>
        <v>2094.4766677721532</v>
      </c>
      <c r="R555" s="300" t="s">
        <v>787</v>
      </c>
      <c r="S555" s="300" t="s">
        <v>12</v>
      </c>
      <c r="T555" s="305" t="s">
        <v>545</v>
      </c>
      <c r="U555" s="305">
        <v>15</v>
      </c>
      <c r="V555" s="305">
        <v>5</v>
      </c>
      <c r="W555" s="303">
        <v>0.7</v>
      </c>
      <c r="X555" s="303">
        <v>0.7</v>
      </c>
      <c r="Y555" s="303">
        <v>0.7</v>
      </c>
      <c r="Z555" s="303">
        <v>1700</v>
      </c>
      <c r="AA555" s="303" t="s">
        <v>531</v>
      </c>
      <c r="AB555" s="303">
        <v>0.85</v>
      </c>
      <c r="AC555" s="303" t="s">
        <v>532</v>
      </c>
      <c r="AD555" s="303" t="s">
        <v>533</v>
      </c>
      <c r="AE555" s="303">
        <v>220</v>
      </c>
      <c r="AF555" s="324"/>
      <c r="AG555" s="325"/>
    </row>
    <row r="556" spans="1:33" ht="15" customHeight="1">
      <c r="A556" s="302" t="s">
        <v>611</v>
      </c>
      <c r="B556" s="303">
        <v>6</v>
      </c>
      <c r="C556" s="303">
        <v>573</v>
      </c>
      <c r="D556" s="303" t="s">
        <v>581</v>
      </c>
      <c r="E556" s="303">
        <v>1.5</v>
      </c>
      <c r="F556" s="304">
        <v>45421.604166666664</v>
      </c>
      <c r="G556" s="303">
        <v>1</v>
      </c>
      <c r="H556" s="303">
        <v>51.374099999999999</v>
      </c>
      <c r="I556" s="303">
        <v>7.80044</v>
      </c>
      <c r="J556" s="303">
        <v>-22.312631</v>
      </c>
      <c r="K556" s="303">
        <v>-21.476718999999999</v>
      </c>
      <c r="L556" s="303">
        <v>1008.98</v>
      </c>
      <c r="M556" s="303">
        <v>142.49900299999999</v>
      </c>
      <c r="N556" s="303">
        <v>17870.782380000001</v>
      </c>
      <c r="O556" s="303">
        <v>17868.521199999999</v>
      </c>
      <c r="P556" s="305">
        <v>2104.282224</v>
      </c>
      <c r="Q556" s="299">
        <f t="shared" si="4"/>
        <v>2094.4766677721532</v>
      </c>
      <c r="R556" s="300" t="s">
        <v>787</v>
      </c>
      <c r="S556" s="300" t="s">
        <v>12</v>
      </c>
      <c r="T556" s="305" t="s">
        <v>530</v>
      </c>
      <c r="U556" s="305">
        <v>15</v>
      </c>
      <c r="V556" s="305">
        <v>5</v>
      </c>
      <c r="W556" s="303">
        <v>0.7</v>
      </c>
      <c r="X556" s="303">
        <v>0.7</v>
      </c>
      <c r="Y556" s="303">
        <v>0.7</v>
      </c>
      <c r="Z556" s="303">
        <v>1700</v>
      </c>
      <c r="AA556" s="303" t="s">
        <v>531</v>
      </c>
      <c r="AB556" s="303">
        <v>0.85</v>
      </c>
      <c r="AC556" s="303" t="s">
        <v>532</v>
      </c>
      <c r="AD556" s="303" t="s">
        <v>533</v>
      </c>
      <c r="AE556" s="303">
        <v>220</v>
      </c>
      <c r="AF556" s="324"/>
      <c r="AG556" s="325"/>
    </row>
    <row r="557" spans="1:33" ht="15" customHeight="1">
      <c r="A557" s="302" t="s">
        <v>612</v>
      </c>
      <c r="B557" s="303">
        <v>6</v>
      </c>
      <c r="C557" s="303">
        <v>573</v>
      </c>
      <c r="D557" s="303" t="s">
        <v>581</v>
      </c>
      <c r="E557" s="303">
        <v>1.5</v>
      </c>
      <c r="F557" s="304">
        <v>45421.60833333333</v>
      </c>
      <c r="G557" s="303">
        <v>1</v>
      </c>
      <c r="H557" s="303">
        <v>51.377400000000002</v>
      </c>
      <c r="I557" s="303">
        <v>7.7202400000000004</v>
      </c>
      <c r="J557" s="303">
        <v>-22.357713</v>
      </c>
      <c r="K557" s="303">
        <v>-21.511944</v>
      </c>
      <c r="L557" s="303">
        <v>1020.22</v>
      </c>
      <c r="M557" s="303">
        <v>125.499306</v>
      </c>
      <c r="N557" s="303">
        <v>17883.470969999998</v>
      </c>
      <c r="O557" s="303">
        <v>17868.521199999999</v>
      </c>
      <c r="P557" s="305">
        <v>2104.282224</v>
      </c>
      <c r="Q557" s="299">
        <f t="shared" si="4"/>
        <v>2094.4766677721532</v>
      </c>
      <c r="R557" s="300" t="s">
        <v>787</v>
      </c>
      <c r="S557" s="300" t="s">
        <v>12</v>
      </c>
      <c r="T557" s="305" t="s">
        <v>530</v>
      </c>
      <c r="U557" s="305">
        <v>15</v>
      </c>
      <c r="V557" s="305">
        <v>5</v>
      </c>
      <c r="W557" s="303">
        <v>0.7</v>
      </c>
      <c r="X557" s="303">
        <v>0.7</v>
      </c>
      <c r="Y557" s="303">
        <v>0.7</v>
      </c>
      <c r="Z557" s="303">
        <v>1700</v>
      </c>
      <c r="AA557" s="303" t="s">
        <v>531</v>
      </c>
      <c r="AB557" s="303">
        <v>0.85</v>
      </c>
      <c r="AC557" s="303" t="s">
        <v>532</v>
      </c>
      <c r="AD557" s="303" t="s">
        <v>533</v>
      </c>
      <c r="AE557" s="303">
        <v>220</v>
      </c>
      <c r="AF557" s="324"/>
      <c r="AG557" s="325"/>
    </row>
    <row r="558" spans="1:33" ht="15" customHeight="1">
      <c r="A558" s="302" t="s">
        <v>613</v>
      </c>
      <c r="B558" s="303">
        <v>6</v>
      </c>
      <c r="C558" s="303">
        <v>573</v>
      </c>
      <c r="D558" s="303" t="s">
        <v>581</v>
      </c>
      <c r="E558" s="303">
        <v>1.5</v>
      </c>
      <c r="F558" s="304">
        <v>45421.611805555556</v>
      </c>
      <c r="G558" s="303">
        <v>1</v>
      </c>
      <c r="H558" s="303">
        <v>51.374099999999999</v>
      </c>
      <c r="I558" s="303">
        <v>7.8613099999999996</v>
      </c>
      <c r="J558" s="303">
        <v>-22.245418999999998</v>
      </c>
      <c r="K558" s="303">
        <v>-21.408887</v>
      </c>
      <c r="L558" s="303">
        <v>1017.42</v>
      </c>
      <c r="M558" s="303">
        <v>138.50120999999999</v>
      </c>
      <c r="N558" s="303">
        <v>17851.310259999998</v>
      </c>
      <c r="O558" s="303">
        <v>17868.521199999999</v>
      </c>
      <c r="P558" s="305">
        <v>2104.282224</v>
      </c>
      <c r="Q558" s="299">
        <f t="shared" si="4"/>
        <v>2094.4766677721532</v>
      </c>
      <c r="R558" s="300" t="s">
        <v>787</v>
      </c>
      <c r="S558" s="300" t="s">
        <v>12</v>
      </c>
      <c r="T558" s="305" t="s">
        <v>530</v>
      </c>
      <c r="U558" s="305">
        <v>15</v>
      </c>
      <c r="V558" s="305">
        <v>5</v>
      </c>
      <c r="W558" s="303">
        <v>0.7</v>
      </c>
      <c r="X558" s="303">
        <v>0.7</v>
      </c>
      <c r="Y558" s="303">
        <v>0.7</v>
      </c>
      <c r="Z558" s="303">
        <v>1700</v>
      </c>
      <c r="AA558" s="303" t="s">
        <v>531</v>
      </c>
      <c r="AB558" s="303">
        <v>0.85</v>
      </c>
      <c r="AC558" s="303" t="s">
        <v>532</v>
      </c>
      <c r="AD558" s="303" t="s">
        <v>533</v>
      </c>
      <c r="AE558" s="303">
        <v>220</v>
      </c>
      <c r="AF558" s="324"/>
      <c r="AG558" s="325"/>
    </row>
    <row r="559" spans="1:33" ht="15" customHeight="1">
      <c r="A559" s="302" t="s">
        <v>614</v>
      </c>
      <c r="B559" s="303">
        <v>7</v>
      </c>
      <c r="C559" s="303">
        <v>574</v>
      </c>
      <c r="D559" s="303" t="s">
        <v>594</v>
      </c>
      <c r="E559" s="303">
        <v>1.5</v>
      </c>
      <c r="F559" s="304">
        <v>45421.615972222222</v>
      </c>
      <c r="G559" s="303">
        <v>1</v>
      </c>
      <c r="H559" s="303">
        <v>51.377400000000002</v>
      </c>
      <c r="I559" s="303">
        <v>7.7896599999999996</v>
      </c>
      <c r="J559" s="303">
        <v>-22.244019000000002</v>
      </c>
      <c r="K559" s="303">
        <v>-21.424325</v>
      </c>
      <c r="L559" s="303">
        <v>1014.32</v>
      </c>
      <c r="M559" s="303">
        <v>188.99998400000001</v>
      </c>
      <c r="N559" s="303">
        <v>17886.51784</v>
      </c>
      <c r="O559" s="303">
        <v>17827.665249999998</v>
      </c>
      <c r="P559" s="305">
        <v>2099.4647660000001</v>
      </c>
      <c r="Q559" s="299">
        <f t="shared" si="4"/>
        <v>2089.6816582131255</v>
      </c>
      <c r="R559" s="300" t="s">
        <v>787</v>
      </c>
      <c r="S559" s="300" t="s">
        <v>12</v>
      </c>
      <c r="T559" s="305" t="s">
        <v>545</v>
      </c>
      <c r="U559" s="305">
        <v>15</v>
      </c>
      <c r="V559" s="305">
        <v>5</v>
      </c>
      <c r="W559" s="303">
        <v>0.7</v>
      </c>
      <c r="X559" s="303">
        <v>0.7</v>
      </c>
      <c r="Y559" s="303">
        <v>0.7</v>
      </c>
      <c r="Z559" s="303">
        <v>1700</v>
      </c>
      <c r="AA559" s="303" t="s">
        <v>531</v>
      </c>
      <c r="AB559" s="303">
        <v>0.85</v>
      </c>
      <c r="AC559" s="303" t="s">
        <v>532</v>
      </c>
      <c r="AD559" s="303" t="s">
        <v>533</v>
      </c>
      <c r="AE559" s="303">
        <v>220</v>
      </c>
      <c r="AF559" s="324"/>
      <c r="AG559" s="325"/>
    </row>
    <row r="560" spans="1:33" ht="15" customHeight="1">
      <c r="A560" s="302" t="s">
        <v>615</v>
      </c>
      <c r="B560" s="303">
        <v>7</v>
      </c>
      <c r="C560" s="303">
        <v>574</v>
      </c>
      <c r="D560" s="303" t="s">
        <v>594</v>
      </c>
      <c r="E560" s="303">
        <v>1.5</v>
      </c>
      <c r="F560" s="304">
        <v>45421.620138888888</v>
      </c>
      <c r="G560" s="303">
        <v>1</v>
      </c>
      <c r="H560" s="303">
        <v>51.374099999999999</v>
      </c>
      <c r="I560" s="303">
        <v>7.67441</v>
      </c>
      <c r="J560" s="303">
        <v>-22.247668999999998</v>
      </c>
      <c r="K560" s="303">
        <v>-21.405294000000001</v>
      </c>
      <c r="L560" s="303">
        <v>995.38599999999997</v>
      </c>
      <c r="M560" s="303">
        <v>115.499894</v>
      </c>
      <c r="N560" s="303">
        <v>17840.05402</v>
      </c>
      <c r="O560" s="303">
        <v>17827.665249999998</v>
      </c>
      <c r="P560" s="305">
        <v>2099.4647660000001</v>
      </c>
      <c r="Q560" s="299">
        <f t="shared" si="4"/>
        <v>2089.6816582131255</v>
      </c>
      <c r="R560" s="300" t="s">
        <v>787</v>
      </c>
      <c r="S560" s="300" t="s">
        <v>12</v>
      </c>
      <c r="T560" s="305" t="s">
        <v>530</v>
      </c>
      <c r="U560" s="305">
        <v>15</v>
      </c>
      <c r="V560" s="305">
        <v>5</v>
      </c>
      <c r="W560" s="303">
        <v>0.7</v>
      </c>
      <c r="X560" s="303">
        <v>0.7</v>
      </c>
      <c r="Y560" s="303">
        <v>0.7</v>
      </c>
      <c r="Z560" s="303">
        <v>1700</v>
      </c>
      <c r="AA560" s="303" t="s">
        <v>531</v>
      </c>
      <c r="AB560" s="303">
        <v>0.85</v>
      </c>
      <c r="AC560" s="303" t="s">
        <v>532</v>
      </c>
      <c r="AD560" s="303" t="s">
        <v>533</v>
      </c>
      <c r="AE560" s="303">
        <v>220</v>
      </c>
      <c r="AF560" s="324"/>
      <c r="AG560" s="325"/>
    </row>
    <row r="561" spans="1:33" ht="15" customHeight="1">
      <c r="A561" s="302" t="s">
        <v>616</v>
      </c>
      <c r="B561" s="303">
        <v>7</v>
      </c>
      <c r="C561" s="303">
        <v>574</v>
      </c>
      <c r="D561" s="303" t="s">
        <v>594</v>
      </c>
      <c r="E561" s="303">
        <v>1.5</v>
      </c>
      <c r="F561" s="304">
        <v>45421.623611111114</v>
      </c>
      <c r="G561" s="303">
        <v>1</v>
      </c>
      <c r="H561" s="303">
        <v>51.377400000000002</v>
      </c>
      <c r="I561" s="303">
        <v>7.6469899999999997</v>
      </c>
      <c r="J561" s="303">
        <v>-22.253719</v>
      </c>
      <c r="K561" s="303">
        <v>-21.433394</v>
      </c>
      <c r="L561" s="303">
        <v>1000.55</v>
      </c>
      <c r="M561" s="303">
        <v>116.49951799999999</v>
      </c>
      <c r="N561" s="303">
        <v>17863.858840000001</v>
      </c>
      <c r="O561" s="303">
        <v>17827.665249999998</v>
      </c>
      <c r="P561" s="305">
        <v>2099.4647660000001</v>
      </c>
      <c r="Q561" s="299">
        <f t="shared" si="4"/>
        <v>2089.6816582131255</v>
      </c>
      <c r="R561" s="300" t="s">
        <v>787</v>
      </c>
      <c r="S561" s="300" t="s">
        <v>12</v>
      </c>
      <c r="T561" s="305" t="s">
        <v>545</v>
      </c>
      <c r="U561" s="305">
        <v>15</v>
      </c>
      <c r="V561" s="305">
        <v>5</v>
      </c>
      <c r="W561" s="303">
        <v>0.7</v>
      </c>
      <c r="X561" s="303">
        <v>0.7</v>
      </c>
      <c r="Y561" s="303">
        <v>0.7</v>
      </c>
      <c r="Z561" s="303">
        <v>1700</v>
      </c>
      <c r="AA561" s="303" t="s">
        <v>531</v>
      </c>
      <c r="AB561" s="303">
        <v>0.85</v>
      </c>
      <c r="AC561" s="303" t="s">
        <v>532</v>
      </c>
      <c r="AD561" s="303" t="s">
        <v>533</v>
      </c>
      <c r="AE561" s="303">
        <v>220</v>
      </c>
      <c r="AF561" s="324"/>
      <c r="AG561" s="325"/>
    </row>
    <row r="562" spans="1:33" ht="15" customHeight="1">
      <c r="A562" s="302" t="s">
        <v>693</v>
      </c>
      <c r="B562" s="303">
        <v>7</v>
      </c>
      <c r="C562" s="303">
        <v>574</v>
      </c>
      <c r="D562" s="303" t="s">
        <v>594</v>
      </c>
      <c r="E562" s="303">
        <v>1.5</v>
      </c>
      <c r="F562" s="304">
        <v>45421.627083333333</v>
      </c>
      <c r="G562" s="303">
        <v>1</v>
      </c>
      <c r="H562" s="303">
        <v>51.370800000000003</v>
      </c>
      <c r="I562" s="303">
        <v>7.5735299999999999</v>
      </c>
      <c r="J562" s="303">
        <v>-22.197219</v>
      </c>
      <c r="K562" s="303">
        <v>-21.355018999999999</v>
      </c>
      <c r="L562" s="303">
        <v>1016.69</v>
      </c>
      <c r="M562" s="303">
        <v>109.499579</v>
      </c>
      <c r="N562" s="303">
        <v>17816.25893</v>
      </c>
      <c r="O562" s="303">
        <v>17827.665249999998</v>
      </c>
      <c r="P562" s="305">
        <v>2099.4647660000001</v>
      </c>
      <c r="Q562" s="299">
        <f t="shared" si="4"/>
        <v>2089.6816582131255</v>
      </c>
      <c r="R562" s="300" t="s">
        <v>787</v>
      </c>
      <c r="S562" s="300" t="s">
        <v>12</v>
      </c>
      <c r="T562" s="305" t="s">
        <v>530</v>
      </c>
      <c r="U562" s="305">
        <v>15</v>
      </c>
      <c r="V562" s="305">
        <v>5</v>
      </c>
      <c r="W562" s="303">
        <v>0.7</v>
      </c>
      <c r="X562" s="303">
        <v>0.7</v>
      </c>
      <c r="Y562" s="303">
        <v>0.7</v>
      </c>
      <c r="Z562" s="303">
        <v>1700</v>
      </c>
      <c r="AA562" s="303" t="s">
        <v>531</v>
      </c>
      <c r="AB562" s="303">
        <v>0.85</v>
      </c>
      <c r="AC562" s="303" t="s">
        <v>532</v>
      </c>
      <c r="AD562" s="303" t="s">
        <v>533</v>
      </c>
      <c r="AE562" s="303">
        <v>220</v>
      </c>
      <c r="AF562" s="324"/>
      <c r="AG562" s="325"/>
    </row>
    <row r="563" spans="1:33" ht="15" customHeight="1">
      <c r="A563" s="302" t="s">
        <v>694</v>
      </c>
      <c r="B563" s="303">
        <v>7</v>
      </c>
      <c r="C563" s="303">
        <v>574</v>
      </c>
      <c r="D563" s="303" t="s">
        <v>594</v>
      </c>
      <c r="E563" s="303">
        <v>1.5</v>
      </c>
      <c r="F563" s="304">
        <v>45421.630555555559</v>
      </c>
      <c r="G563" s="303">
        <v>1</v>
      </c>
      <c r="H563" s="303">
        <v>51.377400000000002</v>
      </c>
      <c r="I563" s="303">
        <v>7.5938499999999998</v>
      </c>
      <c r="J563" s="303">
        <v>-22.259881</v>
      </c>
      <c r="K563" s="303">
        <v>-21.443244</v>
      </c>
      <c r="L563" s="303">
        <v>1016.45</v>
      </c>
      <c r="M563" s="303">
        <v>102.999956</v>
      </c>
      <c r="N563" s="303">
        <v>17826.682789999999</v>
      </c>
      <c r="O563" s="303">
        <v>17827.665249999998</v>
      </c>
      <c r="P563" s="305">
        <v>2099.4647660000001</v>
      </c>
      <c r="Q563" s="299">
        <f t="shared" si="4"/>
        <v>2089.6816582131255</v>
      </c>
      <c r="R563" s="300" t="s">
        <v>787</v>
      </c>
      <c r="S563" s="300" t="s">
        <v>12</v>
      </c>
      <c r="T563" s="305" t="s">
        <v>530</v>
      </c>
      <c r="U563" s="305">
        <v>15</v>
      </c>
      <c r="V563" s="305">
        <v>5</v>
      </c>
      <c r="W563" s="303">
        <v>0.7</v>
      </c>
      <c r="X563" s="303">
        <v>0.7</v>
      </c>
      <c r="Y563" s="303">
        <v>0.7</v>
      </c>
      <c r="Z563" s="303">
        <v>1700</v>
      </c>
      <c r="AA563" s="303" t="s">
        <v>531</v>
      </c>
      <c r="AB563" s="303">
        <v>0.85</v>
      </c>
      <c r="AC563" s="303" t="s">
        <v>532</v>
      </c>
      <c r="AD563" s="303" t="s">
        <v>533</v>
      </c>
      <c r="AE563" s="303">
        <v>220</v>
      </c>
      <c r="AF563" s="324"/>
      <c r="AG563" s="325"/>
    </row>
    <row r="564" spans="1:33" ht="15" customHeight="1">
      <c r="A564" s="302" t="s">
        <v>617</v>
      </c>
      <c r="B564" s="303">
        <v>8</v>
      </c>
      <c r="C564" s="303">
        <v>417</v>
      </c>
      <c r="D564" s="303" t="s">
        <v>598</v>
      </c>
      <c r="E564" s="303">
        <v>1.5</v>
      </c>
      <c r="F564" s="304">
        <v>45421.634722222225</v>
      </c>
      <c r="G564" s="303">
        <v>1</v>
      </c>
      <c r="H564" s="303">
        <v>51.377400000000002</v>
      </c>
      <c r="I564" s="303">
        <v>7.5570199999999996</v>
      </c>
      <c r="J564" s="303">
        <v>-22.269144000000001</v>
      </c>
      <c r="K564" s="303">
        <v>-21.430955999999998</v>
      </c>
      <c r="L564" s="303">
        <v>1020.07</v>
      </c>
      <c r="M564" s="303">
        <v>113.50006399999999</v>
      </c>
      <c r="N564" s="303">
        <v>17906.25621</v>
      </c>
      <c r="O564" s="303">
        <v>17900.641309999999</v>
      </c>
      <c r="P564" s="305">
        <v>2108.0696090000001</v>
      </c>
      <c r="Q564" s="299">
        <f t="shared" si="4"/>
        <v>2098.2464042760771</v>
      </c>
      <c r="R564" s="300" t="s">
        <v>787</v>
      </c>
      <c r="S564" s="300" t="s">
        <v>12</v>
      </c>
      <c r="T564" s="305" t="s">
        <v>530</v>
      </c>
      <c r="U564" s="305">
        <v>15</v>
      </c>
      <c r="V564" s="305">
        <v>5</v>
      </c>
      <c r="W564" s="303">
        <v>0.7</v>
      </c>
      <c r="X564" s="303">
        <v>0.7</v>
      </c>
      <c r="Y564" s="303">
        <v>0.7</v>
      </c>
      <c r="Z564" s="303">
        <v>1700</v>
      </c>
      <c r="AA564" s="303" t="s">
        <v>531</v>
      </c>
      <c r="AB564" s="303">
        <v>0.85</v>
      </c>
      <c r="AC564" s="303" t="s">
        <v>532</v>
      </c>
      <c r="AD564" s="303" t="s">
        <v>533</v>
      </c>
      <c r="AE564" s="303">
        <v>220</v>
      </c>
      <c r="AF564" s="324"/>
      <c r="AG564" s="325"/>
    </row>
    <row r="565" spans="1:33" ht="15" customHeight="1">
      <c r="A565" s="302" t="s">
        <v>618</v>
      </c>
      <c r="B565" s="303">
        <v>8</v>
      </c>
      <c r="C565" s="303">
        <v>417</v>
      </c>
      <c r="D565" s="303" t="s">
        <v>598</v>
      </c>
      <c r="E565" s="303">
        <v>1.5</v>
      </c>
      <c r="F565" s="304">
        <v>45421.638194444444</v>
      </c>
      <c r="G565" s="303">
        <v>1</v>
      </c>
      <c r="H565" s="303">
        <v>51.370800000000003</v>
      </c>
      <c r="I565" s="303">
        <v>7.7438599999999997</v>
      </c>
      <c r="J565" s="303">
        <v>-22.268044</v>
      </c>
      <c r="K565" s="303">
        <v>-21.433081000000001</v>
      </c>
      <c r="L565" s="303">
        <v>998.72500000000002</v>
      </c>
      <c r="M565" s="303">
        <v>118.50002499999999</v>
      </c>
      <c r="N565" s="303">
        <v>17899.96039</v>
      </c>
      <c r="O565" s="303">
        <v>17900.641309999999</v>
      </c>
      <c r="P565" s="305">
        <v>2108.0696090000001</v>
      </c>
      <c r="Q565" s="299">
        <f t="shared" si="4"/>
        <v>2098.2464042760771</v>
      </c>
      <c r="R565" s="300" t="s">
        <v>787</v>
      </c>
      <c r="S565" s="300" t="s">
        <v>12</v>
      </c>
      <c r="T565" s="305" t="s">
        <v>530</v>
      </c>
      <c r="U565" s="305">
        <v>15</v>
      </c>
      <c r="V565" s="305">
        <v>5</v>
      </c>
      <c r="W565" s="303">
        <v>0.7</v>
      </c>
      <c r="X565" s="303">
        <v>0.7</v>
      </c>
      <c r="Y565" s="303">
        <v>0.7</v>
      </c>
      <c r="Z565" s="303">
        <v>1700</v>
      </c>
      <c r="AA565" s="303" t="s">
        <v>531</v>
      </c>
      <c r="AB565" s="303">
        <v>0.85</v>
      </c>
      <c r="AC565" s="303" t="s">
        <v>532</v>
      </c>
      <c r="AD565" s="303" t="s">
        <v>533</v>
      </c>
      <c r="AE565" s="303">
        <v>220</v>
      </c>
      <c r="AF565" s="324"/>
      <c r="AG565" s="325"/>
    </row>
    <row r="566" spans="1:33" ht="15" customHeight="1">
      <c r="A566" s="302" t="s">
        <v>619</v>
      </c>
      <c r="B566" s="303">
        <v>8</v>
      </c>
      <c r="C566" s="303">
        <v>417</v>
      </c>
      <c r="D566" s="303" t="s">
        <v>598</v>
      </c>
      <c r="E566" s="303">
        <v>1.5</v>
      </c>
      <c r="F566" s="304">
        <v>45421.64166666667</v>
      </c>
      <c r="G566" s="303">
        <v>1</v>
      </c>
      <c r="H566" s="303">
        <v>51.374099999999999</v>
      </c>
      <c r="I566" s="303">
        <v>7.7827000000000002</v>
      </c>
      <c r="J566" s="303">
        <v>-22.238043999999999</v>
      </c>
      <c r="K566" s="303">
        <v>-21.415700000000001</v>
      </c>
      <c r="L566" s="303">
        <v>1006.48</v>
      </c>
      <c r="M566" s="303">
        <v>124.500944</v>
      </c>
      <c r="N566" s="303">
        <v>17895.707320000001</v>
      </c>
      <c r="O566" s="303">
        <v>17900.641309999999</v>
      </c>
      <c r="P566" s="305">
        <v>2108.0696090000001</v>
      </c>
      <c r="Q566" s="299">
        <f t="shared" si="4"/>
        <v>2098.2464042760771</v>
      </c>
      <c r="R566" s="300" t="s">
        <v>787</v>
      </c>
      <c r="S566" s="300" t="s">
        <v>12</v>
      </c>
      <c r="T566" s="305" t="s">
        <v>530</v>
      </c>
      <c r="U566" s="305">
        <v>15</v>
      </c>
      <c r="V566" s="305">
        <v>5</v>
      </c>
      <c r="W566" s="303">
        <v>0.7</v>
      </c>
      <c r="X566" s="303">
        <v>0.7</v>
      </c>
      <c r="Y566" s="303">
        <v>0.7</v>
      </c>
      <c r="Z566" s="303">
        <v>1700</v>
      </c>
      <c r="AA566" s="303" t="s">
        <v>531</v>
      </c>
      <c r="AB566" s="303">
        <v>0.85</v>
      </c>
      <c r="AC566" s="303" t="s">
        <v>532</v>
      </c>
      <c r="AD566" s="303" t="s">
        <v>533</v>
      </c>
      <c r="AE566" s="303">
        <v>220</v>
      </c>
      <c r="AF566" s="324"/>
      <c r="AG566" s="325"/>
    </row>
    <row r="567" spans="1:33" ht="15" customHeight="1">
      <c r="A567" s="302" t="s">
        <v>627</v>
      </c>
      <c r="B567" s="303">
        <v>9</v>
      </c>
      <c r="C567" s="303">
        <v>418</v>
      </c>
      <c r="D567" s="303" t="s">
        <v>603</v>
      </c>
      <c r="E567" s="303">
        <v>1.5</v>
      </c>
      <c r="F567" s="304">
        <v>45421.645833333336</v>
      </c>
      <c r="G567" s="303">
        <v>1</v>
      </c>
      <c r="H567" s="303">
        <v>51.380699999999997</v>
      </c>
      <c r="I567" s="303">
        <v>7.62296</v>
      </c>
      <c r="J567" s="303">
        <v>-22.235938000000001</v>
      </c>
      <c r="K567" s="303">
        <v>-21.404993999999999</v>
      </c>
      <c r="L567" s="303">
        <v>1013.07</v>
      </c>
      <c r="M567" s="303">
        <v>120.99985599999999</v>
      </c>
      <c r="N567" s="303">
        <v>17916.983319999999</v>
      </c>
      <c r="O567" s="303">
        <v>17924.720710000001</v>
      </c>
      <c r="P567" s="305">
        <v>2110.9088889999998</v>
      </c>
      <c r="Q567" s="299">
        <f t="shared" si="4"/>
        <v>2101.072453769556</v>
      </c>
      <c r="R567" s="300" t="s">
        <v>787</v>
      </c>
      <c r="S567" s="300" t="s">
        <v>12</v>
      </c>
      <c r="T567" s="305" t="s">
        <v>530</v>
      </c>
      <c r="U567" s="305">
        <v>15</v>
      </c>
      <c r="V567" s="305">
        <v>5</v>
      </c>
      <c r="W567" s="303">
        <v>0.7</v>
      </c>
      <c r="X567" s="303">
        <v>0.7</v>
      </c>
      <c r="Y567" s="303">
        <v>0.7</v>
      </c>
      <c r="Z567" s="303">
        <v>1700</v>
      </c>
      <c r="AA567" s="303" t="s">
        <v>531</v>
      </c>
      <c r="AB567" s="303">
        <v>0.85</v>
      </c>
      <c r="AC567" s="303" t="s">
        <v>532</v>
      </c>
      <c r="AD567" s="303" t="s">
        <v>533</v>
      </c>
      <c r="AE567" s="303">
        <v>220</v>
      </c>
      <c r="AF567" s="324"/>
      <c r="AG567" s="325"/>
    </row>
    <row r="568" spans="1:33" ht="15" customHeight="1">
      <c r="A568" s="302" t="s">
        <v>628</v>
      </c>
      <c r="B568" s="303">
        <v>9</v>
      </c>
      <c r="C568" s="303">
        <v>418</v>
      </c>
      <c r="D568" s="303" t="s">
        <v>603</v>
      </c>
      <c r="E568" s="303">
        <v>1.5</v>
      </c>
      <c r="F568" s="304">
        <v>45421.649305555555</v>
      </c>
      <c r="G568" s="303">
        <v>1</v>
      </c>
      <c r="H568" s="303">
        <v>51.374099999999999</v>
      </c>
      <c r="I568" s="303">
        <v>7.6666100000000004</v>
      </c>
      <c r="J568" s="303">
        <v>-22.171330999999999</v>
      </c>
      <c r="K568" s="303">
        <v>-21.322012000000001</v>
      </c>
      <c r="L568" s="303">
        <v>1004.5</v>
      </c>
      <c r="M568" s="303">
        <v>115.499898</v>
      </c>
      <c r="N568" s="303">
        <v>17913.55947</v>
      </c>
      <c r="O568" s="303">
        <v>17924.720710000001</v>
      </c>
      <c r="P568" s="305">
        <v>2110.9088889999998</v>
      </c>
      <c r="Q568" s="299">
        <f t="shared" si="4"/>
        <v>2101.072453769556</v>
      </c>
      <c r="R568" s="300" t="s">
        <v>787</v>
      </c>
      <c r="S568" s="300" t="s">
        <v>12</v>
      </c>
      <c r="T568" s="305" t="s">
        <v>530</v>
      </c>
      <c r="U568" s="305">
        <v>15</v>
      </c>
      <c r="V568" s="305">
        <v>5</v>
      </c>
      <c r="W568" s="303">
        <v>0.7</v>
      </c>
      <c r="X568" s="303">
        <v>0.7</v>
      </c>
      <c r="Y568" s="303">
        <v>0.7</v>
      </c>
      <c r="Z568" s="303">
        <v>1700</v>
      </c>
      <c r="AA568" s="303" t="s">
        <v>531</v>
      </c>
      <c r="AB568" s="303">
        <v>0.85</v>
      </c>
      <c r="AC568" s="303" t="s">
        <v>532</v>
      </c>
      <c r="AD568" s="303" t="s">
        <v>533</v>
      </c>
      <c r="AE568" s="303">
        <v>220</v>
      </c>
      <c r="AF568" s="324"/>
      <c r="AG568" s="325"/>
    </row>
    <row r="569" spans="1:33" ht="15" customHeight="1">
      <c r="A569" s="302" t="s">
        <v>629</v>
      </c>
      <c r="B569" s="303">
        <v>9</v>
      </c>
      <c r="C569" s="303">
        <v>418</v>
      </c>
      <c r="D569" s="303" t="s">
        <v>603</v>
      </c>
      <c r="E569" s="303">
        <v>1.5</v>
      </c>
      <c r="F569" s="304">
        <v>45421.652777777781</v>
      </c>
      <c r="G569" s="303">
        <v>1</v>
      </c>
      <c r="H569" s="303">
        <v>51.374099999999999</v>
      </c>
      <c r="I569" s="303">
        <v>7.6976899999999997</v>
      </c>
      <c r="J569" s="303">
        <v>-22.249949999999998</v>
      </c>
      <c r="K569" s="303">
        <v>-21.411269000000001</v>
      </c>
      <c r="L569" s="303">
        <v>1006.68</v>
      </c>
      <c r="M569" s="303">
        <v>130.00098600000001</v>
      </c>
      <c r="N569" s="303">
        <v>17863.876</v>
      </c>
      <c r="O569" s="303">
        <v>17924.720710000001</v>
      </c>
      <c r="P569" s="305">
        <v>2110.9088889999998</v>
      </c>
      <c r="Q569" s="299">
        <f t="shared" si="4"/>
        <v>2101.072453769556</v>
      </c>
      <c r="R569" s="300" t="s">
        <v>787</v>
      </c>
      <c r="S569" s="300" t="s">
        <v>12</v>
      </c>
      <c r="T569" s="305" t="s">
        <v>545</v>
      </c>
      <c r="U569" s="305">
        <v>15</v>
      </c>
      <c r="V569" s="305">
        <v>5</v>
      </c>
      <c r="W569" s="303">
        <v>0.7</v>
      </c>
      <c r="X569" s="303">
        <v>0.7</v>
      </c>
      <c r="Y569" s="303">
        <v>0.7</v>
      </c>
      <c r="Z569" s="303">
        <v>1700</v>
      </c>
      <c r="AA569" s="303" t="s">
        <v>531</v>
      </c>
      <c r="AB569" s="303">
        <v>0.85</v>
      </c>
      <c r="AC569" s="303" t="s">
        <v>532</v>
      </c>
      <c r="AD569" s="303" t="s">
        <v>533</v>
      </c>
      <c r="AE569" s="303">
        <v>220</v>
      </c>
      <c r="AF569" s="324"/>
      <c r="AG569" s="325"/>
    </row>
    <row r="570" spans="1:33" ht="15" customHeight="1">
      <c r="A570" s="302" t="s">
        <v>630</v>
      </c>
      <c r="B570" s="303">
        <v>9</v>
      </c>
      <c r="C570" s="303">
        <v>418</v>
      </c>
      <c r="D570" s="303" t="s">
        <v>603</v>
      </c>
      <c r="E570" s="303">
        <v>1.5</v>
      </c>
      <c r="F570" s="304">
        <v>45421.65625</v>
      </c>
      <c r="G570" s="303">
        <v>1</v>
      </c>
      <c r="H570" s="303">
        <v>51.370800000000003</v>
      </c>
      <c r="I570" s="303">
        <v>7.7911200000000003</v>
      </c>
      <c r="J570" s="303">
        <v>-22.326830999999999</v>
      </c>
      <c r="K570" s="303">
        <v>-21.520281000000001</v>
      </c>
      <c r="L570" s="303">
        <v>1000.37</v>
      </c>
      <c r="M570" s="303">
        <v>153.50072499999999</v>
      </c>
      <c r="N570" s="303">
        <v>17943.619360000001</v>
      </c>
      <c r="O570" s="303">
        <v>17924.720710000001</v>
      </c>
      <c r="P570" s="305">
        <v>2110.9088889999998</v>
      </c>
      <c r="Q570" s="299">
        <f t="shared" si="4"/>
        <v>2101.072453769556</v>
      </c>
      <c r="R570" s="300" t="s">
        <v>787</v>
      </c>
      <c r="S570" s="300" t="s">
        <v>12</v>
      </c>
      <c r="T570" s="305" t="s">
        <v>530</v>
      </c>
      <c r="U570" s="305">
        <v>15</v>
      </c>
      <c r="V570" s="305">
        <v>5</v>
      </c>
      <c r="W570" s="303">
        <v>0.7</v>
      </c>
      <c r="X570" s="303">
        <v>0.7</v>
      </c>
      <c r="Y570" s="303">
        <v>0.7</v>
      </c>
      <c r="Z570" s="303">
        <v>1700</v>
      </c>
      <c r="AA570" s="303" t="s">
        <v>531</v>
      </c>
      <c r="AB570" s="303">
        <v>0.85</v>
      </c>
      <c r="AC570" s="303" t="s">
        <v>532</v>
      </c>
      <c r="AD570" s="303" t="s">
        <v>533</v>
      </c>
      <c r="AE570" s="303">
        <v>220</v>
      </c>
      <c r="AF570" s="324"/>
      <c r="AG570" s="325"/>
    </row>
    <row r="571" spans="1:33" ht="15" customHeight="1">
      <c r="A571" s="318" t="s">
        <v>632</v>
      </c>
      <c r="B571" s="319">
        <v>10</v>
      </c>
      <c r="C571" s="319">
        <v>535</v>
      </c>
      <c r="D571" s="319" t="s">
        <v>561</v>
      </c>
      <c r="E571" s="319">
        <v>1.5</v>
      </c>
      <c r="F571" s="320">
        <v>45421.661111111112</v>
      </c>
      <c r="G571" s="319">
        <v>1</v>
      </c>
      <c r="H571" s="319">
        <v>51.377400000000002</v>
      </c>
      <c r="I571" s="319">
        <v>7.5240499999999999</v>
      </c>
      <c r="J571" s="319">
        <v>-22.178469</v>
      </c>
      <c r="K571" s="319">
        <v>-21.348994000000001</v>
      </c>
      <c r="L571" s="319">
        <v>570.80499999999995</v>
      </c>
      <c r="M571" s="319">
        <v>93.499699000000007</v>
      </c>
      <c r="N571" s="319">
        <v>10573.299779999999</v>
      </c>
      <c r="O571" s="319">
        <v>10556.240400000001</v>
      </c>
      <c r="P571" s="321">
        <v>1249.394344</v>
      </c>
      <c r="Q571" s="299">
        <f t="shared" si="4"/>
        <v>1243.5724032208027</v>
      </c>
      <c r="R571" s="300" t="s">
        <v>787</v>
      </c>
      <c r="S571" s="300" t="s">
        <v>582</v>
      </c>
      <c r="T571" s="305" t="s">
        <v>545</v>
      </c>
      <c r="U571" s="305">
        <v>15</v>
      </c>
      <c r="V571" s="305">
        <v>5</v>
      </c>
      <c r="W571" s="303">
        <v>0.7</v>
      </c>
      <c r="X571" s="303">
        <v>0.7</v>
      </c>
      <c r="Y571" s="303">
        <v>0.7</v>
      </c>
      <c r="Z571" s="303">
        <v>1700</v>
      </c>
      <c r="AA571" s="303" t="s">
        <v>531</v>
      </c>
      <c r="AB571" s="303">
        <v>0.85</v>
      </c>
      <c r="AC571" s="303" t="s">
        <v>532</v>
      </c>
      <c r="AD571" s="303" t="s">
        <v>533</v>
      </c>
      <c r="AE571" s="303">
        <v>220</v>
      </c>
      <c r="AF571" s="324"/>
      <c r="AG571" s="325"/>
    </row>
    <row r="572" spans="1:33" ht="15" customHeight="1">
      <c r="A572" s="318" t="s">
        <v>633</v>
      </c>
      <c r="B572" s="319">
        <v>10</v>
      </c>
      <c r="C572" s="319">
        <v>535</v>
      </c>
      <c r="D572" s="319" t="s">
        <v>561</v>
      </c>
      <c r="E572" s="319">
        <v>1.5</v>
      </c>
      <c r="F572" s="320">
        <v>45421.664583333331</v>
      </c>
      <c r="G572" s="319">
        <v>1</v>
      </c>
      <c r="H572" s="319">
        <v>51.370800000000003</v>
      </c>
      <c r="I572" s="319">
        <v>7.6539200000000003</v>
      </c>
      <c r="J572" s="319">
        <v>-22.281675</v>
      </c>
      <c r="K572" s="319">
        <v>-21.436955999999999</v>
      </c>
      <c r="L572" s="319">
        <v>571.63800000000003</v>
      </c>
      <c r="M572" s="319">
        <v>99.498976999999996</v>
      </c>
      <c r="N572" s="319">
        <v>10552.66358</v>
      </c>
      <c r="O572" s="319">
        <v>10556.240400000001</v>
      </c>
      <c r="P572" s="321">
        <v>1249.394344</v>
      </c>
      <c r="Q572" s="299">
        <f t="shared" si="4"/>
        <v>1243.5724032208027</v>
      </c>
      <c r="R572" s="300" t="s">
        <v>787</v>
      </c>
      <c r="S572" s="300" t="s">
        <v>582</v>
      </c>
      <c r="T572" s="305" t="s">
        <v>530</v>
      </c>
      <c r="U572" s="305">
        <v>15</v>
      </c>
      <c r="V572" s="305">
        <v>5</v>
      </c>
      <c r="W572" s="303">
        <v>0.7</v>
      </c>
      <c r="X572" s="303">
        <v>0.7</v>
      </c>
      <c r="Y572" s="303">
        <v>0.7</v>
      </c>
      <c r="Z572" s="303">
        <v>1700</v>
      </c>
      <c r="AA572" s="303" t="s">
        <v>531</v>
      </c>
      <c r="AB572" s="303">
        <v>0.85</v>
      </c>
      <c r="AC572" s="303" t="s">
        <v>532</v>
      </c>
      <c r="AD572" s="303" t="s">
        <v>533</v>
      </c>
      <c r="AE572" s="303">
        <v>220</v>
      </c>
      <c r="AF572" s="324"/>
      <c r="AG572" s="325"/>
    </row>
    <row r="573" spans="1:33" ht="15" customHeight="1">
      <c r="A573" s="318" t="s">
        <v>634</v>
      </c>
      <c r="B573" s="319">
        <v>10</v>
      </c>
      <c r="C573" s="319">
        <v>535</v>
      </c>
      <c r="D573" s="319" t="s">
        <v>561</v>
      </c>
      <c r="E573" s="319">
        <v>1.5</v>
      </c>
      <c r="F573" s="320">
        <v>45421.667361111111</v>
      </c>
      <c r="G573" s="319">
        <v>1</v>
      </c>
      <c r="H573" s="319">
        <v>51.374099999999999</v>
      </c>
      <c r="I573" s="319">
        <v>7.6451399999999996</v>
      </c>
      <c r="J573" s="319">
        <v>-22.340506000000001</v>
      </c>
      <c r="K573" s="319">
        <v>-21.507344</v>
      </c>
      <c r="L573" s="319">
        <v>570.423</v>
      </c>
      <c r="M573" s="319">
        <v>94.500715</v>
      </c>
      <c r="N573" s="319">
        <v>10552.460650000001</v>
      </c>
      <c r="O573" s="319">
        <v>10556.240400000001</v>
      </c>
      <c r="P573" s="321">
        <v>1249.394344</v>
      </c>
      <c r="Q573" s="299">
        <f t="shared" si="4"/>
        <v>1243.5724032208027</v>
      </c>
      <c r="R573" s="300" t="s">
        <v>787</v>
      </c>
      <c r="S573" s="300" t="s">
        <v>582</v>
      </c>
      <c r="T573" s="305" t="s">
        <v>530</v>
      </c>
      <c r="U573" s="305">
        <v>15</v>
      </c>
      <c r="V573" s="305">
        <v>5</v>
      </c>
      <c r="W573" s="303">
        <v>0.7</v>
      </c>
      <c r="X573" s="303">
        <v>0.7</v>
      </c>
      <c r="Y573" s="303">
        <v>0.7</v>
      </c>
      <c r="Z573" s="303">
        <v>1700</v>
      </c>
      <c r="AA573" s="303" t="s">
        <v>531</v>
      </c>
      <c r="AB573" s="303">
        <v>0.85</v>
      </c>
      <c r="AC573" s="303" t="s">
        <v>532</v>
      </c>
      <c r="AD573" s="303" t="s">
        <v>533</v>
      </c>
      <c r="AE573" s="303">
        <v>220</v>
      </c>
      <c r="AF573" s="324"/>
      <c r="AG573" s="325"/>
    </row>
    <row r="574" spans="1:33" ht="15" customHeight="1">
      <c r="A574" s="318" t="s">
        <v>635</v>
      </c>
      <c r="B574" s="319">
        <v>10</v>
      </c>
      <c r="C574" s="319">
        <v>535</v>
      </c>
      <c r="D574" s="319" t="s">
        <v>561</v>
      </c>
      <c r="E574" s="319">
        <v>1.5</v>
      </c>
      <c r="F574" s="320">
        <v>45421.67083333333</v>
      </c>
      <c r="G574" s="319">
        <v>1</v>
      </c>
      <c r="H574" s="319">
        <v>51.370800000000003</v>
      </c>
      <c r="I574" s="319">
        <v>7.88314</v>
      </c>
      <c r="J574" s="319">
        <v>-22.274149999999999</v>
      </c>
      <c r="K574" s="319">
        <v>-21.4313</v>
      </c>
      <c r="L574" s="319">
        <v>568.46600000000001</v>
      </c>
      <c r="M574" s="319">
        <v>139.00012699999999</v>
      </c>
      <c r="N574" s="319">
        <v>10592.46703</v>
      </c>
      <c r="O574" s="319">
        <v>10556.240400000001</v>
      </c>
      <c r="P574" s="321">
        <v>1249.394344</v>
      </c>
      <c r="Q574" s="299">
        <f t="shared" si="4"/>
        <v>1243.5724032208027</v>
      </c>
      <c r="R574" s="300" t="s">
        <v>787</v>
      </c>
      <c r="S574" s="300" t="s">
        <v>582</v>
      </c>
      <c r="T574" s="305" t="s">
        <v>545</v>
      </c>
      <c r="U574" s="305">
        <v>15</v>
      </c>
      <c r="V574" s="305">
        <v>5</v>
      </c>
      <c r="W574" s="303">
        <v>0.7</v>
      </c>
      <c r="X574" s="303">
        <v>0.7</v>
      </c>
      <c r="Y574" s="303">
        <v>0.7</v>
      </c>
      <c r="Z574" s="303">
        <v>1700</v>
      </c>
      <c r="AA574" s="303" t="s">
        <v>531</v>
      </c>
      <c r="AB574" s="303">
        <v>0.85</v>
      </c>
      <c r="AC574" s="303" t="s">
        <v>532</v>
      </c>
      <c r="AD574" s="303" t="s">
        <v>533</v>
      </c>
      <c r="AE574" s="303">
        <v>220</v>
      </c>
      <c r="AF574" s="324"/>
      <c r="AG574" s="325"/>
    </row>
    <row r="575" spans="1:33" ht="15" customHeight="1">
      <c r="A575" s="318" t="s">
        <v>636</v>
      </c>
      <c r="B575" s="319">
        <v>10</v>
      </c>
      <c r="C575" s="319">
        <v>535</v>
      </c>
      <c r="D575" s="319" t="s">
        <v>561</v>
      </c>
      <c r="E575" s="319">
        <v>1.5</v>
      </c>
      <c r="F575" s="320">
        <v>45421.674305555556</v>
      </c>
      <c r="G575" s="319">
        <v>1</v>
      </c>
      <c r="H575" s="319">
        <v>51.377400000000002</v>
      </c>
      <c r="I575" s="319">
        <v>7.6518899999999999</v>
      </c>
      <c r="J575" s="319">
        <v>-22.308613000000001</v>
      </c>
      <c r="K575" s="319">
        <v>-21.48255</v>
      </c>
      <c r="L575" s="319">
        <v>569.11300000000006</v>
      </c>
      <c r="M575" s="319">
        <v>96.499864000000002</v>
      </c>
      <c r="N575" s="319">
        <v>10563.59698</v>
      </c>
      <c r="O575" s="319">
        <v>10556.240400000001</v>
      </c>
      <c r="P575" s="321">
        <v>1249.394344</v>
      </c>
      <c r="Q575" s="299">
        <f t="shared" si="4"/>
        <v>1243.5724032208027</v>
      </c>
      <c r="R575" s="300" t="s">
        <v>787</v>
      </c>
      <c r="S575" s="300" t="s">
        <v>582</v>
      </c>
      <c r="T575" s="305" t="s">
        <v>530</v>
      </c>
      <c r="U575" s="305">
        <v>15</v>
      </c>
      <c r="V575" s="305">
        <v>5</v>
      </c>
      <c r="W575" s="303">
        <v>0.7</v>
      </c>
      <c r="X575" s="303">
        <v>0.7</v>
      </c>
      <c r="Y575" s="303">
        <v>0.7</v>
      </c>
      <c r="Z575" s="303">
        <v>1700</v>
      </c>
      <c r="AA575" s="303" t="s">
        <v>531</v>
      </c>
      <c r="AB575" s="303">
        <v>0.85</v>
      </c>
      <c r="AC575" s="303" t="s">
        <v>532</v>
      </c>
      <c r="AD575" s="303" t="s">
        <v>533</v>
      </c>
      <c r="AE575" s="303">
        <v>220</v>
      </c>
      <c r="AF575" s="324"/>
      <c r="AG575" s="325"/>
    </row>
    <row r="576" spans="1:33" ht="15" customHeight="1">
      <c r="A576" s="308" t="s">
        <v>642</v>
      </c>
      <c r="B576" s="309">
        <v>11</v>
      </c>
      <c r="C576" s="309" t="s">
        <v>788</v>
      </c>
      <c r="D576" s="309" t="s">
        <v>529</v>
      </c>
      <c r="E576" s="309">
        <v>1.5</v>
      </c>
      <c r="F576" s="310">
        <v>45421.678472222222</v>
      </c>
      <c r="G576" s="309">
        <v>1</v>
      </c>
      <c r="H576" s="309">
        <v>51.374099999999999</v>
      </c>
      <c r="I576" s="309">
        <v>7.88307</v>
      </c>
      <c r="J576" s="309">
        <v>-22.333255999999999</v>
      </c>
      <c r="K576" s="309">
        <v>-21.498912000000001</v>
      </c>
      <c r="L576" s="309">
        <v>980.55</v>
      </c>
      <c r="M576" s="309">
        <v>117.50019</v>
      </c>
      <c r="N576" s="309">
        <v>17613.311979999999</v>
      </c>
      <c r="O576" s="309">
        <v>17625.270970000001</v>
      </c>
      <c r="P576" s="311">
        <v>2075.626835</v>
      </c>
      <c r="Q576" s="299">
        <f t="shared" si="4"/>
        <v>2065.9548074523209</v>
      </c>
      <c r="R576" s="300" t="s">
        <v>787</v>
      </c>
      <c r="S576" s="300" t="s">
        <v>12</v>
      </c>
      <c r="T576" s="305" t="s">
        <v>530</v>
      </c>
      <c r="U576" s="305">
        <v>15</v>
      </c>
      <c r="V576" s="305">
        <v>5</v>
      </c>
      <c r="W576" s="303">
        <v>0.7</v>
      </c>
      <c r="X576" s="303">
        <v>0.7</v>
      </c>
      <c r="Y576" s="303">
        <v>0.7</v>
      </c>
      <c r="Z576" s="303">
        <v>1700</v>
      </c>
      <c r="AA576" s="303" t="s">
        <v>531</v>
      </c>
      <c r="AB576" s="303">
        <v>0.85</v>
      </c>
      <c r="AC576" s="303" t="s">
        <v>532</v>
      </c>
      <c r="AD576" s="303" t="s">
        <v>533</v>
      </c>
      <c r="AE576" s="303">
        <v>220</v>
      </c>
      <c r="AF576" s="324"/>
      <c r="AG576" s="325"/>
    </row>
    <row r="577" spans="1:33" ht="15" customHeight="1">
      <c r="A577" s="308" t="s">
        <v>643</v>
      </c>
      <c r="B577" s="309">
        <v>11</v>
      </c>
      <c r="C577" s="309" t="s">
        <v>788</v>
      </c>
      <c r="D577" s="309" t="s">
        <v>529</v>
      </c>
      <c r="E577" s="309">
        <v>1.5</v>
      </c>
      <c r="F577" s="310">
        <v>45421.681944444441</v>
      </c>
      <c r="G577" s="309">
        <v>1</v>
      </c>
      <c r="H577" s="309">
        <v>51.374099999999999</v>
      </c>
      <c r="I577" s="309">
        <v>7.8351499999999996</v>
      </c>
      <c r="J577" s="309">
        <v>-22.295862</v>
      </c>
      <c r="K577" s="309">
        <v>-21.453268999999999</v>
      </c>
      <c r="L577" s="309">
        <v>992.4</v>
      </c>
      <c r="M577" s="309">
        <v>123.0003</v>
      </c>
      <c r="N577" s="309">
        <v>17622.385719999998</v>
      </c>
      <c r="O577" s="309">
        <v>17625.270970000001</v>
      </c>
      <c r="P577" s="311">
        <v>2075.626835</v>
      </c>
      <c r="Q577" s="299">
        <f t="shared" si="4"/>
        <v>2065.9548074523209</v>
      </c>
      <c r="R577" s="300" t="s">
        <v>787</v>
      </c>
      <c r="S577" s="300" t="s">
        <v>12</v>
      </c>
      <c r="T577" s="305" t="s">
        <v>530</v>
      </c>
      <c r="U577" s="305">
        <v>15</v>
      </c>
      <c r="V577" s="305">
        <v>5</v>
      </c>
      <c r="W577" s="303">
        <v>0.7</v>
      </c>
      <c r="X577" s="303">
        <v>0.7</v>
      </c>
      <c r="Y577" s="303">
        <v>0.7</v>
      </c>
      <c r="Z577" s="303">
        <v>1700</v>
      </c>
      <c r="AA577" s="303" t="s">
        <v>531</v>
      </c>
      <c r="AB577" s="303">
        <v>0.85</v>
      </c>
      <c r="AC577" s="303" t="s">
        <v>532</v>
      </c>
      <c r="AD577" s="303" t="s">
        <v>533</v>
      </c>
      <c r="AE577" s="303">
        <v>220</v>
      </c>
      <c r="AF577" s="324"/>
      <c r="AG577" s="325"/>
    </row>
    <row r="578" spans="1:33" ht="15" customHeight="1">
      <c r="A578" s="308" t="s">
        <v>644</v>
      </c>
      <c r="B578" s="309">
        <v>11</v>
      </c>
      <c r="C578" s="309" t="s">
        <v>788</v>
      </c>
      <c r="D578" s="309" t="s">
        <v>529</v>
      </c>
      <c r="E578" s="309">
        <v>1.5</v>
      </c>
      <c r="F578" s="310">
        <v>45421.685416666667</v>
      </c>
      <c r="G578" s="309">
        <v>1</v>
      </c>
      <c r="H578" s="309">
        <v>51.370800000000003</v>
      </c>
      <c r="I578" s="309">
        <v>7.7885999999999997</v>
      </c>
      <c r="J578" s="309">
        <v>-22.300049999999999</v>
      </c>
      <c r="K578" s="309">
        <v>-21.462312000000001</v>
      </c>
      <c r="L578" s="309">
        <v>977.423</v>
      </c>
      <c r="M578" s="309">
        <v>124.49986</v>
      </c>
      <c r="N578" s="309">
        <v>17661.114979999998</v>
      </c>
      <c r="O578" s="309">
        <v>17625.270970000001</v>
      </c>
      <c r="P578" s="311">
        <v>2075.626835</v>
      </c>
      <c r="Q578" s="299">
        <f t="shared" si="4"/>
        <v>2065.9548074523209</v>
      </c>
      <c r="R578" s="300" t="s">
        <v>787</v>
      </c>
      <c r="S578" s="300" t="s">
        <v>12</v>
      </c>
      <c r="T578" s="305" t="s">
        <v>545</v>
      </c>
      <c r="U578" s="305">
        <v>15</v>
      </c>
      <c r="V578" s="305">
        <v>5</v>
      </c>
      <c r="W578" s="303">
        <v>0.7</v>
      </c>
      <c r="X578" s="303">
        <v>0.7</v>
      </c>
      <c r="Y578" s="303">
        <v>0.7</v>
      </c>
      <c r="Z578" s="303">
        <v>1700</v>
      </c>
      <c r="AA578" s="303" t="s">
        <v>531</v>
      </c>
      <c r="AB578" s="303">
        <v>0.85</v>
      </c>
      <c r="AC578" s="303" t="s">
        <v>532</v>
      </c>
      <c r="AD578" s="303" t="s">
        <v>533</v>
      </c>
      <c r="AE578" s="303">
        <v>220</v>
      </c>
      <c r="AF578" s="324"/>
      <c r="AG578" s="325"/>
    </row>
    <row r="579" spans="1:33" ht="15" customHeight="1">
      <c r="A579" s="308" t="s">
        <v>645</v>
      </c>
      <c r="B579" s="309">
        <v>11</v>
      </c>
      <c r="C579" s="309" t="s">
        <v>788</v>
      </c>
      <c r="D579" s="309" t="s">
        <v>529</v>
      </c>
      <c r="E579" s="309">
        <v>1.5</v>
      </c>
      <c r="F579" s="310">
        <v>45421.688888888886</v>
      </c>
      <c r="G579" s="309">
        <v>1</v>
      </c>
      <c r="H579" s="309">
        <v>51.374099999999999</v>
      </c>
      <c r="I579" s="309">
        <v>7.6414</v>
      </c>
      <c r="J579" s="309">
        <v>-22.271462</v>
      </c>
      <c r="K579" s="309">
        <v>-21.477913000000001</v>
      </c>
      <c r="L579" s="309">
        <v>990.35500000000002</v>
      </c>
      <c r="M579" s="309">
        <v>140.999166</v>
      </c>
      <c r="N579" s="309">
        <v>17640.11522</v>
      </c>
      <c r="O579" s="309">
        <v>17625.270970000001</v>
      </c>
      <c r="P579" s="311">
        <v>2075.626835</v>
      </c>
      <c r="Q579" s="299">
        <f t="shared" si="4"/>
        <v>2065.9548074523209</v>
      </c>
      <c r="R579" s="300" t="s">
        <v>787</v>
      </c>
      <c r="S579" s="300" t="s">
        <v>12</v>
      </c>
      <c r="T579" s="305" t="s">
        <v>530</v>
      </c>
      <c r="U579" s="305">
        <v>15</v>
      </c>
      <c r="V579" s="305">
        <v>5</v>
      </c>
      <c r="W579" s="303">
        <v>0.7</v>
      </c>
      <c r="X579" s="303">
        <v>0.7</v>
      </c>
      <c r="Y579" s="303">
        <v>0.7</v>
      </c>
      <c r="Z579" s="303">
        <v>1700</v>
      </c>
      <c r="AA579" s="303" t="s">
        <v>531</v>
      </c>
      <c r="AB579" s="303">
        <v>0.85</v>
      </c>
      <c r="AC579" s="303" t="s">
        <v>532</v>
      </c>
      <c r="AD579" s="303" t="s">
        <v>533</v>
      </c>
      <c r="AE579" s="303">
        <v>220</v>
      </c>
      <c r="AF579" s="324"/>
      <c r="AG579" s="325"/>
    </row>
    <row r="580" spans="1:33" ht="15" customHeight="1">
      <c r="A580" s="302" t="s">
        <v>647</v>
      </c>
      <c r="B580" s="303">
        <v>12</v>
      </c>
      <c r="C580" s="303">
        <v>560</v>
      </c>
      <c r="D580" s="303" t="s">
        <v>561</v>
      </c>
      <c r="E580" s="303">
        <v>1.5</v>
      </c>
      <c r="F580" s="304">
        <v>45421.693749999999</v>
      </c>
      <c r="G580" s="303">
        <v>1</v>
      </c>
      <c r="H580" s="303">
        <v>51.374099999999999</v>
      </c>
      <c r="I580" s="303">
        <v>7.6223799999999997</v>
      </c>
      <c r="J580" s="303">
        <v>-22.315349999999999</v>
      </c>
      <c r="K580" s="303">
        <v>-21.467694000000002</v>
      </c>
      <c r="L580" s="303">
        <v>1000.68</v>
      </c>
      <c r="M580" s="303">
        <v>130.50054299999999</v>
      </c>
      <c r="N580" s="303">
        <v>17873.53341</v>
      </c>
      <c r="O580" s="303">
        <v>17861.977719999999</v>
      </c>
      <c r="P580" s="305">
        <v>2103.5106609999998</v>
      </c>
      <c r="Q580" s="299">
        <f t="shared" si="4"/>
        <v>2093.7087001094578</v>
      </c>
      <c r="R580" s="300" t="s">
        <v>787</v>
      </c>
      <c r="S580" s="300" t="s">
        <v>12</v>
      </c>
      <c r="T580" s="305" t="s">
        <v>530</v>
      </c>
      <c r="U580" s="305">
        <v>15</v>
      </c>
      <c r="V580" s="305">
        <v>5</v>
      </c>
      <c r="W580" s="303">
        <v>0.7</v>
      </c>
      <c r="X580" s="303">
        <v>0.7</v>
      </c>
      <c r="Y580" s="303">
        <v>0.7</v>
      </c>
      <c r="Z580" s="303">
        <v>1700</v>
      </c>
      <c r="AA580" s="303" t="s">
        <v>531</v>
      </c>
      <c r="AB580" s="303">
        <v>0.85</v>
      </c>
      <c r="AC580" s="303" t="s">
        <v>532</v>
      </c>
      <c r="AD580" s="303" t="s">
        <v>533</v>
      </c>
      <c r="AE580" s="303">
        <v>220</v>
      </c>
      <c r="AF580" s="324"/>
      <c r="AG580" s="325"/>
    </row>
    <row r="581" spans="1:33" ht="15" customHeight="1">
      <c r="A581" s="302" t="s">
        <v>648</v>
      </c>
      <c r="B581" s="303">
        <v>12</v>
      </c>
      <c r="C581" s="303">
        <v>560</v>
      </c>
      <c r="D581" s="303" t="s">
        <v>561</v>
      </c>
      <c r="E581" s="303">
        <v>1.5</v>
      </c>
      <c r="F581" s="304">
        <v>45421.697222222225</v>
      </c>
      <c r="G581" s="303">
        <v>1</v>
      </c>
      <c r="H581" s="303">
        <v>51.3675</v>
      </c>
      <c r="I581" s="303">
        <v>7.6135900000000003</v>
      </c>
      <c r="J581" s="303">
        <v>-22.320343999999999</v>
      </c>
      <c r="K581" s="303">
        <v>-21.483174999999999</v>
      </c>
      <c r="L581" s="303">
        <v>1001.67</v>
      </c>
      <c r="M581" s="303">
        <v>120.999402</v>
      </c>
      <c r="N581" s="303">
        <v>17847.748920000002</v>
      </c>
      <c r="O581" s="303">
        <v>17861.977719999999</v>
      </c>
      <c r="P581" s="305">
        <v>2103.5106609999998</v>
      </c>
      <c r="Q581" s="299">
        <f t="shared" si="4"/>
        <v>2093.7087001094578</v>
      </c>
      <c r="R581" s="300" t="s">
        <v>787</v>
      </c>
      <c r="S581" s="300" t="s">
        <v>12</v>
      </c>
      <c r="T581" s="305" t="s">
        <v>530</v>
      </c>
      <c r="U581" s="305">
        <v>15</v>
      </c>
      <c r="V581" s="305">
        <v>5</v>
      </c>
      <c r="W581" s="303">
        <v>0.7</v>
      </c>
      <c r="X581" s="303">
        <v>0.7</v>
      </c>
      <c r="Y581" s="303">
        <v>0.7</v>
      </c>
      <c r="Z581" s="303">
        <v>1700</v>
      </c>
      <c r="AA581" s="303" t="s">
        <v>531</v>
      </c>
      <c r="AB581" s="303">
        <v>0.85</v>
      </c>
      <c r="AC581" s="303" t="s">
        <v>532</v>
      </c>
      <c r="AD581" s="303" t="s">
        <v>533</v>
      </c>
      <c r="AE581" s="303">
        <v>220</v>
      </c>
      <c r="AF581" s="324"/>
      <c r="AG581" s="325"/>
    </row>
    <row r="582" spans="1:33" ht="15" customHeight="1">
      <c r="A582" s="302" t="s">
        <v>649</v>
      </c>
      <c r="B582" s="303">
        <v>12</v>
      </c>
      <c r="C582" s="303">
        <v>560</v>
      </c>
      <c r="D582" s="303" t="s">
        <v>561</v>
      </c>
      <c r="E582" s="303">
        <v>1.5</v>
      </c>
      <c r="F582" s="304">
        <v>45421.700694444444</v>
      </c>
      <c r="G582" s="303">
        <v>1</v>
      </c>
      <c r="H582" s="303">
        <v>51.374099999999999</v>
      </c>
      <c r="I582" s="303">
        <v>7.5337800000000001</v>
      </c>
      <c r="J582" s="303">
        <v>-22.314819</v>
      </c>
      <c r="K582" s="303">
        <v>-21.465150000000001</v>
      </c>
      <c r="L582" s="303">
        <v>1015.35</v>
      </c>
      <c r="M582" s="303">
        <v>109.999787</v>
      </c>
      <c r="N582" s="303">
        <v>17864.650829999999</v>
      </c>
      <c r="O582" s="303">
        <v>17861.977719999999</v>
      </c>
      <c r="P582" s="305">
        <v>2103.5106609999998</v>
      </c>
      <c r="Q582" s="299">
        <f t="shared" si="4"/>
        <v>2093.7087001094578</v>
      </c>
      <c r="R582" s="300" t="s">
        <v>787</v>
      </c>
      <c r="S582" s="300" t="s">
        <v>12</v>
      </c>
      <c r="T582" s="305" t="s">
        <v>530</v>
      </c>
      <c r="U582" s="305">
        <v>15</v>
      </c>
      <c r="V582" s="305">
        <v>5</v>
      </c>
      <c r="W582" s="303">
        <v>0.7</v>
      </c>
      <c r="X582" s="303">
        <v>0.7</v>
      </c>
      <c r="Y582" s="303">
        <v>0.7</v>
      </c>
      <c r="Z582" s="303">
        <v>1700</v>
      </c>
      <c r="AA582" s="303" t="s">
        <v>531</v>
      </c>
      <c r="AB582" s="303">
        <v>0.85</v>
      </c>
      <c r="AC582" s="303" t="s">
        <v>532</v>
      </c>
      <c r="AD582" s="303" t="s">
        <v>533</v>
      </c>
      <c r="AE582" s="303">
        <v>220</v>
      </c>
      <c r="AF582" s="324"/>
      <c r="AG582" s="325"/>
    </row>
    <row r="583" spans="1:33" ht="15" customHeight="1">
      <c r="A583" s="302" t="s">
        <v>650</v>
      </c>
      <c r="B583" s="303">
        <v>13</v>
      </c>
      <c r="C583" s="303">
        <v>561</v>
      </c>
      <c r="D583" s="303" t="s">
        <v>565</v>
      </c>
      <c r="E583" s="303">
        <v>1.5</v>
      </c>
      <c r="F583" s="304">
        <v>45421.704861111109</v>
      </c>
      <c r="G583" s="303">
        <v>1</v>
      </c>
      <c r="H583" s="303">
        <v>51.374099999999999</v>
      </c>
      <c r="I583" s="303">
        <v>7.55436</v>
      </c>
      <c r="J583" s="303">
        <v>-22.257838</v>
      </c>
      <c r="K583" s="303">
        <v>-21.456150000000001</v>
      </c>
      <c r="L583" s="303">
        <v>999.29300000000001</v>
      </c>
      <c r="M583" s="303">
        <v>129.49856600000001</v>
      </c>
      <c r="N583" s="303">
        <v>17885.041120000002</v>
      </c>
      <c r="O583" s="303">
        <v>17888.385050000001</v>
      </c>
      <c r="P583" s="305">
        <v>2106.624433</v>
      </c>
      <c r="Q583" s="299">
        <f t="shared" si="4"/>
        <v>2096.8079625222563</v>
      </c>
      <c r="R583" s="300" t="s">
        <v>787</v>
      </c>
      <c r="S583" s="300" t="s">
        <v>12</v>
      </c>
      <c r="T583" s="305" t="s">
        <v>530</v>
      </c>
      <c r="U583" s="305">
        <v>15</v>
      </c>
      <c r="V583" s="305">
        <v>5</v>
      </c>
      <c r="W583" s="303">
        <v>0.7</v>
      </c>
      <c r="X583" s="303">
        <v>0.7</v>
      </c>
      <c r="Y583" s="303">
        <v>0.7</v>
      </c>
      <c r="Z583" s="303">
        <v>1700</v>
      </c>
      <c r="AA583" s="303" t="s">
        <v>531</v>
      </c>
      <c r="AB583" s="303">
        <v>0.85</v>
      </c>
      <c r="AC583" s="303" t="s">
        <v>532</v>
      </c>
      <c r="AD583" s="303" t="s">
        <v>533</v>
      </c>
      <c r="AE583" s="303">
        <v>220</v>
      </c>
      <c r="AF583" s="324"/>
      <c r="AG583" s="325"/>
    </row>
    <row r="584" spans="1:33" ht="15" customHeight="1">
      <c r="A584" s="302" t="s">
        <v>651</v>
      </c>
      <c r="B584" s="303">
        <v>13</v>
      </c>
      <c r="C584" s="303">
        <v>561</v>
      </c>
      <c r="D584" s="303" t="s">
        <v>565</v>
      </c>
      <c r="E584" s="303">
        <v>1.5</v>
      </c>
      <c r="F584" s="304">
        <v>45421.708333333336</v>
      </c>
      <c r="G584" s="303">
        <v>1</v>
      </c>
      <c r="H584" s="303">
        <v>51.374099999999999</v>
      </c>
      <c r="I584" s="303">
        <v>7.61883</v>
      </c>
      <c r="J584" s="303">
        <v>-22.233013</v>
      </c>
      <c r="K584" s="303">
        <v>-21.385869</v>
      </c>
      <c r="L584" s="303">
        <v>1001.28</v>
      </c>
      <c r="M584" s="303">
        <v>120.99855599999999</v>
      </c>
      <c r="N584" s="303">
        <v>17883.344690000002</v>
      </c>
      <c r="O584" s="303">
        <v>17888.385050000001</v>
      </c>
      <c r="P584" s="305">
        <v>2106.624433</v>
      </c>
      <c r="Q584" s="299">
        <f t="shared" si="4"/>
        <v>2096.8079625222563</v>
      </c>
      <c r="R584" s="300" t="s">
        <v>787</v>
      </c>
      <c r="S584" s="300" t="s">
        <v>12</v>
      </c>
      <c r="T584" s="305" t="s">
        <v>530</v>
      </c>
      <c r="U584" s="305">
        <v>15</v>
      </c>
      <c r="V584" s="305">
        <v>5</v>
      </c>
      <c r="W584" s="303">
        <v>0.7</v>
      </c>
      <c r="X584" s="303">
        <v>0.7</v>
      </c>
      <c r="Y584" s="303">
        <v>0.7</v>
      </c>
      <c r="Z584" s="303">
        <v>1700</v>
      </c>
      <c r="AA584" s="303" t="s">
        <v>531</v>
      </c>
      <c r="AB584" s="303">
        <v>0.85</v>
      </c>
      <c r="AC584" s="303" t="s">
        <v>532</v>
      </c>
      <c r="AD584" s="303" t="s">
        <v>533</v>
      </c>
      <c r="AE584" s="303">
        <v>220</v>
      </c>
      <c r="AF584" s="324"/>
      <c r="AG584" s="325"/>
    </row>
    <row r="585" spans="1:33" ht="15" customHeight="1">
      <c r="A585" s="302" t="s">
        <v>652</v>
      </c>
      <c r="B585" s="303">
        <v>13</v>
      </c>
      <c r="C585" s="303">
        <v>561</v>
      </c>
      <c r="D585" s="303" t="s">
        <v>565</v>
      </c>
      <c r="E585" s="303">
        <v>1.5</v>
      </c>
      <c r="F585" s="304">
        <v>45421.711805555555</v>
      </c>
      <c r="G585" s="303">
        <v>1</v>
      </c>
      <c r="H585" s="303">
        <v>51.377400000000002</v>
      </c>
      <c r="I585" s="303">
        <v>7.6406700000000001</v>
      </c>
      <c r="J585" s="303">
        <v>-22.286155999999998</v>
      </c>
      <c r="K585" s="303">
        <v>-21.442430999999999</v>
      </c>
      <c r="L585" s="303">
        <v>1005.46</v>
      </c>
      <c r="M585" s="303">
        <v>132.999809</v>
      </c>
      <c r="N585" s="303">
        <v>17896.769319999999</v>
      </c>
      <c r="O585" s="303">
        <v>17888.385050000001</v>
      </c>
      <c r="P585" s="305">
        <v>2106.624433</v>
      </c>
      <c r="Q585" s="299">
        <f t="shared" si="4"/>
        <v>2096.8079625222563</v>
      </c>
      <c r="R585" s="300" t="s">
        <v>787</v>
      </c>
      <c r="S585" s="300" t="s">
        <v>12</v>
      </c>
      <c r="T585" s="305" t="s">
        <v>530</v>
      </c>
      <c r="U585" s="305">
        <v>15</v>
      </c>
      <c r="V585" s="305">
        <v>5</v>
      </c>
      <c r="W585" s="303">
        <v>0.7</v>
      </c>
      <c r="X585" s="303">
        <v>0.7</v>
      </c>
      <c r="Y585" s="303">
        <v>0.7</v>
      </c>
      <c r="Z585" s="303">
        <v>1700</v>
      </c>
      <c r="AA585" s="303" t="s">
        <v>531</v>
      </c>
      <c r="AB585" s="303">
        <v>0.85</v>
      </c>
      <c r="AC585" s="303" t="s">
        <v>532</v>
      </c>
      <c r="AD585" s="303" t="s">
        <v>533</v>
      </c>
      <c r="AE585" s="303">
        <v>220</v>
      </c>
      <c r="AF585" s="324"/>
      <c r="AG585" s="325"/>
    </row>
    <row r="586" spans="1:33" ht="15" customHeight="1">
      <c r="A586" s="302" t="s">
        <v>654</v>
      </c>
      <c r="B586" s="303">
        <v>14</v>
      </c>
      <c r="C586" s="303">
        <v>378</v>
      </c>
      <c r="D586" s="303" t="s">
        <v>570</v>
      </c>
      <c r="E586" s="303">
        <v>1.5</v>
      </c>
      <c r="F586" s="304">
        <v>45421.71597222222</v>
      </c>
      <c r="G586" s="303">
        <v>1</v>
      </c>
      <c r="H586" s="303">
        <v>51.374099999999999</v>
      </c>
      <c r="I586" s="303">
        <v>7.6073399999999998</v>
      </c>
      <c r="J586" s="303">
        <v>-22.420712999999999</v>
      </c>
      <c r="K586" s="303">
        <v>-21.580794000000001</v>
      </c>
      <c r="L586" s="303">
        <v>1008.62</v>
      </c>
      <c r="M586" s="303">
        <v>138.00157899999999</v>
      </c>
      <c r="N586" s="303">
        <v>17774.651539999999</v>
      </c>
      <c r="O586" s="303">
        <v>17758.394929999999</v>
      </c>
      <c r="P586" s="305">
        <v>2091.2968799999999</v>
      </c>
      <c r="Q586" s="299">
        <f t="shared" si="4"/>
        <v>2081.5518330133937</v>
      </c>
      <c r="R586" s="300" t="s">
        <v>787</v>
      </c>
      <c r="S586" s="300" t="s">
        <v>12</v>
      </c>
      <c r="T586" s="305" t="s">
        <v>530</v>
      </c>
      <c r="U586" s="305">
        <v>15</v>
      </c>
      <c r="V586" s="305">
        <v>5</v>
      </c>
      <c r="W586" s="303">
        <v>0.7</v>
      </c>
      <c r="X586" s="303">
        <v>0.7</v>
      </c>
      <c r="Y586" s="303">
        <v>0.7</v>
      </c>
      <c r="Z586" s="303">
        <v>1700</v>
      </c>
      <c r="AA586" s="303" t="s">
        <v>531</v>
      </c>
      <c r="AB586" s="303">
        <v>0.85</v>
      </c>
      <c r="AC586" s="303" t="s">
        <v>532</v>
      </c>
      <c r="AD586" s="303" t="s">
        <v>533</v>
      </c>
      <c r="AE586" s="303">
        <v>220</v>
      </c>
      <c r="AF586" s="324"/>
      <c r="AG586" s="325"/>
    </row>
    <row r="587" spans="1:33" ht="15" customHeight="1">
      <c r="A587" s="302" t="s">
        <v>655</v>
      </c>
      <c r="B587" s="303">
        <v>14</v>
      </c>
      <c r="C587" s="303">
        <v>378</v>
      </c>
      <c r="D587" s="303" t="s">
        <v>570</v>
      </c>
      <c r="E587" s="303">
        <v>1.5</v>
      </c>
      <c r="F587" s="304">
        <v>45421.720138888886</v>
      </c>
      <c r="G587" s="303">
        <v>1</v>
      </c>
      <c r="H587" s="303">
        <v>51.374099999999999</v>
      </c>
      <c r="I587" s="303">
        <v>7.6426699999999999</v>
      </c>
      <c r="J587" s="303">
        <v>-22.299675000000001</v>
      </c>
      <c r="K587" s="303">
        <v>-21.462387</v>
      </c>
      <c r="L587" s="303">
        <v>979.99599999999998</v>
      </c>
      <c r="M587" s="303">
        <v>122.001226</v>
      </c>
      <c r="N587" s="303">
        <v>17742.554240000001</v>
      </c>
      <c r="O587" s="303">
        <v>17758.394929999999</v>
      </c>
      <c r="P587" s="305">
        <v>2091.2968799999999</v>
      </c>
      <c r="Q587" s="299">
        <f t="shared" si="4"/>
        <v>2081.5518330133937</v>
      </c>
      <c r="R587" s="300" t="s">
        <v>787</v>
      </c>
      <c r="S587" s="300" t="s">
        <v>12</v>
      </c>
      <c r="T587" s="305" t="s">
        <v>530</v>
      </c>
      <c r="U587" s="305">
        <v>15</v>
      </c>
      <c r="V587" s="305">
        <v>5</v>
      </c>
      <c r="W587" s="303">
        <v>0.7</v>
      </c>
      <c r="X587" s="303">
        <v>0.7</v>
      </c>
      <c r="Y587" s="303">
        <v>0.7</v>
      </c>
      <c r="Z587" s="303">
        <v>1700</v>
      </c>
      <c r="AA587" s="303" t="s">
        <v>531</v>
      </c>
      <c r="AB587" s="303">
        <v>0.85</v>
      </c>
      <c r="AC587" s="303" t="s">
        <v>532</v>
      </c>
      <c r="AD587" s="303" t="s">
        <v>533</v>
      </c>
      <c r="AE587" s="303">
        <v>220</v>
      </c>
      <c r="AF587" s="324"/>
      <c r="AG587" s="325"/>
    </row>
    <row r="588" spans="1:33" ht="15" customHeight="1">
      <c r="A588" s="302" t="s">
        <v>656</v>
      </c>
      <c r="B588" s="303">
        <v>14</v>
      </c>
      <c r="C588" s="303">
        <v>378</v>
      </c>
      <c r="D588" s="303" t="s">
        <v>570</v>
      </c>
      <c r="E588" s="303">
        <v>1.5</v>
      </c>
      <c r="F588" s="304">
        <v>45421.723611111112</v>
      </c>
      <c r="G588" s="303">
        <v>1</v>
      </c>
      <c r="H588" s="303">
        <v>51.374099999999999</v>
      </c>
      <c r="I588" s="303">
        <v>7.5424600000000002</v>
      </c>
      <c r="J588" s="303">
        <v>-22.337806</v>
      </c>
      <c r="K588" s="303">
        <v>-21.495512999999999</v>
      </c>
      <c r="L588" s="303">
        <v>1000.93</v>
      </c>
      <c r="M588" s="303">
        <v>116.999443</v>
      </c>
      <c r="N588" s="303">
        <v>17757.979019999999</v>
      </c>
      <c r="O588" s="303">
        <v>17758.394929999999</v>
      </c>
      <c r="P588" s="305">
        <v>2091.2968799999999</v>
      </c>
      <c r="Q588" s="299">
        <f t="shared" si="4"/>
        <v>2081.5518330133937</v>
      </c>
      <c r="R588" s="300" t="s">
        <v>787</v>
      </c>
      <c r="S588" s="300" t="s">
        <v>12</v>
      </c>
      <c r="T588" s="305" t="s">
        <v>530</v>
      </c>
      <c r="U588" s="305">
        <v>15</v>
      </c>
      <c r="V588" s="305">
        <v>5</v>
      </c>
      <c r="W588" s="303">
        <v>0.7</v>
      </c>
      <c r="X588" s="303">
        <v>0.7</v>
      </c>
      <c r="Y588" s="303">
        <v>0.7</v>
      </c>
      <c r="Z588" s="303">
        <v>1700</v>
      </c>
      <c r="AA588" s="303" t="s">
        <v>531</v>
      </c>
      <c r="AB588" s="303">
        <v>0.85</v>
      </c>
      <c r="AC588" s="303" t="s">
        <v>532</v>
      </c>
      <c r="AD588" s="303" t="s">
        <v>533</v>
      </c>
      <c r="AE588" s="303">
        <v>220</v>
      </c>
      <c r="AF588" s="324"/>
      <c r="AG588" s="325"/>
    </row>
    <row r="589" spans="1:33" ht="15" customHeight="1">
      <c r="A589" s="302" t="s">
        <v>779</v>
      </c>
      <c r="B589" s="303">
        <v>15</v>
      </c>
      <c r="C589" s="303">
        <v>379</v>
      </c>
      <c r="D589" s="303" t="s">
        <v>575</v>
      </c>
      <c r="E589" s="303">
        <v>1.5</v>
      </c>
      <c r="F589" s="304">
        <v>45421.727777777778</v>
      </c>
      <c r="G589" s="303">
        <v>1</v>
      </c>
      <c r="H589" s="303">
        <v>51.374099999999999</v>
      </c>
      <c r="I589" s="303">
        <v>7.4389599999999998</v>
      </c>
      <c r="J589" s="303">
        <v>-22.186299999999999</v>
      </c>
      <c r="K589" s="303">
        <v>-21.340644000000001</v>
      </c>
      <c r="L589" s="303">
        <v>980.75699999999995</v>
      </c>
      <c r="M589" s="303">
        <v>114.499826</v>
      </c>
      <c r="N589" s="303">
        <v>17655.210220000001</v>
      </c>
      <c r="O589" s="303">
        <v>17707.152139999998</v>
      </c>
      <c r="P589" s="305">
        <v>2085.254676</v>
      </c>
      <c r="Q589" s="299">
        <f t="shared" si="4"/>
        <v>2075.5377845385351</v>
      </c>
      <c r="R589" s="300" t="s">
        <v>787</v>
      </c>
      <c r="S589" s="300" t="s">
        <v>12</v>
      </c>
      <c r="T589" s="305" t="s">
        <v>545</v>
      </c>
      <c r="U589" s="305">
        <v>15</v>
      </c>
      <c r="V589" s="305">
        <v>5</v>
      </c>
      <c r="W589" s="303">
        <v>0.7</v>
      </c>
      <c r="X589" s="303">
        <v>0.7</v>
      </c>
      <c r="Y589" s="303">
        <v>0.7</v>
      </c>
      <c r="Z589" s="303">
        <v>1700</v>
      </c>
      <c r="AA589" s="303" t="s">
        <v>531</v>
      </c>
      <c r="AB589" s="303">
        <v>0.85</v>
      </c>
      <c r="AC589" s="303" t="s">
        <v>532</v>
      </c>
      <c r="AD589" s="303" t="s">
        <v>533</v>
      </c>
      <c r="AE589" s="303">
        <v>220</v>
      </c>
      <c r="AF589" s="324"/>
      <c r="AG589" s="325"/>
    </row>
    <row r="590" spans="1:33" ht="15" customHeight="1">
      <c r="A590" s="302" t="s">
        <v>780</v>
      </c>
      <c r="B590" s="303">
        <v>15</v>
      </c>
      <c r="C590" s="303">
        <v>379</v>
      </c>
      <c r="D590" s="303" t="s">
        <v>575</v>
      </c>
      <c r="E590" s="303">
        <v>1.5</v>
      </c>
      <c r="F590" s="304">
        <v>45421.731249999997</v>
      </c>
      <c r="G590" s="303">
        <v>1</v>
      </c>
      <c r="H590" s="303">
        <v>51.374099999999999</v>
      </c>
      <c r="I590" s="303">
        <v>7.5060000000000002</v>
      </c>
      <c r="J590" s="303">
        <v>-22.221394</v>
      </c>
      <c r="K590" s="303">
        <v>-21.385231000000001</v>
      </c>
      <c r="L590" s="303">
        <v>1002.3</v>
      </c>
      <c r="M590" s="303">
        <v>112.000142</v>
      </c>
      <c r="N590" s="303">
        <v>17707.85641</v>
      </c>
      <c r="O590" s="303">
        <v>17707.152139999998</v>
      </c>
      <c r="P590" s="305">
        <v>2085.254676</v>
      </c>
      <c r="Q590" s="299">
        <f t="shared" si="4"/>
        <v>2075.5377845385351</v>
      </c>
      <c r="R590" s="300" t="s">
        <v>787</v>
      </c>
      <c r="S590" s="300" t="s">
        <v>12</v>
      </c>
      <c r="T590" s="305" t="s">
        <v>530</v>
      </c>
      <c r="U590" s="305">
        <v>15</v>
      </c>
      <c r="V590" s="305">
        <v>5</v>
      </c>
      <c r="W590" s="303">
        <v>0.7</v>
      </c>
      <c r="X590" s="303">
        <v>0.7</v>
      </c>
      <c r="Y590" s="303">
        <v>0.7</v>
      </c>
      <c r="Z590" s="303">
        <v>1700</v>
      </c>
      <c r="AA590" s="303" t="s">
        <v>531</v>
      </c>
      <c r="AB590" s="303">
        <v>0.85</v>
      </c>
      <c r="AC590" s="303" t="s">
        <v>532</v>
      </c>
      <c r="AD590" s="303" t="s">
        <v>533</v>
      </c>
      <c r="AE590" s="303">
        <v>220</v>
      </c>
      <c r="AF590" s="324"/>
      <c r="AG590" s="325"/>
    </row>
    <row r="591" spans="1:33" ht="15" customHeight="1">
      <c r="A591" s="302" t="s">
        <v>781</v>
      </c>
      <c r="B591" s="303">
        <v>15</v>
      </c>
      <c r="C591" s="303">
        <v>379</v>
      </c>
      <c r="D591" s="303" t="s">
        <v>575</v>
      </c>
      <c r="E591" s="303">
        <v>1.5</v>
      </c>
      <c r="F591" s="304">
        <v>45421.734027777777</v>
      </c>
      <c r="G591" s="303">
        <v>1</v>
      </c>
      <c r="H591" s="303">
        <v>51.377400000000002</v>
      </c>
      <c r="I591" s="303">
        <v>7.6211200000000003</v>
      </c>
      <c r="J591" s="303">
        <v>-22.194493999999999</v>
      </c>
      <c r="K591" s="303">
        <v>-21.348693999999998</v>
      </c>
      <c r="L591" s="303">
        <v>991.38499999999999</v>
      </c>
      <c r="M591" s="303">
        <v>118.499906</v>
      </c>
      <c r="N591" s="303">
        <v>17698.88868</v>
      </c>
      <c r="O591" s="303">
        <v>17707.152139999998</v>
      </c>
      <c r="P591" s="305">
        <v>2085.254676</v>
      </c>
      <c r="Q591" s="299">
        <f t="shared" si="4"/>
        <v>2075.5377845385351</v>
      </c>
      <c r="R591" s="300" t="s">
        <v>787</v>
      </c>
      <c r="S591" s="300" t="s">
        <v>12</v>
      </c>
      <c r="T591" s="305" t="s">
        <v>530</v>
      </c>
      <c r="U591" s="305">
        <v>15</v>
      </c>
      <c r="V591" s="305">
        <v>5</v>
      </c>
      <c r="W591" s="303">
        <v>0.7</v>
      </c>
      <c r="X591" s="303">
        <v>0.7</v>
      </c>
      <c r="Y591" s="303">
        <v>0.7</v>
      </c>
      <c r="Z591" s="303">
        <v>1700</v>
      </c>
      <c r="AA591" s="303" t="s">
        <v>531</v>
      </c>
      <c r="AB591" s="303">
        <v>0.85</v>
      </c>
      <c r="AC591" s="303" t="s">
        <v>532</v>
      </c>
      <c r="AD591" s="303" t="s">
        <v>533</v>
      </c>
      <c r="AE591" s="303">
        <v>220</v>
      </c>
      <c r="AF591" s="324"/>
      <c r="AG591" s="325"/>
    </row>
    <row r="592" spans="1:33" ht="15" customHeight="1">
      <c r="A592" s="302" t="s">
        <v>789</v>
      </c>
      <c r="B592" s="303">
        <v>15</v>
      </c>
      <c r="C592" s="303">
        <v>379</v>
      </c>
      <c r="D592" s="303" t="s">
        <v>575</v>
      </c>
      <c r="E592" s="303">
        <v>1.5</v>
      </c>
      <c r="F592" s="304">
        <v>45421.738194444442</v>
      </c>
      <c r="G592" s="303">
        <v>1</v>
      </c>
      <c r="H592" s="303">
        <v>51.377400000000002</v>
      </c>
      <c r="I592" s="303">
        <v>7.5553900000000001</v>
      </c>
      <c r="J592" s="303">
        <v>-22.099594</v>
      </c>
      <c r="K592" s="303">
        <v>-21.256819</v>
      </c>
      <c r="L592" s="303">
        <v>1004.71</v>
      </c>
      <c r="M592" s="303">
        <v>106.00178099999999</v>
      </c>
      <c r="N592" s="303">
        <v>17714.711319999999</v>
      </c>
      <c r="O592" s="303">
        <v>17707.152139999998</v>
      </c>
      <c r="P592" s="305">
        <v>2085.254676</v>
      </c>
      <c r="Q592" s="299">
        <f t="shared" si="4"/>
        <v>2075.5377845385351</v>
      </c>
      <c r="R592" s="300" t="s">
        <v>787</v>
      </c>
      <c r="S592" s="300" t="s">
        <v>12</v>
      </c>
      <c r="T592" s="305" t="s">
        <v>530</v>
      </c>
      <c r="U592" s="305">
        <v>15</v>
      </c>
      <c r="V592" s="305">
        <v>5</v>
      </c>
      <c r="W592" s="303">
        <v>0.7</v>
      </c>
      <c r="X592" s="303">
        <v>0.7</v>
      </c>
      <c r="Y592" s="303">
        <v>0.7</v>
      </c>
      <c r="Z592" s="303">
        <v>1700</v>
      </c>
      <c r="AA592" s="303" t="s">
        <v>531</v>
      </c>
      <c r="AB592" s="303">
        <v>0.85</v>
      </c>
      <c r="AC592" s="303" t="s">
        <v>532</v>
      </c>
      <c r="AD592" s="303" t="s">
        <v>533</v>
      </c>
      <c r="AE592" s="303">
        <v>220</v>
      </c>
      <c r="AF592" s="324"/>
      <c r="AG592" s="325"/>
    </row>
    <row r="593" spans="1:33" ht="15" customHeight="1">
      <c r="A593" s="302" t="s">
        <v>782</v>
      </c>
      <c r="B593" s="303">
        <v>16</v>
      </c>
      <c r="C593" s="303">
        <v>404</v>
      </c>
      <c r="D593" s="303" t="s">
        <v>581</v>
      </c>
      <c r="E593" s="303">
        <v>1.5</v>
      </c>
      <c r="F593" s="304">
        <v>45421.741666666669</v>
      </c>
      <c r="G593" s="303">
        <v>1</v>
      </c>
      <c r="H593" s="303">
        <v>51.374099999999999</v>
      </c>
      <c r="I593" s="303">
        <v>7.4705300000000001</v>
      </c>
      <c r="J593" s="303">
        <v>-22.224437999999999</v>
      </c>
      <c r="K593" s="303">
        <v>-21.382106</v>
      </c>
      <c r="L593" s="303">
        <v>995.08299999999997</v>
      </c>
      <c r="M593" s="303">
        <v>110.00021</v>
      </c>
      <c r="N593" s="303">
        <v>17673.021219999999</v>
      </c>
      <c r="O593" s="303">
        <v>17669.034070000002</v>
      </c>
      <c r="P593" s="305">
        <v>2080.7600520000001</v>
      </c>
      <c r="Q593" s="299">
        <f t="shared" si="4"/>
        <v>2071.0641046342712</v>
      </c>
      <c r="R593" s="300" t="s">
        <v>787</v>
      </c>
      <c r="S593" s="300" t="s">
        <v>12</v>
      </c>
      <c r="T593" s="305" t="s">
        <v>530</v>
      </c>
      <c r="U593" s="305">
        <v>15</v>
      </c>
      <c r="V593" s="305">
        <v>5</v>
      </c>
      <c r="W593" s="303">
        <v>0.7</v>
      </c>
      <c r="X593" s="303">
        <v>0.7</v>
      </c>
      <c r="Y593" s="303">
        <v>0.7</v>
      </c>
      <c r="Z593" s="303">
        <v>1700</v>
      </c>
      <c r="AA593" s="303" t="s">
        <v>531</v>
      </c>
      <c r="AB593" s="303">
        <v>0.85</v>
      </c>
      <c r="AC593" s="303" t="s">
        <v>532</v>
      </c>
      <c r="AD593" s="303" t="s">
        <v>533</v>
      </c>
      <c r="AE593" s="303">
        <v>220</v>
      </c>
      <c r="AF593" s="324"/>
      <c r="AG593" s="325"/>
    </row>
    <row r="594" spans="1:33" ht="15" customHeight="1">
      <c r="A594" s="302" t="s">
        <v>783</v>
      </c>
      <c r="B594" s="303">
        <v>16</v>
      </c>
      <c r="C594" s="303">
        <v>404</v>
      </c>
      <c r="D594" s="303" t="s">
        <v>581</v>
      </c>
      <c r="E594" s="303">
        <v>1.5</v>
      </c>
      <c r="F594" s="304">
        <v>45421.745138888888</v>
      </c>
      <c r="G594" s="303">
        <v>1</v>
      </c>
      <c r="H594" s="303">
        <v>51.374099999999999</v>
      </c>
      <c r="I594" s="303">
        <v>7.5153699999999999</v>
      </c>
      <c r="J594" s="303">
        <v>-22.312211999999999</v>
      </c>
      <c r="K594" s="303">
        <v>-21.467188</v>
      </c>
      <c r="L594" s="303">
        <v>997.01400000000001</v>
      </c>
      <c r="M594" s="303">
        <v>114.49860099999999</v>
      </c>
      <c r="N594" s="303">
        <v>17675.964199999999</v>
      </c>
      <c r="O594" s="303">
        <v>17669.034070000002</v>
      </c>
      <c r="P594" s="305">
        <v>2080.7600520000001</v>
      </c>
      <c r="Q594" s="299">
        <f t="shared" si="4"/>
        <v>2071.0641046342712</v>
      </c>
      <c r="R594" s="300" t="s">
        <v>787</v>
      </c>
      <c r="S594" s="300" t="s">
        <v>12</v>
      </c>
      <c r="T594" s="305" t="s">
        <v>530</v>
      </c>
      <c r="U594" s="305">
        <v>15</v>
      </c>
      <c r="V594" s="305">
        <v>5</v>
      </c>
      <c r="W594" s="303">
        <v>0.7</v>
      </c>
      <c r="X594" s="303">
        <v>0.7</v>
      </c>
      <c r="Y594" s="303">
        <v>0.7</v>
      </c>
      <c r="Z594" s="303">
        <v>1700</v>
      </c>
      <c r="AA594" s="303" t="s">
        <v>531</v>
      </c>
      <c r="AB594" s="303">
        <v>0.85</v>
      </c>
      <c r="AC594" s="303" t="s">
        <v>532</v>
      </c>
      <c r="AD594" s="303" t="s">
        <v>533</v>
      </c>
      <c r="AE594" s="303">
        <v>220</v>
      </c>
      <c r="AF594" s="324"/>
      <c r="AG594" s="325"/>
    </row>
    <row r="595" spans="1:33" ht="15" customHeight="1">
      <c r="A595" s="302" t="s">
        <v>784</v>
      </c>
      <c r="B595" s="303">
        <v>16</v>
      </c>
      <c r="C595" s="303">
        <v>404</v>
      </c>
      <c r="D595" s="303" t="s">
        <v>581</v>
      </c>
      <c r="E595" s="303">
        <v>1.5</v>
      </c>
      <c r="F595" s="304">
        <v>45421.748611111114</v>
      </c>
      <c r="G595" s="303">
        <v>1</v>
      </c>
      <c r="H595" s="303">
        <v>51.374099999999999</v>
      </c>
      <c r="I595" s="303">
        <v>7.4959699999999998</v>
      </c>
      <c r="J595" s="303">
        <v>-22.312981000000001</v>
      </c>
      <c r="K595" s="303">
        <v>-21.475643999999999</v>
      </c>
      <c r="L595" s="303">
        <v>990.26800000000003</v>
      </c>
      <c r="M595" s="303">
        <v>118.500101</v>
      </c>
      <c r="N595" s="303">
        <v>17658.11678</v>
      </c>
      <c r="O595" s="303">
        <v>17669.034070000002</v>
      </c>
      <c r="P595" s="305">
        <v>2080.7600520000001</v>
      </c>
      <c r="Q595" s="299">
        <f t="shared" si="4"/>
        <v>2071.0641046342712</v>
      </c>
      <c r="R595" s="300" t="s">
        <v>787</v>
      </c>
      <c r="S595" s="300" t="s">
        <v>12</v>
      </c>
      <c r="T595" s="305" t="s">
        <v>530</v>
      </c>
      <c r="U595" s="305">
        <v>15</v>
      </c>
      <c r="V595" s="305">
        <v>5</v>
      </c>
      <c r="W595" s="303">
        <v>0.7</v>
      </c>
      <c r="X595" s="303">
        <v>0.7</v>
      </c>
      <c r="Y595" s="303">
        <v>0.7</v>
      </c>
      <c r="Z595" s="303">
        <v>1700</v>
      </c>
      <c r="AA595" s="303" t="s">
        <v>531</v>
      </c>
      <c r="AB595" s="303">
        <v>0.85</v>
      </c>
      <c r="AC595" s="303" t="s">
        <v>532</v>
      </c>
      <c r="AD595" s="303" t="s">
        <v>533</v>
      </c>
      <c r="AE595" s="303">
        <v>220</v>
      </c>
      <c r="AF595" s="324"/>
      <c r="AG595" s="325"/>
    </row>
    <row r="596" spans="1:33" ht="15" customHeight="1">
      <c r="A596" s="302" t="s">
        <v>790</v>
      </c>
      <c r="B596" s="303">
        <v>17</v>
      </c>
      <c r="C596" s="303">
        <v>405</v>
      </c>
      <c r="D596" s="303" t="s">
        <v>594</v>
      </c>
      <c r="E596" s="303">
        <v>1.5</v>
      </c>
      <c r="F596" s="304">
        <v>45421.75277777778</v>
      </c>
      <c r="G596" s="303">
        <v>1</v>
      </c>
      <c r="H596" s="303">
        <v>51.377400000000002</v>
      </c>
      <c r="I596" s="303">
        <v>7.4595799999999999</v>
      </c>
      <c r="J596" s="303">
        <v>-22.259544000000002</v>
      </c>
      <c r="K596" s="303">
        <v>-21.412555999999999</v>
      </c>
      <c r="L596" s="303">
        <v>981.12599999999998</v>
      </c>
      <c r="M596" s="303">
        <v>117.000472</v>
      </c>
      <c r="N596" s="303">
        <v>17676.98142</v>
      </c>
      <c r="O596" s="303">
        <v>17762.980169999999</v>
      </c>
      <c r="P596" s="305">
        <v>2091.83754</v>
      </c>
      <c r="Q596" s="299">
        <f t="shared" si="4"/>
        <v>2082.0899736402935</v>
      </c>
      <c r="R596" s="300" t="s">
        <v>787</v>
      </c>
      <c r="S596" s="300" t="s">
        <v>12</v>
      </c>
      <c r="T596" s="305" t="s">
        <v>545</v>
      </c>
      <c r="U596" s="305">
        <v>15</v>
      </c>
      <c r="V596" s="305">
        <v>5</v>
      </c>
      <c r="W596" s="303">
        <v>0.7</v>
      </c>
      <c r="X596" s="303">
        <v>0.7</v>
      </c>
      <c r="Y596" s="303">
        <v>0.7</v>
      </c>
      <c r="Z596" s="303">
        <v>1700</v>
      </c>
      <c r="AA596" s="303" t="s">
        <v>531</v>
      </c>
      <c r="AB596" s="303">
        <v>0.85</v>
      </c>
      <c r="AC596" s="303" t="s">
        <v>532</v>
      </c>
      <c r="AD596" s="303" t="s">
        <v>533</v>
      </c>
      <c r="AE596" s="303">
        <v>220</v>
      </c>
      <c r="AF596" s="324"/>
      <c r="AG596" s="325"/>
    </row>
    <row r="597" spans="1:33" ht="15" customHeight="1">
      <c r="A597" s="302" t="s">
        <v>791</v>
      </c>
      <c r="B597" s="303">
        <v>17</v>
      </c>
      <c r="C597" s="303">
        <v>405</v>
      </c>
      <c r="D597" s="303" t="s">
        <v>594</v>
      </c>
      <c r="E597" s="303">
        <v>1.5</v>
      </c>
      <c r="F597" s="304">
        <v>45421.756249999999</v>
      </c>
      <c r="G597" s="303">
        <v>1</v>
      </c>
      <c r="H597" s="303">
        <v>51.374099999999999</v>
      </c>
      <c r="I597" s="303">
        <v>7.5115600000000002</v>
      </c>
      <c r="J597" s="303">
        <v>-22.360675000000001</v>
      </c>
      <c r="K597" s="303">
        <v>-21.524450000000002</v>
      </c>
      <c r="L597" s="303">
        <v>992.65700000000004</v>
      </c>
      <c r="M597" s="303">
        <v>132.00011799999999</v>
      </c>
      <c r="N597" s="303">
        <v>17752.561399999999</v>
      </c>
      <c r="O597" s="303">
        <v>17762.980169999999</v>
      </c>
      <c r="P597" s="305">
        <v>2091.83754</v>
      </c>
      <c r="Q597" s="299">
        <f t="shared" si="4"/>
        <v>2082.0899736402935</v>
      </c>
      <c r="R597" s="300" t="s">
        <v>787</v>
      </c>
      <c r="S597" s="300" t="s">
        <v>12</v>
      </c>
      <c r="T597" s="305" t="s">
        <v>530</v>
      </c>
      <c r="U597" s="305">
        <v>15</v>
      </c>
      <c r="V597" s="305">
        <v>5</v>
      </c>
      <c r="W597" s="303">
        <v>0.7</v>
      </c>
      <c r="X597" s="303">
        <v>0.7</v>
      </c>
      <c r="Y597" s="303">
        <v>0.7</v>
      </c>
      <c r="Z597" s="303">
        <v>1700</v>
      </c>
      <c r="AA597" s="303" t="s">
        <v>531</v>
      </c>
      <c r="AB597" s="303">
        <v>0.85</v>
      </c>
      <c r="AC597" s="303" t="s">
        <v>532</v>
      </c>
      <c r="AD597" s="303" t="s">
        <v>533</v>
      </c>
      <c r="AE597" s="303">
        <v>220</v>
      </c>
      <c r="AF597" s="324"/>
      <c r="AG597" s="325"/>
    </row>
    <row r="598" spans="1:33" ht="15" customHeight="1">
      <c r="A598" s="302" t="s">
        <v>792</v>
      </c>
      <c r="B598" s="303">
        <v>17</v>
      </c>
      <c r="C598" s="303">
        <v>405</v>
      </c>
      <c r="D598" s="303" t="s">
        <v>594</v>
      </c>
      <c r="E598" s="303">
        <v>1.5</v>
      </c>
      <c r="F598" s="304">
        <v>45421.759722222225</v>
      </c>
      <c r="G598" s="303">
        <v>1</v>
      </c>
      <c r="H598" s="303">
        <v>51.380699999999997</v>
      </c>
      <c r="I598" s="303">
        <v>7.5684399999999998</v>
      </c>
      <c r="J598" s="303">
        <v>-22.359369000000001</v>
      </c>
      <c r="K598" s="303">
        <v>-21.540075000000002</v>
      </c>
      <c r="L598" s="303">
        <v>998.12199999999996</v>
      </c>
      <c r="M598" s="303">
        <v>152.99899099999999</v>
      </c>
      <c r="N598" s="303">
        <v>17776.39374</v>
      </c>
      <c r="O598" s="303">
        <v>17762.980169999999</v>
      </c>
      <c r="P598" s="305">
        <v>2091.83754</v>
      </c>
      <c r="Q598" s="299">
        <f t="shared" si="4"/>
        <v>2082.0899736402935</v>
      </c>
      <c r="R598" s="300" t="s">
        <v>787</v>
      </c>
      <c r="S598" s="300" t="s">
        <v>12</v>
      </c>
      <c r="T598" s="305" t="s">
        <v>530</v>
      </c>
      <c r="U598" s="305">
        <v>15</v>
      </c>
      <c r="V598" s="305">
        <v>5</v>
      </c>
      <c r="W598" s="303">
        <v>0.7</v>
      </c>
      <c r="X598" s="303">
        <v>0.7</v>
      </c>
      <c r="Y598" s="303">
        <v>0.7</v>
      </c>
      <c r="Z598" s="303">
        <v>1700</v>
      </c>
      <c r="AA598" s="303" t="s">
        <v>531</v>
      </c>
      <c r="AB598" s="303">
        <v>0.85</v>
      </c>
      <c r="AC598" s="303" t="s">
        <v>532</v>
      </c>
      <c r="AD598" s="303" t="s">
        <v>533</v>
      </c>
      <c r="AE598" s="303">
        <v>220</v>
      </c>
      <c r="AF598" s="324"/>
      <c r="AG598" s="325"/>
    </row>
    <row r="599" spans="1:33" ht="15" customHeight="1">
      <c r="A599" s="302" t="s">
        <v>793</v>
      </c>
      <c r="B599" s="303">
        <v>17</v>
      </c>
      <c r="C599" s="303">
        <v>405</v>
      </c>
      <c r="D599" s="303" t="s">
        <v>594</v>
      </c>
      <c r="E599" s="303">
        <v>1.5</v>
      </c>
      <c r="F599" s="304">
        <v>45421.763888888891</v>
      </c>
      <c r="G599" s="303">
        <v>1</v>
      </c>
      <c r="H599" s="303">
        <v>51.374099999999999</v>
      </c>
      <c r="I599" s="303">
        <v>7.4200699999999999</v>
      </c>
      <c r="J599" s="303">
        <v>-22.343243999999999</v>
      </c>
      <c r="K599" s="303">
        <v>-21.493831</v>
      </c>
      <c r="L599" s="303">
        <v>1005.42</v>
      </c>
      <c r="M599" s="303">
        <v>110.50001</v>
      </c>
      <c r="N599" s="303">
        <v>17759.985379999998</v>
      </c>
      <c r="O599" s="303">
        <v>17762.980169999999</v>
      </c>
      <c r="P599" s="305">
        <v>2091.83754</v>
      </c>
      <c r="Q599" s="299">
        <f t="shared" si="4"/>
        <v>2082.0899736402935</v>
      </c>
      <c r="R599" s="300" t="s">
        <v>787</v>
      </c>
      <c r="S599" s="300" t="s">
        <v>12</v>
      </c>
      <c r="T599" s="305" t="s">
        <v>530</v>
      </c>
      <c r="U599" s="305">
        <v>15</v>
      </c>
      <c r="V599" s="305">
        <v>5</v>
      </c>
      <c r="W599" s="303">
        <v>0.7</v>
      </c>
      <c r="X599" s="303">
        <v>0.7</v>
      </c>
      <c r="Y599" s="303">
        <v>0.7</v>
      </c>
      <c r="Z599" s="303">
        <v>1700</v>
      </c>
      <c r="AA599" s="303" t="s">
        <v>531</v>
      </c>
      <c r="AB599" s="303">
        <v>0.85</v>
      </c>
      <c r="AC599" s="303" t="s">
        <v>532</v>
      </c>
      <c r="AD599" s="303" t="s">
        <v>533</v>
      </c>
      <c r="AE599" s="303">
        <v>220</v>
      </c>
      <c r="AF599" s="324"/>
      <c r="AG599" s="325"/>
    </row>
    <row r="600" spans="1:33" ht="15" customHeight="1">
      <c r="A600" s="302" t="s">
        <v>794</v>
      </c>
      <c r="B600" s="303">
        <v>18</v>
      </c>
      <c r="C600" s="303">
        <v>625</v>
      </c>
      <c r="D600" s="303" t="s">
        <v>598</v>
      </c>
      <c r="E600" s="303">
        <v>1.5</v>
      </c>
      <c r="F600" s="304">
        <v>45421.768055555556</v>
      </c>
      <c r="G600" s="303">
        <v>1</v>
      </c>
      <c r="H600" s="303">
        <v>51.377400000000002</v>
      </c>
      <c r="I600" s="303">
        <v>7.4641299999999999</v>
      </c>
      <c r="J600" s="303">
        <v>-22.340644000000001</v>
      </c>
      <c r="K600" s="303">
        <v>-21.499787999999999</v>
      </c>
      <c r="L600" s="303">
        <v>999.67100000000005</v>
      </c>
      <c r="M600" s="303">
        <v>126.499848</v>
      </c>
      <c r="N600" s="303">
        <v>17696.960940000001</v>
      </c>
      <c r="O600" s="303">
        <v>17692.594400000002</v>
      </c>
      <c r="P600" s="305">
        <v>2083.5381269999998</v>
      </c>
      <c r="Q600" s="299">
        <f t="shared" si="4"/>
        <v>2073.8292343314465</v>
      </c>
      <c r="R600" s="300" t="s">
        <v>787</v>
      </c>
      <c r="S600" s="300" t="s">
        <v>12</v>
      </c>
      <c r="T600" s="305" t="s">
        <v>530</v>
      </c>
      <c r="U600" s="305">
        <v>15</v>
      </c>
      <c r="V600" s="305">
        <v>5</v>
      </c>
      <c r="W600" s="303">
        <v>0.7</v>
      </c>
      <c r="X600" s="303">
        <v>0.7</v>
      </c>
      <c r="Y600" s="303">
        <v>0.7</v>
      </c>
      <c r="Z600" s="303">
        <v>1700</v>
      </c>
      <c r="AA600" s="303" t="s">
        <v>531</v>
      </c>
      <c r="AB600" s="303">
        <v>0.85</v>
      </c>
      <c r="AC600" s="303" t="s">
        <v>532</v>
      </c>
      <c r="AD600" s="303" t="s">
        <v>533</v>
      </c>
      <c r="AE600" s="303">
        <v>220</v>
      </c>
      <c r="AF600" s="324"/>
      <c r="AG600" s="325"/>
    </row>
    <row r="601" spans="1:33" ht="15" customHeight="1">
      <c r="A601" s="302" t="s">
        <v>795</v>
      </c>
      <c r="B601" s="303">
        <v>18</v>
      </c>
      <c r="C601" s="303">
        <v>625</v>
      </c>
      <c r="D601" s="303" t="s">
        <v>598</v>
      </c>
      <c r="E601" s="303">
        <v>1.5</v>
      </c>
      <c r="F601" s="304">
        <v>45421.771527777775</v>
      </c>
      <c r="G601" s="303">
        <v>1</v>
      </c>
      <c r="H601" s="303">
        <v>51.374099999999999</v>
      </c>
      <c r="I601" s="303">
        <v>7.4829800000000004</v>
      </c>
      <c r="J601" s="303">
        <v>-22.394093999999999</v>
      </c>
      <c r="K601" s="303">
        <v>-21.576855999999999</v>
      </c>
      <c r="L601" s="303">
        <v>988.99099999999999</v>
      </c>
      <c r="M601" s="303">
        <v>127.99970399999999</v>
      </c>
      <c r="N601" s="303">
        <v>17697.85065</v>
      </c>
      <c r="O601" s="303">
        <v>17692.594400000002</v>
      </c>
      <c r="P601" s="305">
        <v>2083.5381269999998</v>
      </c>
      <c r="Q601" s="299">
        <f t="shared" si="4"/>
        <v>2073.8292343314465</v>
      </c>
      <c r="R601" s="300" t="s">
        <v>787</v>
      </c>
      <c r="S601" s="300" t="s">
        <v>12</v>
      </c>
      <c r="T601" s="305" t="s">
        <v>530</v>
      </c>
      <c r="U601" s="305">
        <v>15</v>
      </c>
      <c r="V601" s="305">
        <v>5</v>
      </c>
      <c r="W601" s="303">
        <v>0.7</v>
      </c>
      <c r="X601" s="303">
        <v>0.7</v>
      </c>
      <c r="Y601" s="303">
        <v>0.7</v>
      </c>
      <c r="Z601" s="303">
        <v>1700</v>
      </c>
      <c r="AA601" s="303" t="s">
        <v>531</v>
      </c>
      <c r="AB601" s="303">
        <v>0.85</v>
      </c>
      <c r="AC601" s="303" t="s">
        <v>532</v>
      </c>
      <c r="AD601" s="303" t="s">
        <v>533</v>
      </c>
      <c r="AE601" s="303">
        <v>220</v>
      </c>
      <c r="AF601" s="324"/>
      <c r="AG601" s="325"/>
    </row>
    <row r="602" spans="1:33" ht="15" customHeight="1">
      <c r="A602" s="302" t="s">
        <v>796</v>
      </c>
      <c r="B602" s="303">
        <v>18</v>
      </c>
      <c r="C602" s="303">
        <v>625</v>
      </c>
      <c r="D602" s="303" t="s">
        <v>598</v>
      </c>
      <c r="E602" s="303">
        <v>1.5</v>
      </c>
      <c r="F602" s="304">
        <v>45421.775000000001</v>
      </c>
      <c r="G602" s="303">
        <v>1</v>
      </c>
      <c r="H602" s="303">
        <v>51.370800000000003</v>
      </c>
      <c r="I602" s="303">
        <v>7.5963500000000002</v>
      </c>
      <c r="J602" s="303">
        <v>-22.424831000000001</v>
      </c>
      <c r="K602" s="303">
        <v>-21.579799999999999</v>
      </c>
      <c r="L602" s="303">
        <v>990.28200000000004</v>
      </c>
      <c r="M602" s="303">
        <v>160.49977000000001</v>
      </c>
      <c r="N602" s="303">
        <v>17682.97162</v>
      </c>
      <c r="O602" s="303">
        <v>17692.594400000002</v>
      </c>
      <c r="P602" s="305">
        <v>2083.5381269999998</v>
      </c>
      <c r="Q602" s="299">
        <f t="shared" si="4"/>
        <v>2073.8292343314465</v>
      </c>
      <c r="R602" s="300" t="s">
        <v>787</v>
      </c>
      <c r="S602" s="300" t="s">
        <v>12</v>
      </c>
      <c r="T602" s="305" t="s">
        <v>530</v>
      </c>
      <c r="U602" s="305">
        <v>15</v>
      </c>
      <c r="V602" s="305">
        <v>5</v>
      </c>
      <c r="W602" s="303">
        <v>0.7</v>
      </c>
      <c r="X602" s="303">
        <v>0.7</v>
      </c>
      <c r="Y602" s="303">
        <v>0.7</v>
      </c>
      <c r="Z602" s="303">
        <v>1700</v>
      </c>
      <c r="AA602" s="303" t="s">
        <v>531</v>
      </c>
      <c r="AB602" s="303">
        <v>0.85</v>
      </c>
      <c r="AC602" s="303" t="s">
        <v>532</v>
      </c>
      <c r="AD602" s="303" t="s">
        <v>533</v>
      </c>
      <c r="AE602" s="303">
        <v>220</v>
      </c>
      <c r="AF602" s="324"/>
      <c r="AG602" s="325"/>
    </row>
    <row r="603" spans="1:33" ht="15" customHeight="1">
      <c r="A603" s="302" t="s">
        <v>797</v>
      </c>
      <c r="B603" s="303">
        <v>19</v>
      </c>
      <c r="C603" s="303">
        <v>626</v>
      </c>
      <c r="D603" s="303" t="s">
        <v>603</v>
      </c>
      <c r="E603" s="303">
        <v>1.5</v>
      </c>
      <c r="F603" s="304">
        <v>45421.779861111114</v>
      </c>
      <c r="G603" s="303">
        <v>1</v>
      </c>
      <c r="H603" s="303">
        <v>51.374099999999999</v>
      </c>
      <c r="I603" s="303">
        <v>7.3722599999999998</v>
      </c>
      <c r="J603" s="303">
        <v>-22.399594</v>
      </c>
      <c r="K603" s="303">
        <v>-21.581094</v>
      </c>
      <c r="L603" s="303">
        <v>1004.35</v>
      </c>
      <c r="M603" s="303">
        <v>112.000236</v>
      </c>
      <c r="N603" s="303">
        <v>17772.525030000001</v>
      </c>
      <c r="O603" s="303">
        <v>17760.71629</v>
      </c>
      <c r="P603" s="305">
        <v>2091.5705990000001</v>
      </c>
      <c r="Q603" s="299">
        <f t="shared" si="4"/>
        <v>2081.8242765347463</v>
      </c>
      <c r="R603" s="300" t="s">
        <v>787</v>
      </c>
      <c r="S603" s="300" t="s">
        <v>12</v>
      </c>
      <c r="T603" s="305" t="s">
        <v>530</v>
      </c>
      <c r="U603" s="305">
        <v>15</v>
      </c>
      <c r="V603" s="305">
        <v>5</v>
      </c>
      <c r="W603" s="303">
        <v>0.7</v>
      </c>
      <c r="X603" s="303">
        <v>0.7</v>
      </c>
      <c r="Y603" s="303">
        <v>0.7</v>
      </c>
      <c r="Z603" s="303">
        <v>1700</v>
      </c>
      <c r="AA603" s="303" t="s">
        <v>531</v>
      </c>
      <c r="AB603" s="303">
        <v>0.85</v>
      </c>
      <c r="AC603" s="303" t="s">
        <v>532</v>
      </c>
      <c r="AD603" s="303" t="s">
        <v>533</v>
      </c>
      <c r="AE603" s="303">
        <v>220</v>
      </c>
      <c r="AF603" s="324"/>
      <c r="AG603" s="325"/>
    </row>
    <row r="604" spans="1:33" ht="15" customHeight="1">
      <c r="A604" s="302" t="s">
        <v>798</v>
      </c>
      <c r="B604" s="303">
        <v>19</v>
      </c>
      <c r="C604" s="303">
        <v>626</v>
      </c>
      <c r="D604" s="303" t="s">
        <v>603</v>
      </c>
      <c r="E604" s="303">
        <v>1.5</v>
      </c>
      <c r="F604" s="304">
        <v>45421.783333333333</v>
      </c>
      <c r="G604" s="303">
        <v>1</v>
      </c>
      <c r="H604" s="303">
        <v>51.370800000000003</v>
      </c>
      <c r="I604" s="303">
        <v>7.4993699999999999</v>
      </c>
      <c r="J604" s="303">
        <v>-22.294944000000001</v>
      </c>
      <c r="K604" s="303">
        <v>-21.452193999999999</v>
      </c>
      <c r="L604" s="303">
        <v>997.16099999999994</v>
      </c>
      <c r="M604" s="303">
        <v>118.00071199999999</v>
      </c>
      <c r="N604" s="303">
        <v>17748.465690000001</v>
      </c>
      <c r="O604" s="303">
        <v>17760.71629</v>
      </c>
      <c r="P604" s="305">
        <v>2091.5705990000001</v>
      </c>
      <c r="Q604" s="299">
        <f t="shared" si="4"/>
        <v>2081.8242765347463</v>
      </c>
      <c r="R604" s="300" t="s">
        <v>787</v>
      </c>
      <c r="S604" s="300" t="s">
        <v>12</v>
      </c>
      <c r="T604" s="305" t="s">
        <v>530</v>
      </c>
      <c r="U604" s="305">
        <v>15</v>
      </c>
      <c r="V604" s="305">
        <v>5</v>
      </c>
      <c r="W604" s="303">
        <v>0.7</v>
      </c>
      <c r="X604" s="303">
        <v>0.7</v>
      </c>
      <c r="Y604" s="303">
        <v>0.7</v>
      </c>
      <c r="Z604" s="303">
        <v>1700</v>
      </c>
      <c r="AA604" s="303" t="s">
        <v>531</v>
      </c>
      <c r="AB604" s="303">
        <v>0.85</v>
      </c>
      <c r="AC604" s="303" t="s">
        <v>532</v>
      </c>
      <c r="AD604" s="303" t="s">
        <v>533</v>
      </c>
      <c r="AE604" s="303">
        <v>220</v>
      </c>
      <c r="AF604" s="324"/>
      <c r="AG604" s="325"/>
    </row>
    <row r="605" spans="1:33" ht="15" customHeight="1">
      <c r="A605" s="302" t="s">
        <v>799</v>
      </c>
      <c r="B605" s="303">
        <v>19</v>
      </c>
      <c r="C605" s="303">
        <v>626</v>
      </c>
      <c r="D605" s="303" t="s">
        <v>603</v>
      </c>
      <c r="E605" s="303">
        <v>1.5</v>
      </c>
      <c r="F605" s="304">
        <v>45421.786805555559</v>
      </c>
      <c r="G605" s="303">
        <v>1</v>
      </c>
      <c r="H605" s="303">
        <v>51.374099999999999</v>
      </c>
      <c r="I605" s="303">
        <v>7.4499599999999999</v>
      </c>
      <c r="J605" s="303">
        <v>-22.407525</v>
      </c>
      <c r="K605" s="303">
        <v>-21.565162000000001</v>
      </c>
      <c r="L605" s="303">
        <v>990.82100000000003</v>
      </c>
      <c r="M605" s="303">
        <v>112.000973</v>
      </c>
      <c r="N605" s="303">
        <v>17761.158149999999</v>
      </c>
      <c r="O605" s="303">
        <v>17760.71629</v>
      </c>
      <c r="P605" s="305">
        <v>2091.5705990000001</v>
      </c>
      <c r="Q605" s="299">
        <f t="shared" si="4"/>
        <v>2081.8242765347463</v>
      </c>
      <c r="R605" s="300" t="s">
        <v>787</v>
      </c>
      <c r="S605" s="300" t="s">
        <v>12</v>
      </c>
      <c r="T605" s="305" t="s">
        <v>530</v>
      </c>
      <c r="U605" s="305">
        <v>15</v>
      </c>
      <c r="V605" s="305">
        <v>5</v>
      </c>
      <c r="W605" s="303">
        <v>0.7</v>
      </c>
      <c r="X605" s="303">
        <v>0.7</v>
      </c>
      <c r="Y605" s="303">
        <v>0.7</v>
      </c>
      <c r="Z605" s="303">
        <v>1700</v>
      </c>
      <c r="AA605" s="303" t="s">
        <v>531</v>
      </c>
      <c r="AB605" s="303">
        <v>0.85</v>
      </c>
      <c r="AC605" s="303" t="s">
        <v>532</v>
      </c>
      <c r="AD605" s="303" t="s">
        <v>533</v>
      </c>
      <c r="AE605" s="303">
        <v>220</v>
      </c>
      <c r="AF605" s="324"/>
      <c r="AG605" s="325"/>
    </row>
    <row r="606" spans="1:33" ht="15" customHeight="1">
      <c r="A606" s="308" t="s">
        <v>800</v>
      </c>
      <c r="B606" s="309">
        <v>20</v>
      </c>
      <c r="C606" s="309" t="s">
        <v>788</v>
      </c>
      <c r="D606" s="309" t="s">
        <v>529</v>
      </c>
      <c r="E606" s="309">
        <v>1.5</v>
      </c>
      <c r="F606" s="310">
        <v>45421.790972222225</v>
      </c>
      <c r="G606" s="309">
        <v>1</v>
      </c>
      <c r="H606" s="309">
        <v>51.377400000000002</v>
      </c>
      <c r="I606" s="309">
        <v>7.5086399999999998</v>
      </c>
      <c r="J606" s="309">
        <v>-22.350531</v>
      </c>
      <c r="K606" s="309">
        <v>-21.524912</v>
      </c>
      <c r="L606" s="309">
        <v>984.10599999999999</v>
      </c>
      <c r="M606" s="309">
        <v>136.500865</v>
      </c>
      <c r="N606" s="309">
        <v>17662.4084</v>
      </c>
      <c r="O606" s="309">
        <v>17669.273789999999</v>
      </c>
      <c r="P606" s="311">
        <v>2080.7883189999998</v>
      </c>
      <c r="Q606" s="299">
        <f t="shared" si="4"/>
        <v>2071.0922399154097</v>
      </c>
      <c r="R606" s="300" t="s">
        <v>787</v>
      </c>
      <c r="S606" s="300" t="s">
        <v>12</v>
      </c>
      <c r="T606" s="305" t="s">
        <v>530</v>
      </c>
      <c r="U606" s="305">
        <v>15</v>
      </c>
      <c r="V606" s="305">
        <v>5</v>
      </c>
      <c r="W606" s="303">
        <v>0.7</v>
      </c>
      <c r="X606" s="303">
        <v>0.7</v>
      </c>
      <c r="Y606" s="303">
        <v>0.7</v>
      </c>
      <c r="Z606" s="303">
        <v>1700</v>
      </c>
      <c r="AA606" s="303" t="s">
        <v>531</v>
      </c>
      <c r="AB606" s="303">
        <v>0.85</v>
      </c>
      <c r="AC606" s="303" t="s">
        <v>532</v>
      </c>
      <c r="AD606" s="303" t="s">
        <v>533</v>
      </c>
      <c r="AE606" s="303">
        <v>220</v>
      </c>
      <c r="AF606" s="324"/>
      <c r="AG606" s="325"/>
    </row>
    <row r="607" spans="1:33" ht="15" customHeight="1">
      <c r="A607" s="308" t="s">
        <v>801</v>
      </c>
      <c r="B607" s="309">
        <v>20</v>
      </c>
      <c r="C607" s="309" t="s">
        <v>788</v>
      </c>
      <c r="D607" s="309" t="s">
        <v>529</v>
      </c>
      <c r="E607" s="309">
        <v>1.5</v>
      </c>
      <c r="F607" s="310">
        <v>45421.794444444444</v>
      </c>
      <c r="G607" s="309">
        <v>1</v>
      </c>
      <c r="H607" s="309">
        <v>51.380699999999997</v>
      </c>
      <c r="I607" s="309">
        <v>7.4958299999999998</v>
      </c>
      <c r="J607" s="309">
        <v>-22.379463000000001</v>
      </c>
      <c r="K607" s="309">
        <v>-21.576468999999999</v>
      </c>
      <c r="L607" s="309">
        <v>1007.58</v>
      </c>
      <c r="M607" s="309">
        <v>149.49981700000001</v>
      </c>
      <c r="N607" s="309">
        <v>17666.646830000002</v>
      </c>
      <c r="O607" s="309">
        <v>17669.273789999999</v>
      </c>
      <c r="P607" s="311">
        <v>2080.7883189999998</v>
      </c>
      <c r="Q607" s="299">
        <f t="shared" si="4"/>
        <v>2071.0922399154097</v>
      </c>
      <c r="R607" s="300" t="s">
        <v>787</v>
      </c>
      <c r="S607" s="300" t="s">
        <v>12</v>
      </c>
      <c r="T607" s="305" t="s">
        <v>530</v>
      </c>
      <c r="U607" s="305">
        <v>15</v>
      </c>
      <c r="V607" s="305">
        <v>5</v>
      </c>
      <c r="W607" s="303">
        <v>0.7</v>
      </c>
      <c r="X607" s="303">
        <v>0.7</v>
      </c>
      <c r="Y607" s="303">
        <v>0.7</v>
      </c>
      <c r="Z607" s="303">
        <v>1700</v>
      </c>
      <c r="AA607" s="303" t="s">
        <v>531</v>
      </c>
      <c r="AB607" s="303">
        <v>0.85</v>
      </c>
      <c r="AC607" s="303" t="s">
        <v>532</v>
      </c>
      <c r="AD607" s="303" t="s">
        <v>533</v>
      </c>
      <c r="AE607" s="303">
        <v>220</v>
      </c>
      <c r="AF607" s="324"/>
      <c r="AG607" s="325"/>
    </row>
    <row r="608" spans="1:33" ht="15" customHeight="1">
      <c r="A608" s="308" t="s">
        <v>802</v>
      </c>
      <c r="B608" s="309">
        <v>20</v>
      </c>
      <c r="C608" s="309" t="s">
        <v>788</v>
      </c>
      <c r="D608" s="309" t="s">
        <v>529</v>
      </c>
      <c r="E608" s="309">
        <v>1.5</v>
      </c>
      <c r="F608" s="310">
        <v>45421.798611111109</v>
      </c>
      <c r="G608" s="309">
        <v>1</v>
      </c>
      <c r="H608" s="309">
        <v>51.377400000000002</v>
      </c>
      <c r="I608" s="309">
        <v>7.3993200000000003</v>
      </c>
      <c r="J608" s="309">
        <v>-22.511956000000001</v>
      </c>
      <c r="K608" s="309">
        <v>-21.673749999999998</v>
      </c>
      <c r="L608" s="309">
        <v>980.15099999999995</v>
      </c>
      <c r="M608" s="309">
        <v>123.999877</v>
      </c>
      <c r="N608" s="309">
        <v>17678.766149999999</v>
      </c>
      <c r="O608" s="309">
        <v>17669.273789999999</v>
      </c>
      <c r="P608" s="311">
        <v>2080.7883189999998</v>
      </c>
      <c r="Q608" s="299">
        <f t="shared" si="4"/>
        <v>2071.0922399154097</v>
      </c>
      <c r="R608" s="300" t="s">
        <v>787</v>
      </c>
      <c r="S608" s="300" t="s">
        <v>12</v>
      </c>
      <c r="T608" s="305" t="s">
        <v>530</v>
      </c>
      <c r="U608" s="305">
        <v>15</v>
      </c>
      <c r="V608" s="305">
        <v>5</v>
      </c>
      <c r="W608" s="303">
        <v>0.7</v>
      </c>
      <c r="X608" s="303">
        <v>0.7</v>
      </c>
      <c r="Y608" s="303">
        <v>0.7</v>
      </c>
      <c r="Z608" s="303">
        <v>1700</v>
      </c>
      <c r="AA608" s="303" t="s">
        <v>531</v>
      </c>
      <c r="AB608" s="303">
        <v>0.85</v>
      </c>
      <c r="AC608" s="303" t="s">
        <v>532</v>
      </c>
      <c r="AD608" s="303" t="s">
        <v>533</v>
      </c>
      <c r="AE608" s="303">
        <v>220</v>
      </c>
      <c r="AF608" s="324"/>
      <c r="AG608" s="325"/>
    </row>
    <row r="609" spans="1:33" ht="15" customHeight="1">
      <c r="A609" s="302" t="s">
        <v>526</v>
      </c>
      <c r="B609" s="303" t="s">
        <v>527</v>
      </c>
      <c r="C609" s="303" t="s">
        <v>528</v>
      </c>
      <c r="D609" s="303" t="s">
        <v>529</v>
      </c>
      <c r="E609" s="303">
        <v>1</v>
      </c>
      <c r="F609" s="304">
        <v>45422.382638888892</v>
      </c>
      <c r="G609" s="303">
        <v>1</v>
      </c>
      <c r="H609" s="303">
        <v>51.370800000000003</v>
      </c>
      <c r="I609" s="303">
        <v>7.1568199999999997</v>
      </c>
      <c r="J609" s="303">
        <v>-22.165275000000001</v>
      </c>
      <c r="K609" s="303">
        <v>-21.320619000000001</v>
      </c>
      <c r="L609" s="303">
        <v>888.71299999999997</v>
      </c>
      <c r="M609" s="303">
        <v>106.999887</v>
      </c>
      <c r="N609" s="303">
        <v>11491.780339999999</v>
      </c>
      <c r="O609" s="303">
        <v>11491.780339999999</v>
      </c>
      <c r="P609" s="305">
        <v>2038.11121</v>
      </c>
      <c r="Q609" s="299">
        <f t="shared" ref="Q609:Q690" si="5">P609</f>
        <v>2038.11121</v>
      </c>
      <c r="R609" s="300" t="s">
        <v>230</v>
      </c>
      <c r="S609" s="300" t="s">
        <v>12</v>
      </c>
      <c r="T609" s="305" t="s">
        <v>530</v>
      </c>
      <c r="U609" s="305">
        <v>15</v>
      </c>
      <c r="V609" s="305">
        <v>5</v>
      </c>
      <c r="W609" s="303">
        <v>0.7</v>
      </c>
      <c r="X609" s="303">
        <v>0.7</v>
      </c>
      <c r="Y609" s="303">
        <v>0.7</v>
      </c>
      <c r="Z609" s="303">
        <v>1700</v>
      </c>
      <c r="AA609" s="303" t="s">
        <v>531</v>
      </c>
      <c r="AB609" s="303">
        <v>0.85</v>
      </c>
      <c r="AC609" s="303" t="s">
        <v>532</v>
      </c>
      <c r="AD609" s="303" t="s">
        <v>533</v>
      </c>
      <c r="AE609" s="303">
        <v>220</v>
      </c>
      <c r="AF609" s="329"/>
      <c r="AG609" s="325"/>
    </row>
    <row r="610" spans="1:33" ht="15" customHeight="1">
      <c r="A610" s="302" t="s">
        <v>534</v>
      </c>
      <c r="B610" s="303" t="s">
        <v>527</v>
      </c>
      <c r="C610" s="303" t="s">
        <v>528</v>
      </c>
      <c r="D610" s="303" t="s">
        <v>529</v>
      </c>
      <c r="E610" s="303">
        <v>1</v>
      </c>
      <c r="F610" s="304">
        <v>45422.385416666664</v>
      </c>
      <c r="G610" s="303">
        <v>1</v>
      </c>
      <c r="H610" s="303">
        <v>51.374099999999999</v>
      </c>
      <c r="I610" s="303">
        <v>8.0304300000000008</v>
      </c>
      <c r="J610" s="303">
        <v>-22.317837999999998</v>
      </c>
      <c r="K610" s="303">
        <v>-21.474319000000001</v>
      </c>
      <c r="L610" s="303">
        <v>880.94500000000005</v>
      </c>
      <c r="M610" s="303">
        <v>99.999212999999997</v>
      </c>
      <c r="N610" s="303">
        <v>11417.595079999999</v>
      </c>
      <c r="O610" s="303">
        <v>11417.595079999999</v>
      </c>
      <c r="P610" s="305">
        <v>2025.1049849999999</v>
      </c>
      <c r="Q610" s="299">
        <f t="shared" si="5"/>
        <v>2025.1049849999999</v>
      </c>
      <c r="R610" s="300" t="s">
        <v>230</v>
      </c>
      <c r="S610" s="300" t="s">
        <v>12</v>
      </c>
      <c r="T610" s="305" t="s">
        <v>530</v>
      </c>
      <c r="U610" s="305">
        <v>15</v>
      </c>
      <c r="V610" s="305">
        <v>5</v>
      </c>
      <c r="W610" s="303">
        <v>0.7</v>
      </c>
      <c r="X610" s="303">
        <v>0.7</v>
      </c>
      <c r="Y610" s="303">
        <v>0.7</v>
      </c>
      <c r="Z610" s="303">
        <v>1700</v>
      </c>
      <c r="AA610" s="303" t="s">
        <v>531</v>
      </c>
      <c r="AB610" s="303">
        <v>0.85</v>
      </c>
      <c r="AC610" s="303" t="s">
        <v>532</v>
      </c>
      <c r="AD610" s="303" t="s">
        <v>533</v>
      </c>
      <c r="AE610" s="303">
        <v>220</v>
      </c>
      <c r="AF610" s="329"/>
      <c r="AG610" s="325"/>
    </row>
    <row r="611" spans="1:33" ht="15" customHeight="1">
      <c r="A611" s="302" t="s">
        <v>535</v>
      </c>
      <c r="B611" s="303" t="s">
        <v>527</v>
      </c>
      <c r="C611" s="303" t="s">
        <v>528</v>
      </c>
      <c r="D611" s="303" t="s">
        <v>529</v>
      </c>
      <c r="E611" s="303">
        <v>1</v>
      </c>
      <c r="F611" s="304">
        <v>45422.388194444444</v>
      </c>
      <c r="G611" s="303">
        <v>1</v>
      </c>
      <c r="H611" s="303">
        <v>51.364100000000001</v>
      </c>
      <c r="I611" s="303">
        <v>7.8153800000000002</v>
      </c>
      <c r="J611" s="303">
        <v>-22.235212000000001</v>
      </c>
      <c r="K611" s="303">
        <v>-21.392806</v>
      </c>
      <c r="L611" s="303">
        <v>882.63099999999997</v>
      </c>
      <c r="M611" s="303">
        <v>92.500324000000006</v>
      </c>
      <c r="N611" s="303">
        <v>11405.31251</v>
      </c>
      <c r="O611" s="303">
        <v>11405.31251</v>
      </c>
      <c r="P611" s="305">
        <v>2022.951595</v>
      </c>
      <c r="Q611" s="299">
        <f t="shared" si="5"/>
        <v>2022.951595</v>
      </c>
      <c r="R611" s="300" t="s">
        <v>230</v>
      </c>
      <c r="S611" s="300" t="s">
        <v>12</v>
      </c>
      <c r="T611" s="305" t="s">
        <v>530</v>
      </c>
      <c r="U611" s="305">
        <v>15</v>
      </c>
      <c r="V611" s="305">
        <v>5</v>
      </c>
      <c r="W611" s="303">
        <v>0.7</v>
      </c>
      <c r="X611" s="303">
        <v>0.7</v>
      </c>
      <c r="Y611" s="303">
        <v>0.7</v>
      </c>
      <c r="Z611" s="303">
        <v>1700</v>
      </c>
      <c r="AA611" s="303" t="s">
        <v>531</v>
      </c>
      <c r="AB611" s="303">
        <v>0.85</v>
      </c>
      <c r="AC611" s="303" t="s">
        <v>532</v>
      </c>
      <c r="AD611" s="303" t="s">
        <v>533</v>
      </c>
      <c r="AE611" s="303">
        <v>220</v>
      </c>
      <c r="AF611" s="329"/>
      <c r="AG611" s="325"/>
    </row>
    <row r="612" spans="1:33" ht="15" customHeight="1">
      <c r="A612" s="302" t="s">
        <v>536</v>
      </c>
      <c r="B612" s="303" t="s">
        <v>527</v>
      </c>
      <c r="C612" s="303" t="s">
        <v>528</v>
      </c>
      <c r="D612" s="303" t="s">
        <v>529</v>
      </c>
      <c r="E612" s="303">
        <v>1</v>
      </c>
      <c r="F612" s="304">
        <v>45422.39166666667</v>
      </c>
      <c r="G612" s="303">
        <v>1</v>
      </c>
      <c r="H612" s="303">
        <v>51.370800000000003</v>
      </c>
      <c r="I612" s="303">
        <v>7.6570299999999998</v>
      </c>
      <c r="J612" s="303">
        <v>-22.351593999999999</v>
      </c>
      <c r="K612" s="303">
        <v>-21.505580999999999</v>
      </c>
      <c r="L612" s="303">
        <v>883.226</v>
      </c>
      <c r="M612" s="303">
        <v>94.999917999999994</v>
      </c>
      <c r="N612" s="303">
        <v>11413.068660000001</v>
      </c>
      <c r="O612" s="303">
        <v>11413.068660000001</v>
      </c>
      <c r="P612" s="305">
        <v>2024.31141</v>
      </c>
      <c r="Q612" s="299">
        <f t="shared" si="5"/>
        <v>2024.31141</v>
      </c>
      <c r="R612" s="300" t="s">
        <v>230</v>
      </c>
      <c r="S612" s="300" t="s">
        <v>12</v>
      </c>
      <c r="T612" s="305" t="s">
        <v>530</v>
      </c>
      <c r="U612" s="305">
        <v>15</v>
      </c>
      <c r="V612" s="305">
        <v>5</v>
      </c>
      <c r="W612" s="303">
        <v>0.7</v>
      </c>
      <c r="X612" s="303">
        <v>0.7</v>
      </c>
      <c r="Y612" s="303">
        <v>0.7</v>
      </c>
      <c r="Z612" s="303">
        <v>1700</v>
      </c>
      <c r="AA612" s="303" t="s">
        <v>531</v>
      </c>
      <c r="AB612" s="303">
        <v>0.85</v>
      </c>
      <c r="AC612" s="303" t="s">
        <v>532</v>
      </c>
      <c r="AD612" s="303" t="s">
        <v>533</v>
      </c>
      <c r="AE612" s="303">
        <v>220</v>
      </c>
      <c r="AF612" s="329"/>
      <c r="AG612" s="325"/>
    </row>
    <row r="613" spans="1:33" ht="15" customHeight="1">
      <c r="A613" s="302" t="s">
        <v>695</v>
      </c>
      <c r="B613" s="303" t="s">
        <v>543</v>
      </c>
      <c r="C613" s="303" t="s">
        <v>803</v>
      </c>
      <c r="D613" s="303" t="s">
        <v>529</v>
      </c>
      <c r="E613" s="303">
        <v>1.2</v>
      </c>
      <c r="F613" s="304">
        <v>45422.398611111108</v>
      </c>
      <c r="G613" s="303">
        <v>1</v>
      </c>
      <c r="H613" s="303">
        <v>51.374099999999999</v>
      </c>
      <c r="I613" s="303">
        <v>7.5752899999999999</v>
      </c>
      <c r="J613" s="303">
        <v>-22.423869</v>
      </c>
      <c r="K613" s="303">
        <v>-21.582412000000001</v>
      </c>
      <c r="L613" s="303">
        <v>986.91800000000001</v>
      </c>
      <c r="M613" s="303">
        <v>104.499861</v>
      </c>
      <c r="N613" s="303">
        <v>13996.981379999999</v>
      </c>
      <c r="O613" s="303">
        <v>14087.172399999999</v>
      </c>
      <c r="P613" s="305">
        <v>2070.3456999999999</v>
      </c>
      <c r="Q613" s="299">
        <f t="shared" si="5"/>
        <v>2070.3456999999999</v>
      </c>
      <c r="R613" s="300" t="s">
        <v>230</v>
      </c>
      <c r="S613" s="300" t="s">
        <v>12</v>
      </c>
      <c r="T613" s="305" t="s">
        <v>545</v>
      </c>
      <c r="U613" s="305">
        <v>15</v>
      </c>
      <c r="V613" s="305">
        <v>5</v>
      </c>
      <c r="W613" s="303">
        <v>0.7</v>
      </c>
      <c r="X613" s="303">
        <v>0.7</v>
      </c>
      <c r="Y613" s="303">
        <v>0.7</v>
      </c>
      <c r="Z613" s="303">
        <v>1700</v>
      </c>
      <c r="AA613" s="303" t="s">
        <v>531</v>
      </c>
      <c r="AB613" s="303">
        <v>0.85</v>
      </c>
      <c r="AC613" s="303" t="s">
        <v>532</v>
      </c>
      <c r="AD613" s="303" t="s">
        <v>533</v>
      </c>
      <c r="AE613" s="303">
        <v>220</v>
      </c>
      <c r="AF613" s="329"/>
      <c r="AG613" s="325"/>
    </row>
    <row r="614" spans="1:33" ht="15" customHeight="1">
      <c r="A614" s="302" t="s">
        <v>697</v>
      </c>
      <c r="B614" s="303" t="s">
        <v>543</v>
      </c>
      <c r="C614" s="303" t="s">
        <v>803</v>
      </c>
      <c r="D614" s="303" t="s">
        <v>529</v>
      </c>
      <c r="E614" s="303">
        <v>1.2</v>
      </c>
      <c r="F614" s="304">
        <v>45422.402083333334</v>
      </c>
      <c r="G614" s="303">
        <v>1</v>
      </c>
      <c r="H614" s="303">
        <v>51.370800000000003</v>
      </c>
      <c r="I614" s="303">
        <v>7.6503199999999998</v>
      </c>
      <c r="J614" s="303">
        <v>-22.464044000000001</v>
      </c>
      <c r="K614" s="303">
        <v>-21.618994000000001</v>
      </c>
      <c r="L614" s="303">
        <v>968.11500000000001</v>
      </c>
      <c r="M614" s="303">
        <v>121.49865200000001</v>
      </c>
      <c r="N614" s="303">
        <v>14097.29269</v>
      </c>
      <c r="O614" s="303">
        <v>14087.172399999999</v>
      </c>
      <c r="P614" s="305">
        <v>2070.3456999999999</v>
      </c>
      <c r="Q614" s="299">
        <f t="shared" si="5"/>
        <v>2070.3456999999999</v>
      </c>
      <c r="R614" s="300" t="s">
        <v>230</v>
      </c>
      <c r="S614" s="300" t="s">
        <v>12</v>
      </c>
      <c r="T614" s="305" t="s">
        <v>530</v>
      </c>
      <c r="U614" s="305">
        <v>15</v>
      </c>
      <c r="V614" s="305">
        <v>5</v>
      </c>
      <c r="W614" s="303">
        <v>0.7</v>
      </c>
      <c r="X614" s="303">
        <v>0.7</v>
      </c>
      <c r="Y614" s="303">
        <v>0.7</v>
      </c>
      <c r="Z614" s="303">
        <v>1700</v>
      </c>
      <c r="AA614" s="303" t="s">
        <v>531</v>
      </c>
      <c r="AB614" s="303">
        <v>0.85</v>
      </c>
      <c r="AC614" s="303" t="s">
        <v>532</v>
      </c>
      <c r="AD614" s="303" t="s">
        <v>533</v>
      </c>
      <c r="AE614" s="303">
        <v>220</v>
      </c>
      <c r="AF614" s="329"/>
      <c r="AG614" s="325"/>
    </row>
    <row r="615" spans="1:33" ht="15" customHeight="1">
      <c r="A615" s="302" t="s">
        <v>698</v>
      </c>
      <c r="B615" s="303" t="s">
        <v>543</v>
      </c>
      <c r="C615" s="303" t="s">
        <v>803</v>
      </c>
      <c r="D615" s="303" t="s">
        <v>529</v>
      </c>
      <c r="E615" s="303">
        <v>1.2</v>
      </c>
      <c r="F615" s="304">
        <v>45422.405555555553</v>
      </c>
      <c r="G615" s="303">
        <v>1</v>
      </c>
      <c r="H615" s="303">
        <v>51.370800000000003</v>
      </c>
      <c r="I615" s="303">
        <v>7.3623500000000002</v>
      </c>
      <c r="J615" s="303">
        <v>-22.440930999999999</v>
      </c>
      <c r="K615" s="303">
        <v>-21.594044</v>
      </c>
      <c r="L615" s="303">
        <v>984.12599999999998</v>
      </c>
      <c r="M615" s="303">
        <v>98.49924</v>
      </c>
      <c r="N615" s="303">
        <v>14084.94146</v>
      </c>
      <c r="O615" s="303">
        <v>14087.172399999999</v>
      </c>
      <c r="P615" s="305">
        <v>2070.3456999999999</v>
      </c>
      <c r="Q615" s="299">
        <f t="shared" si="5"/>
        <v>2070.3456999999999</v>
      </c>
      <c r="R615" s="300" t="s">
        <v>230</v>
      </c>
      <c r="S615" s="300" t="s">
        <v>12</v>
      </c>
      <c r="T615" s="305" t="s">
        <v>530</v>
      </c>
      <c r="U615" s="305">
        <v>15</v>
      </c>
      <c r="V615" s="305">
        <v>5</v>
      </c>
      <c r="W615" s="303">
        <v>0.7</v>
      </c>
      <c r="X615" s="303">
        <v>0.7</v>
      </c>
      <c r="Y615" s="303">
        <v>0.7</v>
      </c>
      <c r="Z615" s="303">
        <v>1700</v>
      </c>
      <c r="AA615" s="303" t="s">
        <v>531</v>
      </c>
      <c r="AB615" s="303">
        <v>0.85</v>
      </c>
      <c r="AC615" s="303" t="s">
        <v>532</v>
      </c>
      <c r="AD615" s="303" t="s">
        <v>533</v>
      </c>
      <c r="AE615" s="303">
        <v>220</v>
      </c>
      <c r="AF615" s="329"/>
      <c r="AG615" s="325"/>
    </row>
    <row r="616" spans="1:33" ht="15" customHeight="1">
      <c r="A616" s="302" t="s">
        <v>699</v>
      </c>
      <c r="B616" s="303" t="s">
        <v>543</v>
      </c>
      <c r="C616" s="303" t="s">
        <v>803</v>
      </c>
      <c r="D616" s="303" t="s">
        <v>529</v>
      </c>
      <c r="E616" s="303">
        <v>1.2</v>
      </c>
      <c r="F616" s="304">
        <v>45422.40902777778</v>
      </c>
      <c r="G616" s="303">
        <v>1</v>
      </c>
      <c r="H616" s="303">
        <v>51.370800000000003</v>
      </c>
      <c r="I616" s="303">
        <v>7.31942</v>
      </c>
      <c r="J616" s="303">
        <v>-22.419775000000001</v>
      </c>
      <c r="K616" s="303">
        <v>-21.583769</v>
      </c>
      <c r="L616" s="303">
        <v>988.66499999999996</v>
      </c>
      <c r="M616" s="303">
        <v>97.000118000000001</v>
      </c>
      <c r="N616" s="303">
        <v>14079.28305</v>
      </c>
      <c r="O616" s="303">
        <v>14087.172399999999</v>
      </c>
      <c r="P616" s="305">
        <v>2070.3456999999999</v>
      </c>
      <c r="Q616" s="299">
        <f t="shared" si="5"/>
        <v>2070.3456999999999</v>
      </c>
      <c r="R616" s="300" t="s">
        <v>230</v>
      </c>
      <c r="S616" s="300" t="s">
        <v>12</v>
      </c>
      <c r="T616" s="305" t="s">
        <v>530</v>
      </c>
      <c r="U616" s="305">
        <v>15</v>
      </c>
      <c r="V616" s="305">
        <v>5</v>
      </c>
      <c r="W616" s="303">
        <v>0.7</v>
      </c>
      <c r="X616" s="303">
        <v>0.7</v>
      </c>
      <c r="Y616" s="303">
        <v>0.7</v>
      </c>
      <c r="Z616" s="303">
        <v>1700</v>
      </c>
      <c r="AA616" s="303" t="s">
        <v>531</v>
      </c>
      <c r="AB616" s="303">
        <v>0.85</v>
      </c>
      <c r="AC616" s="303" t="s">
        <v>532</v>
      </c>
      <c r="AD616" s="303" t="s">
        <v>533</v>
      </c>
      <c r="AE616" s="303">
        <v>220</v>
      </c>
      <c r="AF616" s="329"/>
      <c r="AG616" s="325"/>
    </row>
    <row r="617" spans="1:33" ht="15" customHeight="1">
      <c r="A617" s="302" t="s">
        <v>700</v>
      </c>
      <c r="B617" s="303" t="s">
        <v>550</v>
      </c>
      <c r="C617" s="303" t="s">
        <v>803</v>
      </c>
      <c r="D617" s="303" t="s">
        <v>529</v>
      </c>
      <c r="E617" s="303">
        <v>1.5</v>
      </c>
      <c r="F617" s="304">
        <v>45422.411805555559</v>
      </c>
      <c r="G617" s="303">
        <v>1</v>
      </c>
      <c r="H617" s="303">
        <v>51.3675</v>
      </c>
      <c r="I617" s="303">
        <v>7.5620700000000003</v>
      </c>
      <c r="J617" s="303">
        <v>-22.5063</v>
      </c>
      <c r="K617" s="303">
        <v>-21.692049999999998</v>
      </c>
      <c r="L617" s="303">
        <v>994.71799999999996</v>
      </c>
      <c r="M617" s="303">
        <v>130.00054900000001</v>
      </c>
      <c r="N617" s="303">
        <v>17672.538570000001</v>
      </c>
      <c r="O617" s="303">
        <v>17663.701270000001</v>
      </c>
      <c r="P617" s="305">
        <v>2070.3456999999999</v>
      </c>
      <c r="Q617" s="299">
        <f t="shared" si="5"/>
        <v>2070.3456999999999</v>
      </c>
      <c r="R617" s="300" t="s">
        <v>230</v>
      </c>
      <c r="S617" s="300" t="s">
        <v>12</v>
      </c>
      <c r="T617" s="305" t="s">
        <v>530</v>
      </c>
      <c r="U617" s="305">
        <v>15</v>
      </c>
      <c r="V617" s="305">
        <v>5</v>
      </c>
      <c r="W617" s="303">
        <v>0.7</v>
      </c>
      <c r="X617" s="303">
        <v>0.7</v>
      </c>
      <c r="Y617" s="303">
        <v>0.7</v>
      </c>
      <c r="Z617" s="303">
        <v>1700</v>
      </c>
      <c r="AA617" s="303" t="s">
        <v>531</v>
      </c>
      <c r="AB617" s="303">
        <v>0.85</v>
      </c>
      <c r="AC617" s="303" t="s">
        <v>532</v>
      </c>
      <c r="AD617" s="303" t="s">
        <v>533</v>
      </c>
      <c r="AE617" s="303">
        <v>220</v>
      </c>
      <c r="AF617" s="329"/>
      <c r="AG617" s="325"/>
    </row>
    <row r="618" spans="1:33" ht="15" customHeight="1">
      <c r="A618" s="302" t="s">
        <v>701</v>
      </c>
      <c r="B618" s="303" t="s">
        <v>550</v>
      </c>
      <c r="C618" s="303" t="s">
        <v>803</v>
      </c>
      <c r="D618" s="303" t="s">
        <v>529</v>
      </c>
      <c r="E618" s="303">
        <v>1.5</v>
      </c>
      <c r="F618" s="304">
        <v>45422.415972222225</v>
      </c>
      <c r="G618" s="303">
        <v>1</v>
      </c>
      <c r="H618" s="303">
        <v>51.370800000000003</v>
      </c>
      <c r="I618" s="303">
        <v>7.5855499999999996</v>
      </c>
      <c r="J618" s="303">
        <v>-22.539705999999999</v>
      </c>
      <c r="K618" s="303">
        <v>-21.696662</v>
      </c>
      <c r="L618" s="303">
        <v>999.72400000000005</v>
      </c>
      <c r="M618" s="303">
        <v>153.99968699999999</v>
      </c>
      <c r="N618" s="303">
        <v>17648.641510000001</v>
      </c>
      <c r="O618" s="303">
        <v>17663.701270000001</v>
      </c>
      <c r="P618" s="305">
        <v>2070.3456999999999</v>
      </c>
      <c r="Q618" s="299">
        <f t="shared" si="5"/>
        <v>2070.3456999999999</v>
      </c>
      <c r="R618" s="300" t="s">
        <v>230</v>
      </c>
      <c r="S618" s="300" t="s">
        <v>12</v>
      </c>
      <c r="T618" s="305" t="s">
        <v>530</v>
      </c>
      <c r="U618" s="305">
        <v>15</v>
      </c>
      <c r="V618" s="305">
        <v>5</v>
      </c>
      <c r="W618" s="303">
        <v>0.7</v>
      </c>
      <c r="X618" s="303">
        <v>0.7</v>
      </c>
      <c r="Y618" s="303">
        <v>0.7</v>
      </c>
      <c r="Z618" s="303">
        <v>1700</v>
      </c>
      <c r="AA618" s="303" t="s">
        <v>531</v>
      </c>
      <c r="AB618" s="303">
        <v>0.85</v>
      </c>
      <c r="AC618" s="303" t="s">
        <v>532</v>
      </c>
      <c r="AD618" s="303" t="s">
        <v>533</v>
      </c>
      <c r="AE618" s="303">
        <v>220</v>
      </c>
      <c r="AF618" s="329"/>
      <c r="AG618" s="325"/>
    </row>
    <row r="619" spans="1:33" ht="15" customHeight="1">
      <c r="A619" s="302" t="s">
        <v>702</v>
      </c>
      <c r="B619" s="303" t="s">
        <v>550</v>
      </c>
      <c r="C619" s="303" t="s">
        <v>803</v>
      </c>
      <c r="D619" s="303" t="s">
        <v>529</v>
      </c>
      <c r="E619" s="303">
        <v>1.5</v>
      </c>
      <c r="F619" s="304">
        <v>45422.419444444444</v>
      </c>
      <c r="G619" s="303">
        <v>1</v>
      </c>
      <c r="H619" s="303">
        <v>51.3675</v>
      </c>
      <c r="I619" s="303">
        <v>7.5899000000000001</v>
      </c>
      <c r="J619" s="303">
        <v>-22.534931</v>
      </c>
      <c r="K619" s="303">
        <v>-21.699162000000001</v>
      </c>
      <c r="L619" s="303">
        <v>990.16700000000003</v>
      </c>
      <c r="M619" s="303">
        <v>146.00143499999999</v>
      </c>
      <c r="N619" s="303">
        <v>17669.923750000002</v>
      </c>
      <c r="O619" s="303">
        <v>17663.701270000001</v>
      </c>
      <c r="P619" s="305">
        <v>2070.3456999999999</v>
      </c>
      <c r="Q619" s="299">
        <f t="shared" si="5"/>
        <v>2070.3456999999999</v>
      </c>
      <c r="R619" s="300" t="s">
        <v>230</v>
      </c>
      <c r="S619" s="300" t="s">
        <v>12</v>
      </c>
      <c r="T619" s="305" t="s">
        <v>530</v>
      </c>
      <c r="U619" s="305">
        <v>15</v>
      </c>
      <c r="V619" s="305">
        <v>5</v>
      </c>
      <c r="W619" s="303">
        <v>0.7</v>
      </c>
      <c r="X619" s="303">
        <v>0.7</v>
      </c>
      <c r="Y619" s="303">
        <v>0.7</v>
      </c>
      <c r="Z619" s="303">
        <v>1700</v>
      </c>
      <c r="AA619" s="303" t="s">
        <v>531</v>
      </c>
      <c r="AB619" s="303">
        <v>0.85</v>
      </c>
      <c r="AC619" s="303" t="s">
        <v>532</v>
      </c>
      <c r="AD619" s="303" t="s">
        <v>533</v>
      </c>
      <c r="AE619" s="303">
        <v>220</v>
      </c>
      <c r="AF619" s="329"/>
      <c r="AG619" s="325"/>
    </row>
    <row r="620" spans="1:33" ht="15" customHeight="1">
      <c r="A620" s="302" t="s">
        <v>703</v>
      </c>
      <c r="B620" s="303" t="s">
        <v>554</v>
      </c>
      <c r="C620" s="303" t="s">
        <v>803</v>
      </c>
      <c r="D620" s="303" t="s">
        <v>529</v>
      </c>
      <c r="E620" s="303">
        <v>1.8</v>
      </c>
      <c r="F620" s="304">
        <v>45422.423611111109</v>
      </c>
      <c r="G620" s="303">
        <v>1</v>
      </c>
      <c r="H620" s="303">
        <v>51.370800000000003</v>
      </c>
      <c r="I620" s="303">
        <v>7.4857100000000001</v>
      </c>
      <c r="J620" s="303">
        <v>-22.501525000000001</v>
      </c>
      <c r="K620" s="303">
        <v>-21.665037000000002</v>
      </c>
      <c r="L620" s="303">
        <v>1006.62</v>
      </c>
      <c r="M620" s="303">
        <v>133.49966900000001</v>
      </c>
      <c r="N620" s="303">
        <v>21155.23833</v>
      </c>
      <c r="O620" s="303">
        <v>21168.58973</v>
      </c>
      <c r="P620" s="305">
        <v>2070.3456999999999</v>
      </c>
      <c r="Q620" s="299">
        <f t="shared" si="5"/>
        <v>2070.3456999999999</v>
      </c>
      <c r="R620" s="300" t="s">
        <v>230</v>
      </c>
      <c r="S620" s="300" t="s">
        <v>12</v>
      </c>
      <c r="T620" s="305" t="s">
        <v>530</v>
      </c>
      <c r="U620" s="305">
        <v>15</v>
      </c>
      <c r="V620" s="305">
        <v>5</v>
      </c>
      <c r="W620" s="303">
        <v>0.7</v>
      </c>
      <c r="X620" s="303">
        <v>0.7</v>
      </c>
      <c r="Y620" s="303">
        <v>0.7</v>
      </c>
      <c r="Z620" s="303">
        <v>1700</v>
      </c>
      <c r="AA620" s="303" t="s">
        <v>531</v>
      </c>
      <c r="AB620" s="303">
        <v>0.85</v>
      </c>
      <c r="AC620" s="303" t="s">
        <v>532</v>
      </c>
      <c r="AD620" s="303" t="s">
        <v>533</v>
      </c>
      <c r="AE620" s="303">
        <v>220</v>
      </c>
      <c r="AF620" s="329"/>
      <c r="AG620" s="325"/>
    </row>
    <row r="621" spans="1:33" ht="15" customHeight="1">
      <c r="A621" s="302" t="s">
        <v>704</v>
      </c>
      <c r="B621" s="303" t="s">
        <v>554</v>
      </c>
      <c r="C621" s="303" t="s">
        <v>803</v>
      </c>
      <c r="D621" s="303" t="s">
        <v>529</v>
      </c>
      <c r="E621" s="303">
        <v>1.8</v>
      </c>
      <c r="F621" s="304">
        <v>45422.427777777775</v>
      </c>
      <c r="G621" s="303">
        <v>1</v>
      </c>
      <c r="H621" s="303">
        <v>51.374099999999999</v>
      </c>
      <c r="I621" s="303">
        <v>7.5701200000000002</v>
      </c>
      <c r="J621" s="303">
        <v>-22.453937</v>
      </c>
      <c r="K621" s="303">
        <v>-21.613706000000001</v>
      </c>
      <c r="L621" s="303">
        <v>1004.86</v>
      </c>
      <c r="M621" s="303">
        <v>133.00100699999999</v>
      </c>
      <c r="N621" s="303">
        <v>21180.20175</v>
      </c>
      <c r="O621" s="303">
        <v>21168.58973</v>
      </c>
      <c r="P621" s="305">
        <v>2070.3456999999999</v>
      </c>
      <c r="Q621" s="299">
        <f t="shared" si="5"/>
        <v>2070.3456999999999</v>
      </c>
      <c r="R621" s="300" t="s">
        <v>230</v>
      </c>
      <c r="S621" s="300" t="s">
        <v>12</v>
      </c>
      <c r="T621" s="305" t="s">
        <v>530</v>
      </c>
      <c r="U621" s="305">
        <v>15</v>
      </c>
      <c r="V621" s="305">
        <v>5</v>
      </c>
      <c r="W621" s="303">
        <v>0.7</v>
      </c>
      <c r="X621" s="303">
        <v>0.7</v>
      </c>
      <c r="Y621" s="303">
        <v>0.7</v>
      </c>
      <c r="Z621" s="303">
        <v>1700</v>
      </c>
      <c r="AA621" s="303" t="s">
        <v>531</v>
      </c>
      <c r="AB621" s="303">
        <v>0.85</v>
      </c>
      <c r="AC621" s="303" t="s">
        <v>532</v>
      </c>
      <c r="AD621" s="303" t="s">
        <v>533</v>
      </c>
      <c r="AE621" s="303">
        <v>220</v>
      </c>
      <c r="AF621" s="329"/>
      <c r="AG621" s="325"/>
    </row>
    <row r="622" spans="1:33" ht="15" customHeight="1">
      <c r="A622" s="302" t="s">
        <v>705</v>
      </c>
      <c r="B622" s="303" t="s">
        <v>554</v>
      </c>
      <c r="C622" s="303" t="s">
        <v>803</v>
      </c>
      <c r="D622" s="303" t="s">
        <v>529</v>
      </c>
      <c r="E622" s="303">
        <v>1.8</v>
      </c>
      <c r="F622" s="304">
        <v>45422.431250000001</v>
      </c>
      <c r="G622" s="303">
        <v>1</v>
      </c>
      <c r="H622" s="303">
        <v>51.377400000000002</v>
      </c>
      <c r="I622" s="303">
        <v>7.5320499999999999</v>
      </c>
      <c r="J622" s="303">
        <v>-22.413205999999999</v>
      </c>
      <c r="K622" s="303">
        <v>-21.573868999999998</v>
      </c>
      <c r="L622" s="303">
        <v>998.83100000000002</v>
      </c>
      <c r="M622" s="303">
        <v>127.50079700000001</v>
      </c>
      <c r="N622" s="303">
        <v>21170.329099999999</v>
      </c>
      <c r="O622" s="303">
        <v>21168.58973</v>
      </c>
      <c r="P622" s="305">
        <v>2070.3456999999999</v>
      </c>
      <c r="Q622" s="299">
        <f t="shared" si="5"/>
        <v>2070.3456999999999</v>
      </c>
      <c r="R622" s="300" t="s">
        <v>230</v>
      </c>
      <c r="S622" s="300" t="s">
        <v>12</v>
      </c>
      <c r="T622" s="305" t="s">
        <v>530</v>
      </c>
      <c r="U622" s="305">
        <v>15</v>
      </c>
      <c r="V622" s="305">
        <v>5</v>
      </c>
      <c r="W622" s="303">
        <v>0.7</v>
      </c>
      <c r="X622" s="303">
        <v>0.7</v>
      </c>
      <c r="Y622" s="303">
        <v>0.7</v>
      </c>
      <c r="Z622" s="303">
        <v>1700</v>
      </c>
      <c r="AA622" s="303" t="s">
        <v>531</v>
      </c>
      <c r="AB622" s="303">
        <v>0.85</v>
      </c>
      <c r="AC622" s="303" t="s">
        <v>532</v>
      </c>
      <c r="AD622" s="303" t="s">
        <v>533</v>
      </c>
      <c r="AE622" s="303">
        <v>220</v>
      </c>
      <c r="AF622" s="329"/>
      <c r="AG622" s="325"/>
    </row>
    <row r="623" spans="1:33" ht="15" customHeight="1">
      <c r="A623" s="308" t="s">
        <v>538</v>
      </c>
      <c r="B623" s="309">
        <v>2</v>
      </c>
      <c r="C623" s="309" t="s">
        <v>803</v>
      </c>
      <c r="D623" s="309" t="s">
        <v>529</v>
      </c>
      <c r="E623" s="309">
        <v>1.5</v>
      </c>
      <c r="F623" s="310">
        <v>45422.43472222222</v>
      </c>
      <c r="G623" s="309">
        <v>1</v>
      </c>
      <c r="H623" s="309">
        <v>51.370800000000003</v>
      </c>
      <c r="I623" s="309">
        <v>7.5565800000000003</v>
      </c>
      <c r="J623" s="309">
        <v>-22.207350000000002</v>
      </c>
      <c r="K623" s="309">
        <v>-21.364162</v>
      </c>
      <c r="L623" s="309">
        <v>996.68799999999999</v>
      </c>
      <c r="M623" s="309">
        <v>128.00040100000001</v>
      </c>
      <c r="N623" s="309">
        <v>17640.975610000001</v>
      </c>
      <c r="O623" s="309">
        <v>17653.651119999999</v>
      </c>
      <c r="P623" s="311">
        <v>2069.1821530000002</v>
      </c>
      <c r="Q623" s="299">
        <f t="shared" si="5"/>
        <v>2069.1821530000002</v>
      </c>
      <c r="R623" s="300" t="s">
        <v>230</v>
      </c>
      <c r="S623" s="300" t="s">
        <v>12</v>
      </c>
      <c r="T623" s="305" t="s">
        <v>530</v>
      </c>
      <c r="U623" s="305">
        <v>15</v>
      </c>
      <c r="V623" s="305">
        <v>5</v>
      </c>
      <c r="W623" s="303">
        <v>0.7</v>
      </c>
      <c r="X623" s="303">
        <v>0.7</v>
      </c>
      <c r="Y623" s="303">
        <v>0.7</v>
      </c>
      <c r="Z623" s="303">
        <v>1700</v>
      </c>
      <c r="AA623" s="303" t="s">
        <v>531</v>
      </c>
      <c r="AB623" s="303">
        <v>0.85</v>
      </c>
      <c r="AC623" s="303" t="s">
        <v>532</v>
      </c>
      <c r="AD623" s="303" t="s">
        <v>533</v>
      </c>
      <c r="AE623" s="303">
        <v>220</v>
      </c>
      <c r="AF623" s="329"/>
      <c r="AG623" s="325"/>
    </row>
    <row r="624" spans="1:33" ht="15" customHeight="1">
      <c r="A624" s="308" t="s">
        <v>708</v>
      </c>
      <c r="B624" s="309">
        <v>2</v>
      </c>
      <c r="C624" s="309" t="s">
        <v>803</v>
      </c>
      <c r="D624" s="309" t="s">
        <v>529</v>
      </c>
      <c r="E624" s="309">
        <v>1.5</v>
      </c>
      <c r="F624" s="310">
        <v>45422.438194444447</v>
      </c>
      <c r="G624" s="309">
        <v>1</v>
      </c>
      <c r="H624" s="309">
        <v>51.3675</v>
      </c>
      <c r="I624" s="309">
        <v>7.5022700000000002</v>
      </c>
      <c r="J624" s="309">
        <v>-22.400293999999999</v>
      </c>
      <c r="K624" s="309">
        <v>-21.566687999999999</v>
      </c>
      <c r="L624" s="309">
        <v>1013.54</v>
      </c>
      <c r="M624" s="309">
        <v>120.501715</v>
      </c>
      <c r="N624" s="309">
        <v>17660.467530000002</v>
      </c>
      <c r="O624" s="309">
        <v>17653.651119999999</v>
      </c>
      <c r="P624" s="311">
        <v>2069.1821530000002</v>
      </c>
      <c r="Q624" s="299">
        <f t="shared" si="5"/>
        <v>2069.1821530000002</v>
      </c>
      <c r="R624" s="300" t="s">
        <v>230</v>
      </c>
      <c r="S624" s="300" t="s">
        <v>12</v>
      </c>
      <c r="T624" s="305" t="s">
        <v>530</v>
      </c>
      <c r="U624" s="305">
        <v>15</v>
      </c>
      <c r="V624" s="305">
        <v>5</v>
      </c>
      <c r="W624" s="303">
        <v>0.7</v>
      </c>
      <c r="X624" s="303">
        <v>0.7</v>
      </c>
      <c r="Y624" s="303">
        <v>0.7</v>
      </c>
      <c r="Z624" s="303">
        <v>1700</v>
      </c>
      <c r="AA624" s="303" t="s">
        <v>531</v>
      </c>
      <c r="AB624" s="303">
        <v>0.85</v>
      </c>
      <c r="AC624" s="303" t="s">
        <v>532</v>
      </c>
      <c r="AD624" s="303" t="s">
        <v>533</v>
      </c>
      <c r="AE624" s="303">
        <v>220</v>
      </c>
      <c r="AF624" s="329"/>
      <c r="AG624" s="325"/>
    </row>
    <row r="625" spans="1:33" ht="15" customHeight="1">
      <c r="A625" s="308" t="s">
        <v>709</v>
      </c>
      <c r="B625" s="309">
        <v>2</v>
      </c>
      <c r="C625" s="309" t="s">
        <v>803</v>
      </c>
      <c r="D625" s="309" t="s">
        <v>529</v>
      </c>
      <c r="E625" s="309">
        <v>1.5</v>
      </c>
      <c r="F625" s="310">
        <v>45422.442361111112</v>
      </c>
      <c r="G625" s="309">
        <v>1</v>
      </c>
      <c r="H625" s="309">
        <v>51.370800000000003</v>
      </c>
      <c r="I625" s="309">
        <v>7.4266800000000002</v>
      </c>
      <c r="J625" s="309">
        <v>-22.527113</v>
      </c>
      <c r="K625" s="309">
        <v>-21.680681</v>
      </c>
      <c r="L625" s="309">
        <v>991.64300000000003</v>
      </c>
      <c r="M625" s="309">
        <v>129.49882700000001</v>
      </c>
      <c r="N625" s="309">
        <v>17659.51021</v>
      </c>
      <c r="O625" s="309">
        <v>17653.651119999999</v>
      </c>
      <c r="P625" s="311">
        <v>2069.1821530000002</v>
      </c>
      <c r="Q625" s="299">
        <f t="shared" si="5"/>
        <v>2069.1821530000002</v>
      </c>
      <c r="R625" s="300" t="s">
        <v>230</v>
      </c>
      <c r="S625" s="300" t="s">
        <v>12</v>
      </c>
      <c r="T625" s="305" t="s">
        <v>530</v>
      </c>
      <c r="U625" s="305">
        <v>15</v>
      </c>
      <c r="V625" s="305">
        <v>5</v>
      </c>
      <c r="W625" s="303">
        <v>0.7</v>
      </c>
      <c r="X625" s="303">
        <v>0.7</v>
      </c>
      <c r="Y625" s="303">
        <v>0.7</v>
      </c>
      <c r="Z625" s="303">
        <v>1700</v>
      </c>
      <c r="AA625" s="303" t="s">
        <v>531</v>
      </c>
      <c r="AB625" s="303">
        <v>0.85</v>
      </c>
      <c r="AC625" s="303" t="s">
        <v>532</v>
      </c>
      <c r="AD625" s="303" t="s">
        <v>533</v>
      </c>
      <c r="AE625" s="303">
        <v>220</v>
      </c>
      <c r="AF625" s="329"/>
      <c r="AG625" s="325"/>
    </row>
    <row r="626" spans="1:33" ht="15" customHeight="1">
      <c r="A626" s="302" t="s">
        <v>539</v>
      </c>
      <c r="B626" s="303">
        <v>3</v>
      </c>
      <c r="C626" s="303">
        <v>586</v>
      </c>
      <c r="D626" s="303" t="s">
        <v>561</v>
      </c>
      <c r="E626" s="303">
        <v>1.5</v>
      </c>
      <c r="F626" s="304">
        <v>45422.446527777778</v>
      </c>
      <c r="G626" s="303">
        <v>1</v>
      </c>
      <c r="H626" s="303">
        <v>51.374099999999999</v>
      </c>
      <c r="I626" s="303">
        <v>7.2926799999999998</v>
      </c>
      <c r="J626" s="303">
        <v>-22.361505999999999</v>
      </c>
      <c r="K626" s="303">
        <v>-21.511987000000001</v>
      </c>
      <c r="L626" s="303">
        <v>1002.32</v>
      </c>
      <c r="M626" s="303">
        <v>107.499656</v>
      </c>
      <c r="N626" s="303">
        <v>17782.200990000001</v>
      </c>
      <c r="O626" s="303">
        <v>17779.792379999999</v>
      </c>
      <c r="P626" s="305">
        <v>2084.0607570000002</v>
      </c>
      <c r="Q626" s="299">
        <f t="shared" si="5"/>
        <v>2084.0607570000002</v>
      </c>
      <c r="R626" s="300" t="s">
        <v>230</v>
      </c>
      <c r="S626" s="300" t="s">
        <v>12</v>
      </c>
      <c r="T626" s="305" t="s">
        <v>530</v>
      </c>
      <c r="U626" s="305">
        <v>15</v>
      </c>
      <c r="V626" s="305">
        <v>5</v>
      </c>
      <c r="W626" s="303">
        <v>0.7</v>
      </c>
      <c r="X626" s="303">
        <v>0.7</v>
      </c>
      <c r="Y626" s="303">
        <v>0.7</v>
      </c>
      <c r="Z626" s="303">
        <v>1700</v>
      </c>
      <c r="AA626" s="303" t="s">
        <v>531</v>
      </c>
      <c r="AB626" s="303">
        <v>0.85</v>
      </c>
      <c r="AC626" s="303" t="s">
        <v>532</v>
      </c>
      <c r="AD626" s="303" t="s">
        <v>533</v>
      </c>
      <c r="AE626" s="303">
        <v>220</v>
      </c>
      <c r="AF626" s="329"/>
      <c r="AG626" s="325"/>
    </row>
    <row r="627" spans="1:33" ht="15" customHeight="1">
      <c r="A627" s="302" t="s">
        <v>710</v>
      </c>
      <c r="B627" s="303">
        <v>3</v>
      </c>
      <c r="C627" s="303">
        <v>586</v>
      </c>
      <c r="D627" s="303" t="s">
        <v>561</v>
      </c>
      <c r="E627" s="303">
        <v>1.5</v>
      </c>
      <c r="F627" s="304">
        <v>45422.45</v>
      </c>
      <c r="G627" s="303">
        <v>1</v>
      </c>
      <c r="H627" s="303">
        <v>51.374099999999999</v>
      </c>
      <c r="I627" s="303">
        <v>7.4647699999999997</v>
      </c>
      <c r="J627" s="303">
        <v>-22.474886999999999</v>
      </c>
      <c r="K627" s="303">
        <v>-21.647787000000001</v>
      </c>
      <c r="L627" s="303">
        <v>1001.51</v>
      </c>
      <c r="M627" s="303">
        <v>123.500241</v>
      </c>
      <c r="N627" s="303">
        <v>17745.22984</v>
      </c>
      <c r="O627" s="303">
        <v>17779.792379999999</v>
      </c>
      <c r="P627" s="305">
        <v>2084.0607570000002</v>
      </c>
      <c r="Q627" s="299">
        <f t="shared" si="5"/>
        <v>2084.0607570000002</v>
      </c>
      <c r="R627" s="300" t="s">
        <v>230</v>
      </c>
      <c r="S627" s="300" t="s">
        <v>12</v>
      </c>
      <c r="T627" s="305" t="s">
        <v>545</v>
      </c>
      <c r="U627" s="305">
        <v>15</v>
      </c>
      <c r="V627" s="305">
        <v>5</v>
      </c>
      <c r="W627" s="303">
        <v>0.7</v>
      </c>
      <c r="X627" s="303">
        <v>0.7</v>
      </c>
      <c r="Y627" s="303">
        <v>0.7</v>
      </c>
      <c r="Z627" s="303">
        <v>1700</v>
      </c>
      <c r="AA627" s="303" t="s">
        <v>531</v>
      </c>
      <c r="AB627" s="303">
        <v>0.85</v>
      </c>
      <c r="AC627" s="303" t="s">
        <v>532</v>
      </c>
      <c r="AD627" s="303" t="s">
        <v>533</v>
      </c>
      <c r="AE627" s="303">
        <v>220</v>
      </c>
      <c r="AF627" s="329"/>
      <c r="AG627" s="325"/>
    </row>
    <row r="628" spans="1:33" ht="15" customHeight="1">
      <c r="A628" s="302" t="s">
        <v>711</v>
      </c>
      <c r="B628" s="303">
        <v>3</v>
      </c>
      <c r="C628" s="303">
        <v>586</v>
      </c>
      <c r="D628" s="303" t="s">
        <v>561</v>
      </c>
      <c r="E628" s="303">
        <v>1.5</v>
      </c>
      <c r="F628" s="304">
        <v>45422.453472222223</v>
      </c>
      <c r="G628" s="303">
        <v>1</v>
      </c>
      <c r="H628" s="303">
        <v>51.374099999999999</v>
      </c>
      <c r="I628" s="303">
        <v>7.4240300000000001</v>
      </c>
      <c r="J628" s="303">
        <v>-22.492861999999999</v>
      </c>
      <c r="K628" s="303">
        <v>-21.643988</v>
      </c>
      <c r="L628" s="303">
        <v>1003.08</v>
      </c>
      <c r="M628" s="303">
        <v>113.49914800000001</v>
      </c>
      <c r="N628" s="303">
        <v>17767.792740000001</v>
      </c>
      <c r="O628" s="303">
        <v>17779.792379999999</v>
      </c>
      <c r="P628" s="305">
        <v>2084.0607570000002</v>
      </c>
      <c r="Q628" s="299">
        <f t="shared" si="5"/>
        <v>2084.0607570000002</v>
      </c>
      <c r="R628" s="300" t="s">
        <v>230</v>
      </c>
      <c r="S628" s="300" t="s">
        <v>12</v>
      </c>
      <c r="T628" s="305" t="s">
        <v>530</v>
      </c>
      <c r="U628" s="305">
        <v>15</v>
      </c>
      <c r="V628" s="305">
        <v>5</v>
      </c>
      <c r="W628" s="303">
        <v>0.7</v>
      </c>
      <c r="X628" s="303">
        <v>0.7</v>
      </c>
      <c r="Y628" s="303">
        <v>0.7</v>
      </c>
      <c r="Z628" s="303">
        <v>1700</v>
      </c>
      <c r="AA628" s="303" t="s">
        <v>531</v>
      </c>
      <c r="AB628" s="303">
        <v>0.85</v>
      </c>
      <c r="AC628" s="303" t="s">
        <v>532</v>
      </c>
      <c r="AD628" s="303" t="s">
        <v>533</v>
      </c>
      <c r="AE628" s="303">
        <v>220</v>
      </c>
      <c r="AF628" s="329"/>
      <c r="AG628" s="325"/>
    </row>
    <row r="629" spans="1:33" ht="15" customHeight="1">
      <c r="A629" s="302" t="s">
        <v>712</v>
      </c>
      <c r="B629" s="303">
        <v>3</v>
      </c>
      <c r="C629" s="303">
        <v>586</v>
      </c>
      <c r="D629" s="303" t="s">
        <v>561</v>
      </c>
      <c r="E629" s="303">
        <v>1.5</v>
      </c>
      <c r="F629" s="304">
        <v>45422.456944444442</v>
      </c>
      <c r="G629" s="303">
        <v>1</v>
      </c>
      <c r="H629" s="303">
        <v>51.3675</v>
      </c>
      <c r="I629" s="303">
        <v>7.30924</v>
      </c>
      <c r="J629" s="303">
        <v>-22.574175</v>
      </c>
      <c r="K629" s="303">
        <v>-21.734912999999999</v>
      </c>
      <c r="L629" s="303">
        <v>1007.1</v>
      </c>
      <c r="M629" s="303">
        <v>110.000276</v>
      </c>
      <c r="N629" s="303">
        <v>17789.383399999999</v>
      </c>
      <c r="O629" s="303">
        <v>17779.792379999999</v>
      </c>
      <c r="P629" s="305">
        <v>2084.0607570000002</v>
      </c>
      <c r="Q629" s="299">
        <f t="shared" si="5"/>
        <v>2084.0607570000002</v>
      </c>
      <c r="R629" s="300" t="s">
        <v>230</v>
      </c>
      <c r="S629" s="300" t="s">
        <v>12</v>
      </c>
      <c r="T629" s="305" t="s">
        <v>530</v>
      </c>
      <c r="U629" s="305">
        <v>15</v>
      </c>
      <c r="V629" s="305">
        <v>5</v>
      </c>
      <c r="W629" s="303">
        <v>0.7</v>
      </c>
      <c r="X629" s="303">
        <v>0.7</v>
      </c>
      <c r="Y629" s="303">
        <v>0.7</v>
      </c>
      <c r="Z629" s="303">
        <v>1700</v>
      </c>
      <c r="AA629" s="303" t="s">
        <v>531</v>
      </c>
      <c r="AB629" s="303">
        <v>0.85</v>
      </c>
      <c r="AC629" s="303" t="s">
        <v>532</v>
      </c>
      <c r="AD629" s="303" t="s">
        <v>533</v>
      </c>
      <c r="AE629" s="303">
        <v>220</v>
      </c>
      <c r="AF629" s="329"/>
      <c r="AG629" s="325"/>
    </row>
    <row r="630" spans="1:33" ht="15" customHeight="1">
      <c r="A630" s="302" t="s">
        <v>540</v>
      </c>
      <c r="B630" s="303">
        <v>4</v>
      </c>
      <c r="C630" s="303">
        <v>587</v>
      </c>
      <c r="D630" s="303" t="s">
        <v>565</v>
      </c>
      <c r="E630" s="303">
        <v>1.5</v>
      </c>
      <c r="F630" s="304">
        <v>45422.460416666669</v>
      </c>
      <c r="G630" s="303">
        <v>1</v>
      </c>
      <c r="H630" s="303">
        <v>51.370800000000003</v>
      </c>
      <c r="I630" s="303">
        <v>7.3961199999999998</v>
      </c>
      <c r="J630" s="303">
        <v>-22.552444000000001</v>
      </c>
      <c r="K630" s="303">
        <v>-21.703012000000001</v>
      </c>
      <c r="L630" s="303">
        <v>1014.94</v>
      </c>
      <c r="M630" s="303">
        <v>122.000828</v>
      </c>
      <c r="N630" s="303">
        <v>17815.196029999999</v>
      </c>
      <c r="O630" s="303">
        <v>17809.571220000002</v>
      </c>
      <c r="P630" s="305">
        <v>2087.5788429999998</v>
      </c>
      <c r="Q630" s="299">
        <f t="shared" si="5"/>
        <v>2087.5788429999998</v>
      </c>
      <c r="R630" s="300" t="s">
        <v>230</v>
      </c>
      <c r="S630" s="300" t="s">
        <v>12</v>
      </c>
      <c r="T630" s="305" t="s">
        <v>530</v>
      </c>
      <c r="U630" s="305">
        <v>15</v>
      </c>
      <c r="V630" s="305">
        <v>5</v>
      </c>
      <c r="W630" s="303">
        <v>0.7</v>
      </c>
      <c r="X630" s="303">
        <v>0.7</v>
      </c>
      <c r="Y630" s="303">
        <v>0.7</v>
      </c>
      <c r="Z630" s="303">
        <v>1700</v>
      </c>
      <c r="AA630" s="303" t="s">
        <v>531</v>
      </c>
      <c r="AB630" s="303">
        <v>0.85</v>
      </c>
      <c r="AC630" s="303" t="s">
        <v>532</v>
      </c>
      <c r="AD630" s="303" t="s">
        <v>533</v>
      </c>
      <c r="AE630" s="303">
        <v>220</v>
      </c>
      <c r="AF630" s="329"/>
      <c r="AG630" s="325"/>
    </row>
    <row r="631" spans="1:33" ht="15" customHeight="1">
      <c r="A631" s="302" t="s">
        <v>713</v>
      </c>
      <c r="B631" s="303">
        <v>4</v>
      </c>
      <c r="C631" s="303">
        <v>587</v>
      </c>
      <c r="D631" s="303" t="s">
        <v>565</v>
      </c>
      <c r="E631" s="303">
        <v>1.5</v>
      </c>
      <c r="F631" s="304">
        <v>45422.464583333334</v>
      </c>
      <c r="G631" s="303">
        <v>1</v>
      </c>
      <c r="H631" s="303">
        <v>51.374099999999999</v>
      </c>
      <c r="I631" s="303">
        <v>7.4287099999999997</v>
      </c>
      <c r="J631" s="303">
        <v>-22.593744000000001</v>
      </c>
      <c r="K631" s="303">
        <v>-21.748805999999998</v>
      </c>
      <c r="L631" s="303">
        <v>998.68200000000002</v>
      </c>
      <c r="M631" s="303">
        <v>128.49963600000001</v>
      </c>
      <c r="N631" s="303">
        <v>17815.95247</v>
      </c>
      <c r="O631" s="303">
        <v>17809.571220000002</v>
      </c>
      <c r="P631" s="305">
        <v>2087.5788429999998</v>
      </c>
      <c r="Q631" s="299">
        <f t="shared" si="5"/>
        <v>2087.5788429999998</v>
      </c>
      <c r="R631" s="300" t="s">
        <v>230</v>
      </c>
      <c r="S631" s="300" t="s">
        <v>12</v>
      </c>
      <c r="T631" s="305" t="s">
        <v>530</v>
      </c>
      <c r="U631" s="305">
        <v>15</v>
      </c>
      <c r="V631" s="305">
        <v>5</v>
      </c>
      <c r="W631" s="303">
        <v>0.7</v>
      </c>
      <c r="X631" s="303">
        <v>0.7</v>
      </c>
      <c r="Y631" s="303">
        <v>0.7</v>
      </c>
      <c r="Z631" s="303">
        <v>1700</v>
      </c>
      <c r="AA631" s="303" t="s">
        <v>531</v>
      </c>
      <c r="AB631" s="303">
        <v>0.85</v>
      </c>
      <c r="AC631" s="303" t="s">
        <v>532</v>
      </c>
      <c r="AD631" s="303" t="s">
        <v>533</v>
      </c>
      <c r="AE631" s="303">
        <v>220</v>
      </c>
      <c r="AF631" s="329"/>
      <c r="AG631" s="325"/>
    </row>
    <row r="632" spans="1:33" ht="15" customHeight="1">
      <c r="A632" s="302" t="s">
        <v>714</v>
      </c>
      <c r="B632" s="303">
        <v>4</v>
      </c>
      <c r="C632" s="303">
        <v>587</v>
      </c>
      <c r="D632" s="303" t="s">
        <v>565</v>
      </c>
      <c r="E632" s="303">
        <v>1.5</v>
      </c>
      <c r="F632" s="304">
        <v>45422.468055555553</v>
      </c>
      <c r="G632" s="303">
        <v>1</v>
      </c>
      <c r="H632" s="303">
        <v>51.374099999999999</v>
      </c>
      <c r="I632" s="303">
        <v>7.4418499999999996</v>
      </c>
      <c r="J632" s="303">
        <v>-22.481694000000001</v>
      </c>
      <c r="K632" s="303">
        <v>-21.667380999999999</v>
      </c>
      <c r="L632" s="303">
        <v>1018.02</v>
      </c>
      <c r="M632" s="303">
        <v>118.50192199999999</v>
      </c>
      <c r="N632" s="303">
        <v>17797.565149999999</v>
      </c>
      <c r="O632" s="303">
        <v>17809.571220000002</v>
      </c>
      <c r="P632" s="305">
        <v>2087.5788429999998</v>
      </c>
      <c r="Q632" s="299">
        <f t="shared" si="5"/>
        <v>2087.5788429999998</v>
      </c>
      <c r="R632" s="300" t="s">
        <v>230</v>
      </c>
      <c r="S632" s="300" t="s">
        <v>12</v>
      </c>
      <c r="T632" s="305" t="s">
        <v>530</v>
      </c>
      <c r="U632" s="305">
        <v>15</v>
      </c>
      <c r="V632" s="305">
        <v>5</v>
      </c>
      <c r="W632" s="303">
        <v>0.7</v>
      </c>
      <c r="X632" s="303">
        <v>0.7</v>
      </c>
      <c r="Y632" s="303">
        <v>0.7</v>
      </c>
      <c r="Z632" s="303">
        <v>1700</v>
      </c>
      <c r="AA632" s="303" t="s">
        <v>531</v>
      </c>
      <c r="AB632" s="303">
        <v>0.85</v>
      </c>
      <c r="AC632" s="303" t="s">
        <v>532</v>
      </c>
      <c r="AD632" s="303" t="s">
        <v>533</v>
      </c>
      <c r="AE632" s="303">
        <v>220</v>
      </c>
      <c r="AF632" s="329"/>
      <c r="AG632" s="325"/>
    </row>
    <row r="633" spans="1:33" ht="15" customHeight="1">
      <c r="A633" s="302" t="s">
        <v>541</v>
      </c>
      <c r="B633" s="303">
        <v>5</v>
      </c>
      <c r="C633" s="303">
        <v>521</v>
      </c>
      <c r="D633" s="303" t="s">
        <v>570</v>
      </c>
      <c r="E633" s="303">
        <v>1.5</v>
      </c>
      <c r="F633" s="304">
        <v>45422.472222222219</v>
      </c>
      <c r="G633" s="303">
        <v>1</v>
      </c>
      <c r="H633" s="303">
        <v>51.370800000000003</v>
      </c>
      <c r="I633" s="303">
        <v>7.4474400000000003</v>
      </c>
      <c r="J633" s="303">
        <v>-22.535</v>
      </c>
      <c r="K633" s="303">
        <v>-21.727993999999999</v>
      </c>
      <c r="L633" s="303">
        <v>967.947</v>
      </c>
      <c r="M633" s="303">
        <v>114.999424</v>
      </c>
      <c r="N633" s="303">
        <v>17485.62586</v>
      </c>
      <c r="O633" s="303">
        <v>17482.726490000001</v>
      </c>
      <c r="P633" s="305">
        <v>2049.393521</v>
      </c>
      <c r="Q633" s="299">
        <f t="shared" si="5"/>
        <v>2049.393521</v>
      </c>
      <c r="R633" s="300" t="s">
        <v>230</v>
      </c>
      <c r="S633" s="300" t="s">
        <v>12</v>
      </c>
      <c r="T633" s="305" t="s">
        <v>530</v>
      </c>
      <c r="U633" s="305">
        <v>15</v>
      </c>
      <c r="V633" s="305">
        <v>5</v>
      </c>
      <c r="W633" s="303">
        <v>0.7</v>
      </c>
      <c r="X633" s="303">
        <v>0.7</v>
      </c>
      <c r="Y633" s="303">
        <v>0.7</v>
      </c>
      <c r="Z633" s="303">
        <v>1700</v>
      </c>
      <c r="AA633" s="303" t="s">
        <v>531</v>
      </c>
      <c r="AB633" s="303">
        <v>0.85</v>
      </c>
      <c r="AC633" s="303" t="s">
        <v>532</v>
      </c>
      <c r="AD633" s="303" t="s">
        <v>533</v>
      </c>
      <c r="AE633" s="303">
        <v>220</v>
      </c>
      <c r="AF633" s="329"/>
      <c r="AG633" s="325"/>
    </row>
    <row r="634" spans="1:33" ht="15" customHeight="1">
      <c r="A634" s="302" t="s">
        <v>715</v>
      </c>
      <c r="B634" s="303">
        <v>5</v>
      </c>
      <c r="C634" s="303">
        <v>521</v>
      </c>
      <c r="D634" s="303" t="s">
        <v>570</v>
      </c>
      <c r="E634" s="303">
        <v>1.5</v>
      </c>
      <c r="F634" s="304">
        <v>45422.475694444445</v>
      </c>
      <c r="G634" s="303">
        <v>1</v>
      </c>
      <c r="H634" s="303">
        <v>51.374099999999999</v>
      </c>
      <c r="I634" s="303">
        <v>7.5586500000000001</v>
      </c>
      <c r="J634" s="303">
        <v>-22.5029</v>
      </c>
      <c r="K634" s="303">
        <v>-21.679237000000001</v>
      </c>
      <c r="L634" s="303">
        <v>989.03700000000003</v>
      </c>
      <c r="M634" s="303">
        <v>127.000648</v>
      </c>
      <c r="N634" s="303">
        <v>17494.857909999999</v>
      </c>
      <c r="O634" s="303">
        <v>17482.726490000001</v>
      </c>
      <c r="P634" s="305">
        <v>2049.393521</v>
      </c>
      <c r="Q634" s="299">
        <f t="shared" si="5"/>
        <v>2049.393521</v>
      </c>
      <c r="R634" s="300" t="s">
        <v>230</v>
      </c>
      <c r="S634" s="300" t="s">
        <v>12</v>
      </c>
      <c r="T634" s="305" t="s">
        <v>530</v>
      </c>
      <c r="U634" s="305">
        <v>15</v>
      </c>
      <c r="V634" s="305">
        <v>5</v>
      </c>
      <c r="W634" s="303">
        <v>0.7</v>
      </c>
      <c r="X634" s="303">
        <v>0.7</v>
      </c>
      <c r="Y634" s="303">
        <v>0.7</v>
      </c>
      <c r="Z634" s="303">
        <v>1700</v>
      </c>
      <c r="AA634" s="303" t="s">
        <v>531</v>
      </c>
      <c r="AB634" s="303">
        <v>0.85</v>
      </c>
      <c r="AC634" s="303" t="s">
        <v>532</v>
      </c>
      <c r="AD634" s="303" t="s">
        <v>533</v>
      </c>
      <c r="AE634" s="303">
        <v>220</v>
      </c>
      <c r="AF634" s="329"/>
      <c r="AG634" s="325"/>
    </row>
    <row r="635" spans="1:33" ht="15" customHeight="1">
      <c r="A635" s="302" t="s">
        <v>716</v>
      </c>
      <c r="B635" s="303">
        <v>5</v>
      </c>
      <c r="C635" s="303">
        <v>521</v>
      </c>
      <c r="D635" s="303" t="s">
        <v>570</v>
      </c>
      <c r="E635" s="303">
        <v>1.5</v>
      </c>
      <c r="F635" s="304">
        <v>45422.479166666664</v>
      </c>
      <c r="G635" s="303">
        <v>1</v>
      </c>
      <c r="H635" s="303">
        <v>51.377400000000002</v>
      </c>
      <c r="I635" s="303">
        <v>7.5366400000000002</v>
      </c>
      <c r="J635" s="303">
        <v>-22.508531000000001</v>
      </c>
      <c r="K635" s="303">
        <v>-21.675937999999999</v>
      </c>
      <c r="L635" s="303">
        <v>978.86400000000003</v>
      </c>
      <c r="M635" s="303">
        <v>116.99898399999999</v>
      </c>
      <c r="N635" s="303">
        <v>17578.417219999999</v>
      </c>
      <c r="O635" s="303">
        <v>17482.726490000001</v>
      </c>
      <c r="P635" s="305">
        <v>2049.393521</v>
      </c>
      <c r="Q635" s="299">
        <f t="shared" si="5"/>
        <v>2049.393521</v>
      </c>
      <c r="R635" s="300" t="s">
        <v>230</v>
      </c>
      <c r="S635" s="300" t="s">
        <v>12</v>
      </c>
      <c r="T635" s="305" t="s">
        <v>545</v>
      </c>
      <c r="U635" s="305">
        <v>15</v>
      </c>
      <c r="V635" s="305">
        <v>5</v>
      </c>
      <c r="W635" s="303">
        <v>0.7</v>
      </c>
      <c r="X635" s="303">
        <v>0.7</v>
      </c>
      <c r="Y635" s="303">
        <v>0.7</v>
      </c>
      <c r="Z635" s="303">
        <v>1700</v>
      </c>
      <c r="AA635" s="303" t="s">
        <v>531</v>
      </c>
      <c r="AB635" s="303">
        <v>0.85</v>
      </c>
      <c r="AC635" s="303" t="s">
        <v>532</v>
      </c>
      <c r="AD635" s="303" t="s">
        <v>533</v>
      </c>
      <c r="AE635" s="303">
        <v>220</v>
      </c>
      <c r="AF635" s="329"/>
      <c r="AG635" s="325"/>
    </row>
    <row r="636" spans="1:33" ht="15" customHeight="1">
      <c r="A636" s="302" t="s">
        <v>717</v>
      </c>
      <c r="B636" s="303">
        <v>5</v>
      </c>
      <c r="C636" s="303">
        <v>521</v>
      </c>
      <c r="D636" s="303" t="s">
        <v>570</v>
      </c>
      <c r="E636" s="303">
        <v>1.5</v>
      </c>
      <c r="F636" s="304">
        <v>45422.482638888891</v>
      </c>
      <c r="G636" s="303">
        <v>1</v>
      </c>
      <c r="H636" s="303">
        <v>51.370800000000003</v>
      </c>
      <c r="I636" s="303">
        <v>7.6004300000000002</v>
      </c>
      <c r="J636" s="303">
        <v>-22.551012</v>
      </c>
      <c r="K636" s="303">
        <v>-21.753931000000001</v>
      </c>
      <c r="L636" s="303">
        <v>970.95899999999995</v>
      </c>
      <c r="M636" s="303">
        <v>131.00071199999999</v>
      </c>
      <c r="N636" s="303">
        <v>17467.69569</v>
      </c>
      <c r="O636" s="303">
        <v>17482.726490000001</v>
      </c>
      <c r="P636" s="305">
        <v>2049.393521</v>
      </c>
      <c r="Q636" s="299">
        <f t="shared" si="5"/>
        <v>2049.393521</v>
      </c>
      <c r="R636" s="300" t="s">
        <v>230</v>
      </c>
      <c r="S636" s="300" t="s">
        <v>12</v>
      </c>
      <c r="T636" s="305" t="s">
        <v>530</v>
      </c>
      <c r="U636" s="305">
        <v>15</v>
      </c>
      <c r="V636" s="305">
        <v>5</v>
      </c>
      <c r="W636" s="303">
        <v>0.7</v>
      </c>
      <c r="X636" s="303">
        <v>0.7</v>
      </c>
      <c r="Y636" s="303">
        <v>0.7</v>
      </c>
      <c r="Z636" s="303">
        <v>1700</v>
      </c>
      <c r="AA636" s="303" t="s">
        <v>531</v>
      </c>
      <c r="AB636" s="303">
        <v>0.85</v>
      </c>
      <c r="AC636" s="303" t="s">
        <v>532</v>
      </c>
      <c r="AD636" s="303" t="s">
        <v>533</v>
      </c>
      <c r="AE636" s="303">
        <v>220</v>
      </c>
      <c r="AF636" s="329"/>
      <c r="AG636" s="325"/>
    </row>
    <row r="637" spans="1:33" ht="15" customHeight="1">
      <c r="A637" s="302" t="s">
        <v>657</v>
      </c>
      <c r="B637" s="303">
        <v>6</v>
      </c>
      <c r="C637" s="303">
        <v>522</v>
      </c>
      <c r="D637" s="303" t="s">
        <v>575</v>
      </c>
      <c r="E637" s="303">
        <v>1.5</v>
      </c>
      <c r="F637" s="304">
        <v>45422.486805555556</v>
      </c>
      <c r="G637" s="303">
        <v>1</v>
      </c>
      <c r="H637" s="303">
        <v>51.374099999999999</v>
      </c>
      <c r="I637" s="303">
        <v>7.4653799999999997</v>
      </c>
      <c r="J637" s="303">
        <v>-22.571044000000001</v>
      </c>
      <c r="K637" s="303">
        <v>-21.741012000000001</v>
      </c>
      <c r="L637" s="303">
        <v>974.77</v>
      </c>
      <c r="M637" s="303">
        <v>128.00037699999999</v>
      </c>
      <c r="N637" s="303">
        <v>17395.378580000001</v>
      </c>
      <c r="O637" s="303">
        <v>17448.467840000001</v>
      </c>
      <c r="P637" s="305">
        <v>2045.427259</v>
      </c>
      <c r="Q637" s="299">
        <f t="shared" si="5"/>
        <v>2045.427259</v>
      </c>
      <c r="R637" s="300" t="s">
        <v>230</v>
      </c>
      <c r="S637" s="300" t="s">
        <v>12</v>
      </c>
      <c r="T637" s="305" t="s">
        <v>545</v>
      </c>
      <c r="U637" s="305">
        <v>15</v>
      </c>
      <c r="V637" s="305">
        <v>5</v>
      </c>
      <c r="W637" s="303">
        <v>0.7</v>
      </c>
      <c r="X637" s="303">
        <v>0.7</v>
      </c>
      <c r="Y637" s="303">
        <v>0.7</v>
      </c>
      <c r="Z637" s="303">
        <v>1700</v>
      </c>
      <c r="AA637" s="303" t="s">
        <v>531</v>
      </c>
      <c r="AB637" s="303">
        <v>0.85</v>
      </c>
      <c r="AC637" s="303" t="s">
        <v>532</v>
      </c>
      <c r="AD637" s="303" t="s">
        <v>533</v>
      </c>
      <c r="AE637" s="303">
        <v>220</v>
      </c>
      <c r="AF637" s="329"/>
      <c r="AG637" s="325"/>
    </row>
    <row r="638" spans="1:33" ht="15" customHeight="1">
      <c r="A638" s="302" t="s">
        <v>719</v>
      </c>
      <c r="B638" s="303">
        <v>6</v>
      </c>
      <c r="C638" s="303">
        <v>522</v>
      </c>
      <c r="D638" s="303" t="s">
        <v>575</v>
      </c>
      <c r="E638" s="303">
        <v>1.5</v>
      </c>
      <c r="F638" s="304">
        <v>45422.490277777775</v>
      </c>
      <c r="G638" s="303">
        <v>1</v>
      </c>
      <c r="H638" s="303">
        <v>51.370800000000003</v>
      </c>
      <c r="I638" s="303">
        <v>7.5164</v>
      </c>
      <c r="J638" s="303">
        <v>-22.630700000000001</v>
      </c>
      <c r="K638" s="303">
        <v>-21.794650000000001</v>
      </c>
      <c r="L638" s="303">
        <v>983.62300000000005</v>
      </c>
      <c r="M638" s="303">
        <v>112.00058900000001</v>
      </c>
      <c r="N638" s="303">
        <v>17444.123360000001</v>
      </c>
      <c r="O638" s="303">
        <v>17448.467840000001</v>
      </c>
      <c r="P638" s="305">
        <v>2045.427259</v>
      </c>
      <c r="Q638" s="299">
        <f t="shared" si="5"/>
        <v>2045.427259</v>
      </c>
      <c r="R638" s="300" t="s">
        <v>230</v>
      </c>
      <c r="S638" s="300" t="s">
        <v>12</v>
      </c>
      <c r="T638" s="305" t="s">
        <v>530</v>
      </c>
      <c r="U638" s="305">
        <v>15</v>
      </c>
      <c r="V638" s="305">
        <v>5</v>
      </c>
      <c r="W638" s="303">
        <v>0.7</v>
      </c>
      <c r="X638" s="303">
        <v>0.7</v>
      </c>
      <c r="Y638" s="303">
        <v>0.7</v>
      </c>
      <c r="Z638" s="303">
        <v>1700</v>
      </c>
      <c r="AA638" s="303" t="s">
        <v>531</v>
      </c>
      <c r="AB638" s="303">
        <v>0.85</v>
      </c>
      <c r="AC638" s="303" t="s">
        <v>532</v>
      </c>
      <c r="AD638" s="303" t="s">
        <v>533</v>
      </c>
      <c r="AE638" s="303">
        <v>220</v>
      </c>
      <c r="AF638" s="329"/>
      <c r="AG638" s="325"/>
    </row>
    <row r="639" spans="1:33" ht="15" customHeight="1">
      <c r="A639" s="302" t="s">
        <v>720</v>
      </c>
      <c r="B639" s="303">
        <v>6</v>
      </c>
      <c r="C639" s="303">
        <v>522</v>
      </c>
      <c r="D639" s="303" t="s">
        <v>575</v>
      </c>
      <c r="E639" s="303">
        <v>1.5</v>
      </c>
      <c r="F639" s="304">
        <v>45422.493750000001</v>
      </c>
      <c r="G639" s="303">
        <v>1</v>
      </c>
      <c r="H639" s="303">
        <v>51.377400000000002</v>
      </c>
      <c r="I639" s="303">
        <v>7.5829000000000004</v>
      </c>
      <c r="J639" s="303">
        <v>-22.490950000000002</v>
      </c>
      <c r="K639" s="303">
        <v>-21.649775000000002</v>
      </c>
      <c r="L639" s="303">
        <v>991.34799999999996</v>
      </c>
      <c r="M639" s="303">
        <v>115.50081</v>
      </c>
      <c r="N639" s="303">
        <v>17435.7474</v>
      </c>
      <c r="O639" s="303">
        <v>17448.467840000001</v>
      </c>
      <c r="P639" s="305">
        <v>2045.427259</v>
      </c>
      <c r="Q639" s="299">
        <f t="shared" si="5"/>
        <v>2045.427259</v>
      </c>
      <c r="R639" s="300" t="s">
        <v>230</v>
      </c>
      <c r="S639" s="300" t="s">
        <v>12</v>
      </c>
      <c r="T639" s="305" t="s">
        <v>530</v>
      </c>
      <c r="U639" s="305">
        <v>15</v>
      </c>
      <c r="V639" s="305">
        <v>5</v>
      </c>
      <c r="W639" s="303">
        <v>0.7</v>
      </c>
      <c r="X639" s="303">
        <v>0.7</v>
      </c>
      <c r="Y639" s="303">
        <v>0.7</v>
      </c>
      <c r="Z639" s="303">
        <v>1700</v>
      </c>
      <c r="AA639" s="303" t="s">
        <v>531</v>
      </c>
      <c r="AB639" s="303">
        <v>0.85</v>
      </c>
      <c r="AC639" s="303" t="s">
        <v>532</v>
      </c>
      <c r="AD639" s="303" t="s">
        <v>533</v>
      </c>
      <c r="AE639" s="303">
        <v>220</v>
      </c>
      <c r="AF639" s="329"/>
      <c r="AG639" s="325"/>
    </row>
    <row r="640" spans="1:33" ht="15" customHeight="1">
      <c r="A640" s="302" t="s">
        <v>721</v>
      </c>
      <c r="B640" s="303">
        <v>6</v>
      </c>
      <c r="C640" s="303">
        <v>522</v>
      </c>
      <c r="D640" s="303" t="s">
        <v>575</v>
      </c>
      <c r="E640" s="303">
        <v>1.5</v>
      </c>
      <c r="F640" s="304">
        <v>45422.49722222222</v>
      </c>
      <c r="G640" s="303">
        <v>1</v>
      </c>
      <c r="H640" s="303">
        <v>51.370800000000003</v>
      </c>
      <c r="I640" s="303">
        <v>7.5304399999999996</v>
      </c>
      <c r="J640" s="303">
        <v>-22.599668999999999</v>
      </c>
      <c r="K640" s="303">
        <v>-21.750762999999999</v>
      </c>
      <c r="L640" s="303">
        <v>977.21</v>
      </c>
      <c r="M640" s="303">
        <v>126.00098800000001</v>
      </c>
      <c r="N640" s="303">
        <v>17465.532749999998</v>
      </c>
      <c r="O640" s="303">
        <v>17448.467840000001</v>
      </c>
      <c r="P640" s="305">
        <v>2045.427259</v>
      </c>
      <c r="Q640" s="299">
        <f t="shared" si="5"/>
        <v>2045.427259</v>
      </c>
      <c r="R640" s="300" t="s">
        <v>230</v>
      </c>
      <c r="S640" s="300" t="s">
        <v>12</v>
      </c>
      <c r="T640" s="305" t="s">
        <v>530</v>
      </c>
      <c r="U640" s="305">
        <v>15</v>
      </c>
      <c r="V640" s="305">
        <v>5</v>
      </c>
      <c r="W640" s="303">
        <v>0.7</v>
      </c>
      <c r="X640" s="303">
        <v>0.7</v>
      </c>
      <c r="Y640" s="303">
        <v>0.7</v>
      </c>
      <c r="Z640" s="303">
        <v>1700</v>
      </c>
      <c r="AA640" s="303" t="s">
        <v>531</v>
      </c>
      <c r="AB640" s="303">
        <v>0.85</v>
      </c>
      <c r="AC640" s="303" t="s">
        <v>532</v>
      </c>
      <c r="AD640" s="303" t="s">
        <v>533</v>
      </c>
      <c r="AE640" s="303">
        <v>220</v>
      </c>
      <c r="AF640" s="329"/>
      <c r="AG640" s="325"/>
    </row>
    <row r="641" spans="1:33" ht="15" customHeight="1">
      <c r="A641" s="302" t="s">
        <v>557</v>
      </c>
      <c r="B641" s="303">
        <v>7</v>
      </c>
      <c r="C641" s="303">
        <v>508</v>
      </c>
      <c r="D641" s="303" t="s">
        <v>581</v>
      </c>
      <c r="E641" s="303">
        <v>1.5</v>
      </c>
      <c r="F641" s="304">
        <v>45422.501388888886</v>
      </c>
      <c r="G641" s="303">
        <v>1</v>
      </c>
      <c r="H641" s="303">
        <v>51.374099999999999</v>
      </c>
      <c r="I641" s="303">
        <v>7.3632299999999997</v>
      </c>
      <c r="J641" s="303">
        <v>-22.640612000000001</v>
      </c>
      <c r="K641" s="303">
        <v>-21.795081</v>
      </c>
      <c r="L641" s="303">
        <v>996.02</v>
      </c>
      <c r="M641" s="303">
        <v>124.499803</v>
      </c>
      <c r="N641" s="303">
        <v>17777.59506</v>
      </c>
      <c r="O641" s="303">
        <v>17767.028859999999</v>
      </c>
      <c r="P641" s="305">
        <v>2082.5528690000001</v>
      </c>
      <c r="Q641" s="299">
        <f t="shared" si="5"/>
        <v>2082.5528690000001</v>
      </c>
      <c r="R641" s="300" t="s">
        <v>230</v>
      </c>
      <c r="S641" s="300" t="s">
        <v>12</v>
      </c>
      <c r="T641" s="305" t="s">
        <v>530</v>
      </c>
      <c r="U641" s="305">
        <v>15</v>
      </c>
      <c r="V641" s="305">
        <v>5</v>
      </c>
      <c r="W641" s="303">
        <v>0.7</v>
      </c>
      <c r="X641" s="303">
        <v>0.7</v>
      </c>
      <c r="Y641" s="303">
        <v>0.7</v>
      </c>
      <c r="Z641" s="303">
        <v>1700</v>
      </c>
      <c r="AA641" s="303" t="s">
        <v>531</v>
      </c>
      <c r="AB641" s="303">
        <v>0.85</v>
      </c>
      <c r="AC641" s="303" t="s">
        <v>532</v>
      </c>
      <c r="AD641" s="303" t="s">
        <v>533</v>
      </c>
      <c r="AE641" s="303">
        <v>220</v>
      </c>
      <c r="AF641" s="329"/>
      <c r="AG641" s="325"/>
    </row>
    <row r="642" spans="1:33" ht="15" customHeight="1">
      <c r="A642" s="302" t="s">
        <v>558</v>
      </c>
      <c r="B642" s="303">
        <v>7</v>
      </c>
      <c r="C642" s="303">
        <v>508</v>
      </c>
      <c r="D642" s="303" t="s">
        <v>581</v>
      </c>
      <c r="E642" s="303">
        <v>1.5</v>
      </c>
      <c r="F642" s="304">
        <v>45422.505555555559</v>
      </c>
      <c r="G642" s="303">
        <v>1</v>
      </c>
      <c r="H642" s="303">
        <v>51.374099999999999</v>
      </c>
      <c r="I642" s="303">
        <v>7.4254199999999999</v>
      </c>
      <c r="J642" s="303">
        <v>-22.616675000000001</v>
      </c>
      <c r="K642" s="303">
        <v>-21.780387000000001</v>
      </c>
      <c r="L642" s="303">
        <v>999.18299999999999</v>
      </c>
      <c r="M642" s="303">
        <v>123.50014</v>
      </c>
      <c r="N642" s="303">
        <v>17678.427489999998</v>
      </c>
      <c r="O642" s="303">
        <v>17767.028859999999</v>
      </c>
      <c r="P642" s="305">
        <v>2082.5528690000001</v>
      </c>
      <c r="Q642" s="299">
        <f t="shared" si="5"/>
        <v>2082.5528690000001</v>
      </c>
      <c r="R642" s="300" t="s">
        <v>230</v>
      </c>
      <c r="S642" s="300" t="s">
        <v>12</v>
      </c>
      <c r="T642" s="305" t="s">
        <v>545</v>
      </c>
      <c r="U642" s="305">
        <v>15</v>
      </c>
      <c r="V642" s="305">
        <v>5</v>
      </c>
      <c r="W642" s="303">
        <v>0.7</v>
      </c>
      <c r="X642" s="303">
        <v>0.7</v>
      </c>
      <c r="Y642" s="303">
        <v>0.7</v>
      </c>
      <c r="Z642" s="303">
        <v>1700</v>
      </c>
      <c r="AA642" s="303" t="s">
        <v>531</v>
      </c>
      <c r="AB642" s="303">
        <v>0.85</v>
      </c>
      <c r="AC642" s="303" t="s">
        <v>532</v>
      </c>
      <c r="AD642" s="303" t="s">
        <v>533</v>
      </c>
      <c r="AE642" s="303">
        <v>220</v>
      </c>
      <c r="AF642" s="329"/>
      <c r="AG642" s="325"/>
    </row>
    <row r="643" spans="1:33" ht="15" customHeight="1">
      <c r="A643" s="302" t="s">
        <v>559</v>
      </c>
      <c r="B643" s="303">
        <v>7</v>
      </c>
      <c r="C643" s="303">
        <v>508</v>
      </c>
      <c r="D643" s="303" t="s">
        <v>581</v>
      </c>
      <c r="E643" s="303">
        <v>1.5</v>
      </c>
      <c r="F643" s="304">
        <v>45422.509027777778</v>
      </c>
      <c r="G643" s="303">
        <v>1</v>
      </c>
      <c r="H643" s="303">
        <v>51.370800000000003</v>
      </c>
      <c r="I643" s="303">
        <v>7.4391600000000002</v>
      </c>
      <c r="J643" s="303">
        <v>-22.583469000000001</v>
      </c>
      <c r="K643" s="303">
        <v>-21.745999999999999</v>
      </c>
      <c r="L643" s="303">
        <v>993.27599999999995</v>
      </c>
      <c r="M643" s="303">
        <v>119.499647</v>
      </c>
      <c r="N643" s="303">
        <v>17766.460630000001</v>
      </c>
      <c r="O643" s="303">
        <v>17767.028859999999</v>
      </c>
      <c r="P643" s="305">
        <v>2082.5528690000001</v>
      </c>
      <c r="Q643" s="299">
        <f t="shared" si="5"/>
        <v>2082.5528690000001</v>
      </c>
      <c r="R643" s="300" t="s">
        <v>230</v>
      </c>
      <c r="S643" s="300" t="s">
        <v>12</v>
      </c>
      <c r="T643" s="305" t="s">
        <v>530</v>
      </c>
      <c r="U643" s="305">
        <v>15</v>
      </c>
      <c r="V643" s="305">
        <v>5</v>
      </c>
      <c r="W643" s="303">
        <v>0.7</v>
      </c>
      <c r="X643" s="303">
        <v>0.7</v>
      </c>
      <c r="Y643" s="303">
        <v>0.7</v>
      </c>
      <c r="Z643" s="303">
        <v>1700</v>
      </c>
      <c r="AA643" s="303" t="s">
        <v>531</v>
      </c>
      <c r="AB643" s="303">
        <v>0.85</v>
      </c>
      <c r="AC643" s="303" t="s">
        <v>532</v>
      </c>
      <c r="AD643" s="303" t="s">
        <v>533</v>
      </c>
      <c r="AE643" s="303">
        <v>220</v>
      </c>
      <c r="AF643" s="329"/>
      <c r="AG643" s="325"/>
    </row>
    <row r="644" spans="1:33" ht="15" customHeight="1">
      <c r="A644" s="302" t="s">
        <v>722</v>
      </c>
      <c r="B644" s="303">
        <v>7</v>
      </c>
      <c r="C644" s="303">
        <v>508</v>
      </c>
      <c r="D644" s="303" t="s">
        <v>581</v>
      </c>
      <c r="E644" s="303">
        <v>1.5</v>
      </c>
      <c r="F644" s="304">
        <v>45422.512499999997</v>
      </c>
      <c r="G644" s="303">
        <v>1</v>
      </c>
      <c r="H644" s="303">
        <v>51.374099999999999</v>
      </c>
      <c r="I644" s="303">
        <v>7.5516899999999998</v>
      </c>
      <c r="J644" s="303">
        <v>-22.586019</v>
      </c>
      <c r="K644" s="303">
        <v>-21.744675000000001</v>
      </c>
      <c r="L644" s="303">
        <v>1001.36</v>
      </c>
      <c r="M644" s="303">
        <v>127.99943500000001</v>
      </c>
      <c r="N644" s="303">
        <v>17757.030900000002</v>
      </c>
      <c r="O644" s="303">
        <v>17767.028859999999</v>
      </c>
      <c r="P644" s="305">
        <v>2082.5528690000001</v>
      </c>
      <c r="Q644" s="299">
        <f t="shared" si="5"/>
        <v>2082.5528690000001</v>
      </c>
      <c r="R644" s="300" t="s">
        <v>230</v>
      </c>
      <c r="S644" s="300" t="s">
        <v>12</v>
      </c>
      <c r="T644" s="305" t="s">
        <v>530</v>
      </c>
      <c r="U644" s="305">
        <v>15</v>
      </c>
      <c r="V644" s="305">
        <v>5</v>
      </c>
      <c r="W644" s="303">
        <v>0.7</v>
      </c>
      <c r="X644" s="303">
        <v>0.7</v>
      </c>
      <c r="Y644" s="303">
        <v>0.7</v>
      </c>
      <c r="Z644" s="303">
        <v>1700</v>
      </c>
      <c r="AA644" s="303" t="s">
        <v>531</v>
      </c>
      <c r="AB644" s="303">
        <v>0.85</v>
      </c>
      <c r="AC644" s="303" t="s">
        <v>532</v>
      </c>
      <c r="AD644" s="303" t="s">
        <v>533</v>
      </c>
      <c r="AE644" s="303">
        <v>220</v>
      </c>
      <c r="AF644" s="329"/>
      <c r="AG644" s="325"/>
    </row>
    <row r="645" spans="1:33" ht="15" customHeight="1">
      <c r="A645" s="302" t="s">
        <v>560</v>
      </c>
      <c r="B645" s="303">
        <v>8</v>
      </c>
      <c r="C645" s="303">
        <v>509</v>
      </c>
      <c r="D645" s="303" t="s">
        <v>594</v>
      </c>
      <c r="E645" s="303">
        <v>1.5</v>
      </c>
      <c r="F645" s="304">
        <v>45422.51666666667</v>
      </c>
      <c r="G645" s="303">
        <v>1</v>
      </c>
      <c r="H645" s="303">
        <v>51.374099999999999</v>
      </c>
      <c r="I645" s="303">
        <v>7.5645499999999997</v>
      </c>
      <c r="J645" s="303">
        <v>-22.617287000000001</v>
      </c>
      <c r="K645" s="303">
        <v>-21.826319000000002</v>
      </c>
      <c r="L645" s="303">
        <v>1004.14</v>
      </c>
      <c r="M645" s="303">
        <v>152.49898200000001</v>
      </c>
      <c r="N645" s="303">
        <v>17793.74166</v>
      </c>
      <c r="O645" s="303">
        <v>17790.02015</v>
      </c>
      <c r="P645" s="305">
        <v>2085.2690710000002</v>
      </c>
      <c r="Q645" s="299">
        <f t="shared" si="5"/>
        <v>2085.2690710000002</v>
      </c>
      <c r="R645" s="300" t="s">
        <v>230</v>
      </c>
      <c r="S645" s="300" t="s">
        <v>12</v>
      </c>
      <c r="T645" s="305" t="s">
        <v>530</v>
      </c>
      <c r="U645" s="305">
        <v>15</v>
      </c>
      <c r="V645" s="305">
        <v>5</v>
      </c>
      <c r="W645" s="303">
        <v>0.7</v>
      </c>
      <c r="X645" s="303">
        <v>0.7</v>
      </c>
      <c r="Y645" s="303">
        <v>0.7</v>
      </c>
      <c r="Z645" s="303">
        <v>1700</v>
      </c>
      <c r="AA645" s="303" t="s">
        <v>531</v>
      </c>
      <c r="AB645" s="303">
        <v>0.85</v>
      </c>
      <c r="AC645" s="303" t="s">
        <v>532</v>
      </c>
      <c r="AD645" s="303" t="s">
        <v>533</v>
      </c>
      <c r="AE645" s="303">
        <v>220</v>
      </c>
      <c r="AF645" s="329"/>
      <c r="AG645" s="325"/>
    </row>
    <row r="646" spans="1:33" ht="15" customHeight="1">
      <c r="A646" s="302" t="s">
        <v>562</v>
      </c>
      <c r="B646" s="303">
        <v>8</v>
      </c>
      <c r="C646" s="303">
        <v>509</v>
      </c>
      <c r="D646" s="303" t="s">
        <v>594</v>
      </c>
      <c r="E646" s="303">
        <v>1.5</v>
      </c>
      <c r="F646" s="304">
        <v>45422.520833333336</v>
      </c>
      <c r="G646" s="303">
        <v>1</v>
      </c>
      <c r="H646" s="303">
        <v>51.377400000000002</v>
      </c>
      <c r="I646" s="303">
        <v>7.5342900000000004</v>
      </c>
      <c r="J646" s="303">
        <v>-22.665006000000002</v>
      </c>
      <c r="K646" s="303">
        <v>-21.815761999999999</v>
      </c>
      <c r="L646" s="303">
        <v>990.56200000000001</v>
      </c>
      <c r="M646" s="303">
        <v>124.00102699999999</v>
      </c>
      <c r="N646" s="303">
        <v>17743.007440000001</v>
      </c>
      <c r="O646" s="303">
        <v>17790.02015</v>
      </c>
      <c r="P646" s="305">
        <v>2085.2690710000002</v>
      </c>
      <c r="Q646" s="299">
        <f t="shared" si="5"/>
        <v>2085.2690710000002</v>
      </c>
      <c r="R646" s="300" t="s">
        <v>230</v>
      </c>
      <c r="S646" s="300" t="s">
        <v>12</v>
      </c>
      <c r="T646" s="305" t="s">
        <v>545</v>
      </c>
      <c r="U646" s="305">
        <v>15</v>
      </c>
      <c r="V646" s="305">
        <v>5</v>
      </c>
      <c r="W646" s="303">
        <v>0.7</v>
      </c>
      <c r="X646" s="303">
        <v>0.7</v>
      </c>
      <c r="Y646" s="303">
        <v>0.7</v>
      </c>
      <c r="Z646" s="303">
        <v>1700</v>
      </c>
      <c r="AA646" s="303" t="s">
        <v>531</v>
      </c>
      <c r="AB646" s="303">
        <v>0.85</v>
      </c>
      <c r="AC646" s="303" t="s">
        <v>532</v>
      </c>
      <c r="AD646" s="303" t="s">
        <v>533</v>
      </c>
      <c r="AE646" s="303">
        <v>220</v>
      </c>
      <c r="AF646" s="329"/>
      <c r="AG646" s="325"/>
    </row>
    <row r="647" spans="1:33" ht="15" customHeight="1">
      <c r="A647" s="302" t="s">
        <v>563</v>
      </c>
      <c r="B647" s="303">
        <v>8</v>
      </c>
      <c r="C647" s="303">
        <v>509</v>
      </c>
      <c r="D647" s="303" t="s">
        <v>594</v>
      </c>
      <c r="E647" s="303">
        <v>1.5</v>
      </c>
      <c r="F647" s="304">
        <v>45422.524305555555</v>
      </c>
      <c r="G647" s="303">
        <v>1</v>
      </c>
      <c r="H647" s="303">
        <v>51.370800000000003</v>
      </c>
      <c r="I647" s="303">
        <v>7.52461</v>
      </c>
      <c r="J647" s="303">
        <v>-22.636469000000002</v>
      </c>
      <c r="K647" s="303">
        <v>-21.828025</v>
      </c>
      <c r="L647" s="303">
        <v>1006.48</v>
      </c>
      <c r="M647" s="303">
        <v>125.00030099999999</v>
      </c>
      <c r="N647" s="303">
        <v>17799.42339</v>
      </c>
      <c r="O647" s="303">
        <v>17790.02015</v>
      </c>
      <c r="P647" s="305">
        <v>2085.2690710000002</v>
      </c>
      <c r="Q647" s="299">
        <f t="shared" si="5"/>
        <v>2085.2690710000002</v>
      </c>
      <c r="R647" s="300" t="s">
        <v>230</v>
      </c>
      <c r="S647" s="300" t="s">
        <v>12</v>
      </c>
      <c r="T647" s="305" t="s">
        <v>530</v>
      </c>
      <c r="U647" s="305">
        <v>15</v>
      </c>
      <c r="V647" s="305">
        <v>5</v>
      </c>
      <c r="W647" s="303">
        <v>0.7</v>
      </c>
      <c r="X647" s="303">
        <v>0.7</v>
      </c>
      <c r="Y647" s="303">
        <v>0.7</v>
      </c>
      <c r="Z647" s="303">
        <v>1700</v>
      </c>
      <c r="AA647" s="303" t="s">
        <v>531</v>
      </c>
      <c r="AB647" s="303">
        <v>0.85</v>
      </c>
      <c r="AC647" s="303" t="s">
        <v>532</v>
      </c>
      <c r="AD647" s="303" t="s">
        <v>533</v>
      </c>
      <c r="AE647" s="303">
        <v>220</v>
      </c>
      <c r="AF647" s="329"/>
      <c r="AG647" s="325"/>
    </row>
    <row r="648" spans="1:33" ht="15" customHeight="1">
      <c r="A648" s="302" t="s">
        <v>750</v>
      </c>
      <c r="B648" s="303">
        <v>8</v>
      </c>
      <c r="C648" s="303">
        <v>509</v>
      </c>
      <c r="D648" s="303" t="s">
        <v>594</v>
      </c>
      <c r="E648" s="303">
        <v>1.5</v>
      </c>
      <c r="F648" s="304">
        <v>45422.527777777781</v>
      </c>
      <c r="G648" s="303">
        <v>1</v>
      </c>
      <c r="H648" s="303">
        <v>51.370800000000003</v>
      </c>
      <c r="I648" s="303">
        <v>7.5070300000000003</v>
      </c>
      <c r="J648" s="303">
        <v>-22.6434</v>
      </c>
      <c r="K648" s="303">
        <v>-21.806463000000001</v>
      </c>
      <c r="L648" s="303">
        <v>994.86099999999999</v>
      </c>
      <c r="M648" s="303">
        <v>120.500772</v>
      </c>
      <c r="N648" s="303">
        <v>17762.81006</v>
      </c>
      <c r="O648" s="303">
        <v>17790.02015</v>
      </c>
      <c r="P648" s="305">
        <v>2085.2690710000002</v>
      </c>
      <c r="Q648" s="299">
        <f t="shared" si="5"/>
        <v>2085.2690710000002</v>
      </c>
      <c r="R648" s="300" t="s">
        <v>230</v>
      </c>
      <c r="S648" s="300" t="s">
        <v>12</v>
      </c>
      <c r="T648" s="305" t="s">
        <v>545</v>
      </c>
      <c r="U648" s="305">
        <v>15</v>
      </c>
      <c r="V648" s="305">
        <v>5</v>
      </c>
      <c r="W648" s="303">
        <v>0.7</v>
      </c>
      <c r="X648" s="303">
        <v>0.7</v>
      </c>
      <c r="Y648" s="303">
        <v>0.7</v>
      </c>
      <c r="Z648" s="303">
        <v>1700</v>
      </c>
      <c r="AA648" s="303" t="s">
        <v>531</v>
      </c>
      <c r="AB648" s="303">
        <v>0.85</v>
      </c>
      <c r="AC648" s="303" t="s">
        <v>532</v>
      </c>
      <c r="AD648" s="303" t="s">
        <v>533</v>
      </c>
      <c r="AE648" s="303">
        <v>220</v>
      </c>
      <c r="AF648" s="329"/>
      <c r="AG648" s="325"/>
    </row>
    <row r="649" spans="1:33" ht="15" customHeight="1">
      <c r="A649" s="302" t="s">
        <v>751</v>
      </c>
      <c r="B649" s="303">
        <v>8</v>
      </c>
      <c r="C649" s="303">
        <v>509</v>
      </c>
      <c r="D649" s="303" t="s">
        <v>594</v>
      </c>
      <c r="E649" s="303">
        <v>1.5</v>
      </c>
      <c r="F649" s="304">
        <v>45422.53125</v>
      </c>
      <c r="G649" s="303">
        <v>1</v>
      </c>
      <c r="H649" s="303">
        <v>51.377400000000002</v>
      </c>
      <c r="I649" s="303">
        <v>7.4528699999999999</v>
      </c>
      <c r="J649" s="303">
        <v>-22.645944</v>
      </c>
      <c r="K649" s="303">
        <v>-21.812474999999999</v>
      </c>
      <c r="L649" s="303">
        <v>1011.93</v>
      </c>
      <c r="M649" s="303">
        <v>129.49994799999999</v>
      </c>
      <c r="N649" s="303">
        <v>17776.895410000001</v>
      </c>
      <c r="O649" s="303">
        <v>17790.02015</v>
      </c>
      <c r="P649" s="305">
        <v>2085.2690710000002</v>
      </c>
      <c r="Q649" s="299">
        <f t="shared" si="5"/>
        <v>2085.2690710000002</v>
      </c>
      <c r="R649" s="300" t="s">
        <v>230</v>
      </c>
      <c r="S649" s="300" t="s">
        <v>12</v>
      </c>
      <c r="T649" s="305" t="s">
        <v>530</v>
      </c>
      <c r="U649" s="305">
        <v>15</v>
      </c>
      <c r="V649" s="305">
        <v>5</v>
      </c>
      <c r="W649" s="303">
        <v>0.7</v>
      </c>
      <c r="X649" s="303">
        <v>0.7</v>
      </c>
      <c r="Y649" s="303">
        <v>0.7</v>
      </c>
      <c r="Z649" s="303">
        <v>1700</v>
      </c>
      <c r="AA649" s="303" t="s">
        <v>531</v>
      </c>
      <c r="AB649" s="303">
        <v>0.85</v>
      </c>
      <c r="AC649" s="303" t="s">
        <v>532</v>
      </c>
      <c r="AD649" s="303" t="s">
        <v>533</v>
      </c>
      <c r="AE649" s="303">
        <v>220</v>
      </c>
      <c r="AF649" s="329"/>
      <c r="AG649" s="325"/>
    </row>
    <row r="650" spans="1:33" ht="15" customHeight="1">
      <c r="A650" s="302" t="s">
        <v>564</v>
      </c>
      <c r="B650" s="303">
        <v>9</v>
      </c>
      <c r="C650" s="303">
        <v>391</v>
      </c>
      <c r="D650" s="303" t="s">
        <v>598</v>
      </c>
      <c r="E650" s="303">
        <v>1.5</v>
      </c>
      <c r="F650" s="304">
        <v>45422.535416666666</v>
      </c>
      <c r="G650" s="303">
        <v>1</v>
      </c>
      <c r="H650" s="303">
        <v>51.377400000000002</v>
      </c>
      <c r="I650" s="303">
        <v>7.3818400000000004</v>
      </c>
      <c r="J650" s="303">
        <v>-22.582968999999999</v>
      </c>
      <c r="K650" s="303">
        <v>-21.740431000000001</v>
      </c>
      <c r="L650" s="303">
        <v>991.15700000000004</v>
      </c>
      <c r="M650" s="303">
        <v>121.99878200000001</v>
      </c>
      <c r="N650" s="303">
        <v>17862.3289</v>
      </c>
      <c r="O650" s="303">
        <v>0</v>
      </c>
      <c r="P650" s="305">
        <v>0</v>
      </c>
      <c r="Q650" s="299">
        <f t="shared" si="5"/>
        <v>0</v>
      </c>
      <c r="R650" s="300" t="s">
        <v>230</v>
      </c>
      <c r="S650" s="300" t="s">
        <v>582</v>
      </c>
      <c r="T650" s="305" t="s">
        <v>583</v>
      </c>
      <c r="U650" s="305">
        <v>15</v>
      </c>
      <c r="V650" s="305">
        <v>5</v>
      </c>
      <c r="W650" s="303">
        <v>0.7</v>
      </c>
      <c r="X650" s="303">
        <v>0.7</v>
      </c>
      <c r="Y650" s="303">
        <v>0.7</v>
      </c>
      <c r="Z650" s="303">
        <v>1700</v>
      </c>
      <c r="AA650" s="303" t="s">
        <v>531</v>
      </c>
      <c r="AB650" s="303">
        <v>0.85</v>
      </c>
      <c r="AC650" s="303" t="s">
        <v>532</v>
      </c>
      <c r="AD650" s="303" t="s">
        <v>533</v>
      </c>
      <c r="AE650" s="303">
        <v>220</v>
      </c>
      <c r="AF650" s="329"/>
      <c r="AG650" s="325"/>
    </row>
    <row r="651" spans="1:33" ht="15" customHeight="1">
      <c r="A651" s="302" t="s">
        <v>566</v>
      </c>
      <c r="B651" s="303">
        <v>9</v>
      </c>
      <c r="C651" s="303">
        <v>391</v>
      </c>
      <c r="D651" s="303" t="s">
        <v>598</v>
      </c>
      <c r="E651" s="303">
        <v>1.5</v>
      </c>
      <c r="F651" s="304">
        <v>45422.538888888892</v>
      </c>
      <c r="G651" s="303">
        <v>1</v>
      </c>
      <c r="H651" s="303">
        <v>51.374099999999999</v>
      </c>
      <c r="I651" s="303">
        <v>7.4915399999999996</v>
      </c>
      <c r="J651" s="303">
        <v>-22.567781</v>
      </c>
      <c r="K651" s="303">
        <v>-21.719768999999999</v>
      </c>
      <c r="L651" s="303">
        <v>988.38800000000003</v>
      </c>
      <c r="M651" s="303">
        <v>119.499972</v>
      </c>
      <c r="N651" s="303">
        <v>17821.013749999998</v>
      </c>
      <c r="O651" s="303">
        <v>0</v>
      </c>
      <c r="P651" s="305">
        <v>0</v>
      </c>
      <c r="Q651" s="299">
        <f t="shared" si="5"/>
        <v>0</v>
      </c>
      <c r="R651" s="300" t="s">
        <v>230</v>
      </c>
      <c r="S651" s="300" t="s">
        <v>582</v>
      </c>
      <c r="T651" s="305" t="s">
        <v>583</v>
      </c>
      <c r="U651" s="305">
        <v>15</v>
      </c>
      <c r="V651" s="305">
        <v>5</v>
      </c>
      <c r="W651" s="303">
        <v>0.7</v>
      </c>
      <c r="X651" s="303">
        <v>0.7</v>
      </c>
      <c r="Y651" s="303">
        <v>0.7</v>
      </c>
      <c r="Z651" s="303">
        <v>1700</v>
      </c>
      <c r="AA651" s="303" t="s">
        <v>531</v>
      </c>
      <c r="AB651" s="303">
        <v>0.85</v>
      </c>
      <c r="AC651" s="303" t="s">
        <v>532</v>
      </c>
      <c r="AD651" s="303" t="s">
        <v>533</v>
      </c>
      <c r="AE651" s="303">
        <v>220</v>
      </c>
      <c r="AF651" s="329"/>
      <c r="AG651" s="325"/>
    </row>
    <row r="652" spans="1:33" ht="15" customHeight="1">
      <c r="A652" s="302" t="s">
        <v>567</v>
      </c>
      <c r="B652" s="303">
        <v>9</v>
      </c>
      <c r="C652" s="303">
        <v>391</v>
      </c>
      <c r="D652" s="303" t="s">
        <v>598</v>
      </c>
      <c r="E652" s="303">
        <v>1.5</v>
      </c>
      <c r="F652" s="304">
        <v>45422.542361111111</v>
      </c>
      <c r="G652" s="303">
        <v>1</v>
      </c>
      <c r="H652" s="303">
        <v>51.374099999999999</v>
      </c>
      <c r="I652" s="303">
        <v>7.6442100000000002</v>
      </c>
      <c r="J652" s="303">
        <v>-22.657456</v>
      </c>
      <c r="K652" s="303">
        <v>-21.808844000000001</v>
      </c>
      <c r="L652" s="303">
        <v>1003.29</v>
      </c>
      <c r="M652" s="303">
        <v>143.00062700000001</v>
      </c>
      <c r="N652" s="303">
        <v>17773.42655</v>
      </c>
      <c r="O652" s="303">
        <v>0</v>
      </c>
      <c r="P652" s="305">
        <v>0</v>
      </c>
      <c r="Q652" s="299">
        <f t="shared" si="5"/>
        <v>0</v>
      </c>
      <c r="R652" s="300" t="s">
        <v>230</v>
      </c>
      <c r="S652" s="300" t="s">
        <v>582</v>
      </c>
      <c r="T652" s="305" t="s">
        <v>583</v>
      </c>
      <c r="U652" s="305">
        <v>15</v>
      </c>
      <c r="V652" s="305">
        <v>5</v>
      </c>
      <c r="W652" s="303">
        <v>0.7</v>
      </c>
      <c r="X652" s="303">
        <v>0.7</v>
      </c>
      <c r="Y652" s="303">
        <v>0.7</v>
      </c>
      <c r="Z652" s="303">
        <v>1700</v>
      </c>
      <c r="AA652" s="303" t="s">
        <v>531</v>
      </c>
      <c r="AB652" s="303">
        <v>0.85</v>
      </c>
      <c r="AC652" s="303" t="s">
        <v>532</v>
      </c>
      <c r="AD652" s="303" t="s">
        <v>533</v>
      </c>
      <c r="AE652" s="303">
        <v>220</v>
      </c>
      <c r="AF652" s="329"/>
      <c r="AG652" s="325"/>
    </row>
    <row r="653" spans="1:33" ht="15" customHeight="1">
      <c r="A653" s="302" t="s">
        <v>568</v>
      </c>
      <c r="B653" s="303">
        <v>9</v>
      </c>
      <c r="C653" s="303">
        <v>391</v>
      </c>
      <c r="D653" s="303" t="s">
        <v>598</v>
      </c>
      <c r="E653" s="303">
        <v>1.5</v>
      </c>
      <c r="F653" s="304">
        <v>45422.546527777777</v>
      </c>
      <c r="G653" s="303">
        <v>1</v>
      </c>
      <c r="H653" s="303">
        <v>51.374099999999999</v>
      </c>
      <c r="I653" s="303">
        <v>7.45031</v>
      </c>
      <c r="J653" s="303">
        <v>-22.623737999999999</v>
      </c>
      <c r="K653" s="303">
        <v>-21.778312</v>
      </c>
      <c r="L653" s="303">
        <v>992.04499999999996</v>
      </c>
      <c r="M653" s="303">
        <v>123.000365</v>
      </c>
      <c r="N653" s="303">
        <v>17784.803029999999</v>
      </c>
      <c r="O653" s="303">
        <v>0</v>
      </c>
      <c r="P653" s="305">
        <v>0</v>
      </c>
      <c r="Q653" s="299">
        <f t="shared" si="5"/>
        <v>0</v>
      </c>
      <c r="R653" s="300" t="s">
        <v>230</v>
      </c>
      <c r="S653" s="300" t="s">
        <v>582</v>
      </c>
      <c r="T653" s="305" t="s">
        <v>583</v>
      </c>
      <c r="U653" s="305">
        <v>15</v>
      </c>
      <c r="V653" s="305">
        <v>5</v>
      </c>
      <c r="W653" s="303">
        <v>0.7</v>
      </c>
      <c r="X653" s="303">
        <v>0.7</v>
      </c>
      <c r="Y653" s="303">
        <v>0.7</v>
      </c>
      <c r="Z653" s="303">
        <v>1700</v>
      </c>
      <c r="AA653" s="303" t="s">
        <v>531</v>
      </c>
      <c r="AB653" s="303">
        <v>0.85</v>
      </c>
      <c r="AC653" s="303" t="s">
        <v>532</v>
      </c>
      <c r="AD653" s="303" t="s">
        <v>533</v>
      </c>
      <c r="AE653" s="303">
        <v>220</v>
      </c>
      <c r="AF653" s="329"/>
      <c r="AG653" s="325"/>
    </row>
    <row r="654" spans="1:33" ht="15" customHeight="1">
      <c r="A654" s="302" t="s">
        <v>724</v>
      </c>
      <c r="B654" s="303">
        <v>9</v>
      </c>
      <c r="C654" s="303">
        <v>391</v>
      </c>
      <c r="D654" s="303" t="s">
        <v>598</v>
      </c>
      <c r="E654" s="303">
        <v>1.5</v>
      </c>
      <c r="F654" s="304">
        <v>45422.55</v>
      </c>
      <c r="G654" s="303">
        <v>1</v>
      </c>
      <c r="H654" s="303">
        <v>51.370800000000003</v>
      </c>
      <c r="I654" s="303">
        <v>7.4778399999999996</v>
      </c>
      <c r="J654" s="303">
        <v>-22.504574999999999</v>
      </c>
      <c r="K654" s="303">
        <v>-21.657993999999999</v>
      </c>
      <c r="L654" s="303">
        <v>1000.92</v>
      </c>
      <c r="M654" s="303">
        <v>130.50081399999999</v>
      </c>
      <c r="N654" s="303">
        <v>17833.237789999999</v>
      </c>
      <c r="O654" s="303">
        <v>0</v>
      </c>
      <c r="P654" s="305">
        <v>0</v>
      </c>
      <c r="Q654" s="299">
        <f t="shared" si="5"/>
        <v>0</v>
      </c>
      <c r="R654" s="300" t="s">
        <v>230</v>
      </c>
      <c r="S654" s="300" t="s">
        <v>582</v>
      </c>
      <c r="T654" s="305" t="s">
        <v>583</v>
      </c>
      <c r="U654" s="305">
        <v>15</v>
      </c>
      <c r="V654" s="305">
        <v>5</v>
      </c>
      <c r="W654" s="303">
        <v>0.7</v>
      </c>
      <c r="X654" s="303">
        <v>0.7</v>
      </c>
      <c r="Y654" s="303">
        <v>0.7</v>
      </c>
      <c r="Z654" s="303">
        <v>1700</v>
      </c>
      <c r="AA654" s="303" t="s">
        <v>531</v>
      </c>
      <c r="AB654" s="303">
        <v>0.85</v>
      </c>
      <c r="AC654" s="303" t="s">
        <v>532</v>
      </c>
      <c r="AD654" s="303" t="s">
        <v>533</v>
      </c>
      <c r="AE654" s="303">
        <v>220</v>
      </c>
      <c r="AF654" s="329"/>
      <c r="AG654" s="325"/>
    </row>
    <row r="655" spans="1:33" ht="15" customHeight="1">
      <c r="A655" s="302" t="s">
        <v>725</v>
      </c>
      <c r="B655" s="303">
        <v>9</v>
      </c>
      <c r="C655" s="303">
        <v>391</v>
      </c>
      <c r="D655" s="303" t="s">
        <v>598</v>
      </c>
      <c r="E655" s="303">
        <v>1.5</v>
      </c>
      <c r="F655" s="304">
        <v>45422.553472222222</v>
      </c>
      <c r="G655" s="303">
        <v>2</v>
      </c>
      <c r="H655" s="303">
        <v>51.370800000000003</v>
      </c>
      <c r="I655" s="303">
        <v>7.3504500000000004</v>
      </c>
      <c r="J655" s="303">
        <v>-22.584199999999999</v>
      </c>
      <c r="K655" s="303">
        <v>-21.736881</v>
      </c>
      <c r="L655" s="303">
        <v>999.96400000000006</v>
      </c>
      <c r="M655" s="303">
        <v>112.500051</v>
      </c>
      <c r="N655" s="303">
        <v>17829.021110000001</v>
      </c>
      <c r="O655" s="303">
        <v>17831.6584</v>
      </c>
      <c r="P655" s="305">
        <v>2090.1882329999999</v>
      </c>
      <c r="Q655" s="299">
        <f t="shared" si="5"/>
        <v>2090.1882329999999</v>
      </c>
      <c r="R655" s="300" t="s">
        <v>230</v>
      </c>
      <c r="S655" s="300" t="s">
        <v>12</v>
      </c>
      <c r="T655" s="305" t="s">
        <v>530</v>
      </c>
      <c r="U655" s="305">
        <v>15</v>
      </c>
      <c r="V655" s="305">
        <v>5</v>
      </c>
      <c r="W655" s="303">
        <v>0.7</v>
      </c>
      <c r="X655" s="303">
        <v>0.7</v>
      </c>
      <c r="Y655" s="303">
        <v>0.7</v>
      </c>
      <c r="Z655" s="303">
        <v>1700</v>
      </c>
      <c r="AA655" s="303" t="s">
        <v>531</v>
      </c>
      <c r="AB655" s="303">
        <v>0.85</v>
      </c>
      <c r="AC655" s="303" t="s">
        <v>532</v>
      </c>
      <c r="AD655" s="303" t="s">
        <v>533</v>
      </c>
      <c r="AE655" s="303">
        <v>220</v>
      </c>
      <c r="AF655" s="329"/>
      <c r="AG655" s="325"/>
    </row>
    <row r="656" spans="1:33" ht="15" customHeight="1">
      <c r="A656" s="302" t="s">
        <v>726</v>
      </c>
      <c r="B656" s="303">
        <v>9</v>
      </c>
      <c r="C656" s="303">
        <v>391</v>
      </c>
      <c r="D656" s="303" t="s">
        <v>598</v>
      </c>
      <c r="E656" s="303">
        <v>1.5</v>
      </c>
      <c r="F656" s="304">
        <v>45422.556944444441</v>
      </c>
      <c r="G656" s="303">
        <v>2</v>
      </c>
      <c r="H656" s="303">
        <v>51.364100000000001</v>
      </c>
      <c r="I656" s="303">
        <v>7.4167500000000004</v>
      </c>
      <c r="J656" s="303">
        <v>-22.526806000000001</v>
      </c>
      <c r="K656" s="303">
        <v>-21.6846</v>
      </c>
      <c r="L656" s="303">
        <v>1000.38</v>
      </c>
      <c r="M656" s="303">
        <v>108.500038</v>
      </c>
      <c r="N656" s="303">
        <v>17826.810740000001</v>
      </c>
      <c r="O656" s="303">
        <v>17831.6584</v>
      </c>
      <c r="P656" s="305">
        <v>2090.1882329999999</v>
      </c>
      <c r="Q656" s="299">
        <f t="shared" si="5"/>
        <v>2090.1882329999999</v>
      </c>
      <c r="R656" s="300" t="s">
        <v>230</v>
      </c>
      <c r="S656" s="300" t="s">
        <v>12</v>
      </c>
      <c r="T656" s="305" t="s">
        <v>530</v>
      </c>
      <c r="U656" s="305">
        <v>15</v>
      </c>
      <c r="V656" s="305">
        <v>5</v>
      </c>
      <c r="W656" s="303">
        <v>0.7</v>
      </c>
      <c r="X656" s="303">
        <v>0.7</v>
      </c>
      <c r="Y656" s="303">
        <v>0.7</v>
      </c>
      <c r="Z656" s="303">
        <v>1700</v>
      </c>
      <c r="AA656" s="303" t="s">
        <v>531</v>
      </c>
      <c r="AB656" s="303">
        <v>0.85</v>
      </c>
      <c r="AC656" s="303" t="s">
        <v>532</v>
      </c>
      <c r="AD656" s="303" t="s">
        <v>533</v>
      </c>
      <c r="AE656" s="303">
        <v>220</v>
      </c>
      <c r="AF656" s="329"/>
      <c r="AG656" s="325"/>
    </row>
    <row r="657" spans="1:33" ht="15" customHeight="1">
      <c r="A657" s="302" t="s">
        <v>727</v>
      </c>
      <c r="B657" s="303">
        <v>9</v>
      </c>
      <c r="C657" s="303">
        <v>391</v>
      </c>
      <c r="D657" s="303" t="s">
        <v>598</v>
      </c>
      <c r="E657" s="303">
        <v>1.5</v>
      </c>
      <c r="F657" s="304">
        <v>45422.560416666667</v>
      </c>
      <c r="G657" s="303">
        <v>2</v>
      </c>
      <c r="H657" s="303">
        <v>51.374099999999999</v>
      </c>
      <c r="I657" s="303">
        <v>7.3538500000000004</v>
      </c>
      <c r="J657" s="303">
        <v>-22.586200000000002</v>
      </c>
      <c r="K657" s="303">
        <v>-21.737306</v>
      </c>
      <c r="L657" s="303">
        <v>1004.18</v>
      </c>
      <c r="M657" s="303">
        <v>113.50023400000001</v>
      </c>
      <c r="N657" s="303">
        <v>17839.143359999998</v>
      </c>
      <c r="O657" s="303">
        <v>17831.6584</v>
      </c>
      <c r="P657" s="305">
        <v>2090.1882329999999</v>
      </c>
      <c r="Q657" s="299">
        <f t="shared" si="5"/>
        <v>2090.1882329999999</v>
      </c>
      <c r="R657" s="300" t="s">
        <v>230</v>
      </c>
      <c r="S657" s="300" t="s">
        <v>12</v>
      </c>
      <c r="T657" s="305" t="s">
        <v>530</v>
      </c>
      <c r="U657" s="305">
        <v>15</v>
      </c>
      <c r="V657" s="305">
        <v>5</v>
      </c>
      <c r="W657" s="303">
        <v>0.7</v>
      </c>
      <c r="X657" s="303">
        <v>0.7</v>
      </c>
      <c r="Y657" s="303">
        <v>0.7</v>
      </c>
      <c r="Z657" s="303">
        <v>1700</v>
      </c>
      <c r="AA657" s="303" t="s">
        <v>531</v>
      </c>
      <c r="AB657" s="303">
        <v>0.85</v>
      </c>
      <c r="AC657" s="303" t="s">
        <v>532</v>
      </c>
      <c r="AD657" s="303" t="s">
        <v>533</v>
      </c>
      <c r="AE657" s="303">
        <v>220</v>
      </c>
      <c r="AF657" s="329"/>
      <c r="AG657" s="325"/>
    </row>
    <row r="658" spans="1:33" ht="15" customHeight="1">
      <c r="A658" s="302" t="s">
        <v>569</v>
      </c>
      <c r="B658" s="303">
        <v>10</v>
      </c>
      <c r="C658" s="303">
        <v>392</v>
      </c>
      <c r="D658" s="303" t="s">
        <v>603</v>
      </c>
      <c r="E658" s="303">
        <v>1.5</v>
      </c>
      <c r="F658" s="304">
        <v>45422.564583333333</v>
      </c>
      <c r="G658" s="303">
        <v>1</v>
      </c>
      <c r="H658" s="303">
        <v>51.370800000000003</v>
      </c>
      <c r="I658" s="303">
        <v>7.3711000000000002</v>
      </c>
      <c r="J658" s="303">
        <v>-22.637269</v>
      </c>
      <c r="K658" s="303">
        <v>-21.802588</v>
      </c>
      <c r="L658" s="303">
        <v>1003.42</v>
      </c>
      <c r="M658" s="303">
        <v>128.999573</v>
      </c>
      <c r="N658" s="303">
        <v>17789.77418</v>
      </c>
      <c r="O658" s="303">
        <v>17844.388709999999</v>
      </c>
      <c r="P658" s="305">
        <v>2091.6921969999999</v>
      </c>
      <c r="Q658" s="299">
        <f t="shared" si="5"/>
        <v>2091.6921969999999</v>
      </c>
      <c r="R658" s="300" t="s">
        <v>230</v>
      </c>
      <c r="S658" s="300" t="s">
        <v>12</v>
      </c>
      <c r="T658" s="305" t="s">
        <v>545</v>
      </c>
      <c r="U658" s="305">
        <v>15</v>
      </c>
      <c r="V658" s="305">
        <v>5</v>
      </c>
      <c r="W658" s="303">
        <v>0.7</v>
      </c>
      <c r="X658" s="303">
        <v>0.7</v>
      </c>
      <c r="Y658" s="303">
        <v>0.7</v>
      </c>
      <c r="Z658" s="303">
        <v>1700</v>
      </c>
      <c r="AA658" s="303" t="s">
        <v>531</v>
      </c>
      <c r="AB658" s="303">
        <v>0.85</v>
      </c>
      <c r="AC658" s="303" t="s">
        <v>532</v>
      </c>
      <c r="AD658" s="303" t="s">
        <v>533</v>
      </c>
      <c r="AE658" s="303">
        <v>220</v>
      </c>
      <c r="AF658" s="329"/>
      <c r="AG658" s="325"/>
    </row>
    <row r="659" spans="1:33" ht="15" customHeight="1">
      <c r="A659" s="302" t="s">
        <v>571</v>
      </c>
      <c r="B659" s="303">
        <v>10</v>
      </c>
      <c r="C659" s="303">
        <v>392</v>
      </c>
      <c r="D659" s="303" t="s">
        <v>603</v>
      </c>
      <c r="E659" s="303">
        <v>1.5</v>
      </c>
      <c r="F659" s="304">
        <v>45422.568055555559</v>
      </c>
      <c r="G659" s="303">
        <v>1</v>
      </c>
      <c r="H659" s="303">
        <v>51.377400000000002</v>
      </c>
      <c r="I659" s="303">
        <v>7.4491899999999998</v>
      </c>
      <c r="J659" s="303">
        <v>-22.571044000000001</v>
      </c>
      <c r="K659" s="303">
        <v>-21.750655999999999</v>
      </c>
      <c r="L659" s="303">
        <v>994.505</v>
      </c>
      <c r="M659" s="303">
        <v>116.500083</v>
      </c>
      <c r="N659" s="303">
        <v>17852.273710000001</v>
      </c>
      <c r="O659" s="303">
        <v>17844.388709999999</v>
      </c>
      <c r="P659" s="305">
        <v>2091.6921969999999</v>
      </c>
      <c r="Q659" s="299">
        <f t="shared" si="5"/>
        <v>2091.6921969999999</v>
      </c>
      <c r="R659" s="300" t="s">
        <v>230</v>
      </c>
      <c r="S659" s="300" t="s">
        <v>12</v>
      </c>
      <c r="T659" s="305" t="s">
        <v>530</v>
      </c>
      <c r="U659" s="305">
        <v>15</v>
      </c>
      <c r="V659" s="305">
        <v>5</v>
      </c>
      <c r="W659" s="303">
        <v>0.7</v>
      </c>
      <c r="X659" s="303">
        <v>0.7</v>
      </c>
      <c r="Y659" s="303">
        <v>0.7</v>
      </c>
      <c r="Z659" s="303">
        <v>1700</v>
      </c>
      <c r="AA659" s="303" t="s">
        <v>531</v>
      </c>
      <c r="AB659" s="303">
        <v>0.85</v>
      </c>
      <c r="AC659" s="303" t="s">
        <v>532</v>
      </c>
      <c r="AD659" s="303" t="s">
        <v>533</v>
      </c>
      <c r="AE659" s="303">
        <v>220</v>
      </c>
      <c r="AF659" s="329"/>
      <c r="AG659" s="325"/>
    </row>
    <row r="660" spans="1:33" ht="15" customHeight="1">
      <c r="A660" s="302" t="s">
        <v>572</v>
      </c>
      <c r="B660" s="303">
        <v>10</v>
      </c>
      <c r="C660" s="303">
        <v>392</v>
      </c>
      <c r="D660" s="303" t="s">
        <v>603</v>
      </c>
      <c r="E660" s="303">
        <v>1.5</v>
      </c>
      <c r="F660" s="304">
        <v>45422.571527777778</v>
      </c>
      <c r="G660" s="303">
        <v>1</v>
      </c>
      <c r="H660" s="303">
        <v>51.374099999999999</v>
      </c>
      <c r="I660" s="303">
        <v>7.4084500000000002</v>
      </c>
      <c r="J660" s="303">
        <v>-22.631412000000001</v>
      </c>
      <c r="K660" s="303">
        <v>-21.786049999999999</v>
      </c>
      <c r="L660" s="303">
        <v>1016.35</v>
      </c>
      <c r="M660" s="303">
        <v>119.50070599999999</v>
      </c>
      <c r="N660" s="303">
        <v>17835.694670000001</v>
      </c>
      <c r="O660" s="303">
        <v>17844.388709999999</v>
      </c>
      <c r="P660" s="305">
        <v>2091.6921969999999</v>
      </c>
      <c r="Q660" s="299">
        <f t="shared" si="5"/>
        <v>2091.6921969999999</v>
      </c>
      <c r="R660" s="300" t="s">
        <v>230</v>
      </c>
      <c r="S660" s="300" t="s">
        <v>12</v>
      </c>
      <c r="T660" s="305" t="s">
        <v>530</v>
      </c>
      <c r="U660" s="305">
        <v>15</v>
      </c>
      <c r="V660" s="305">
        <v>5</v>
      </c>
      <c r="W660" s="303">
        <v>0.7</v>
      </c>
      <c r="X660" s="303">
        <v>0.7</v>
      </c>
      <c r="Y660" s="303">
        <v>0.7</v>
      </c>
      <c r="Z660" s="303">
        <v>1700</v>
      </c>
      <c r="AA660" s="303" t="s">
        <v>531</v>
      </c>
      <c r="AB660" s="303">
        <v>0.85</v>
      </c>
      <c r="AC660" s="303" t="s">
        <v>532</v>
      </c>
      <c r="AD660" s="303" t="s">
        <v>533</v>
      </c>
      <c r="AE660" s="303">
        <v>220</v>
      </c>
      <c r="AF660" s="329"/>
      <c r="AG660" s="325"/>
    </row>
    <row r="661" spans="1:33" ht="15" customHeight="1">
      <c r="A661" s="302" t="s">
        <v>573</v>
      </c>
      <c r="B661" s="303">
        <v>10</v>
      </c>
      <c r="C661" s="303">
        <v>392</v>
      </c>
      <c r="D661" s="303" t="s">
        <v>603</v>
      </c>
      <c r="E661" s="303">
        <v>1.5</v>
      </c>
      <c r="F661" s="304">
        <v>45422.574999999997</v>
      </c>
      <c r="G661" s="303">
        <v>1</v>
      </c>
      <c r="H661" s="303">
        <v>51.374099999999999</v>
      </c>
      <c r="I661" s="303">
        <v>7.4425100000000004</v>
      </c>
      <c r="J661" s="303">
        <v>-22.598130999999999</v>
      </c>
      <c r="K661" s="303">
        <v>-21.780456000000001</v>
      </c>
      <c r="L661" s="303">
        <v>1019.06</v>
      </c>
      <c r="M661" s="303">
        <v>113.49861199999999</v>
      </c>
      <c r="N661" s="303">
        <v>17845.19774</v>
      </c>
      <c r="O661" s="303">
        <v>17844.388709999999</v>
      </c>
      <c r="P661" s="305">
        <v>2091.6921969999999</v>
      </c>
      <c r="Q661" s="299">
        <f t="shared" si="5"/>
        <v>2091.6921969999999</v>
      </c>
      <c r="R661" s="300" t="s">
        <v>230</v>
      </c>
      <c r="S661" s="300" t="s">
        <v>12</v>
      </c>
      <c r="T661" s="305" t="s">
        <v>530</v>
      </c>
      <c r="U661" s="305">
        <v>15</v>
      </c>
      <c r="V661" s="305">
        <v>5</v>
      </c>
      <c r="W661" s="303">
        <v>0.7</v>
      </c>
      <c r="X661" s="303">
        <v>0.7</v>
      </c>
      <c r="Y661" s="303">
        <v>0.7</v>
      </c>
      <c r="Z661" s="303">
        <v>1700</v>
      </c>
      <c r="AA661" s="303" t="s">
        <v>531</v>
      </c>
      <c r="AB661" s="303">
        <v>0.85</v>
      </c>
      <c r="AC661" s="303" t="s">
        <v>532</v>
      </c>
      <c r="AD661" s="303" t="s">
        <v>533</v>
      </c>
      <c r="AE661" s="303">
        <v>220</v>
      </c>
      <c r="AF661" s="329"/>
      <c r="AG661" s="325"/>
    </row>
    <row r="662" spans="1:33" ht="15" customHeight="1">
      <c r="A662" s="302" t="s">
        <v>574</v>
      </c>
      <c r="B662" s="303">
        <v>11</v>
      </c>
      <c r="C662" s="303" t="s">
        <v>803</v>
      </c>
      <c r="D662" s="303" t="s">
        <v>529</v>
      </c>
      <c r="E662" s="303">
        <v>1.5</v>
      </c>
      <c r="F662" s="304">
        <v>45422.57916666667</v>
      </c>
      <c r="G662" s="303">
        <v>1</v>
      </c>
      <c r="H662" s="303">
        <v>51.374099999999999</v>
      </c>
      <c r="I662" s="303">
        <v>7.50143</v>
      </c>
      <c r="J662" s="303">
        <v>-22.586812999999999</v>
      </c>
      <c r="K662" s="303">
        <v>-21.753819</v>
      </c>
      <c r="L662" s="303">
        <v>981.44</v>
      </c>
      <c r="M662" s="303">
        <v>118.499855</v>
      </c>
      <c r="N662" s="303">
        <v>17596.17973</v>
      </c>
      <c r="O662" s="303">
        <v>17588.128110000001</v>
      </c>
      <c r="P662" s="305">
        <v>2061.59629</v>
      </c>
      <c r="Q662" s="299">
        <f t="shared" si="5"/>
        <v>2061.59629</v>
      </c>
      <c r="R662" s="300" t="s">
        <v>230</v>
      </c>
      <c r="S662" s="300" t="s">
        <v>12</v>
      </c>
      <c r="T662" s="305" t="s">
        <v>530</v>
      </c>
      <c r="U662" s="305">
        <v>15</v>
      </c>
      <c r="V662" s="305">
        <v>5</v>
      </c>
      <c r="W662" s="303">
        <v>0.7</v>
      </c>
      <c r="X662" s="303">
        <v>0.7</v>
      </c>
      <c r="Y662" s="303">
        <v>0.7</v>
      </c>
      <c r="Z662" s="303">
        <v>1700</v>
      </c>
      <c r="AA662" s="303" t="s">
        <v>531</v>
      </c>
      <c r="AB662" s="303">
        <v>0.85</v>
      </c>
      <c r="AC662" s="303" t="s">
        <v>532</v>
      </c>
      <c r="AD662" s="303" t="s">
        <v>533</v>
      </c>
      <c r="AE662" s="303">
        <v>220</v>
      </c>
      <c r="AF662" s="329"/>
      <c r="AG662" s="325"/>
    </row>
    <row r="663" spans="1:33" ht="15" customHeight="1">
      <c r="A663" s="302" t="s">
        <v>576</v>
      </c>
      <c r="B663" s="303">
        <v>11</v>
      </c>
      <c r="C663" s="303" t="s">
        <v>803</v>
      </c>
      <c r="D663" s="303" t="s">
        <v>529</v>
      </c>
      <c r="E663" s="303">
        <v>1.5</v>
      </c>
      <c r="F663" s="304">
        <v>45422.582638888889</v>
      </c>
      <c r="G663" s="303">
        <v>1</v>
      </c>
      <c r="H663" s="303">
        <v>51.374099999999999</v>
      </c>
      <c r="I663" s="303">
        <v>7.4422499999999996</v>
      </c>
      <c r="J663" s="303">
        <v>-22.574175</v>
      </c>
      <c r="K663" s="303">
        <v>-21.724405999999998</v>
      </c>
      <c r="L663" s="303">
        <v>989.04300000000001</v>
      </c>
      <c r="M663" s="303">
        <v>116.00094</v>
      </c>
      <c r="N663" s="303">
        <v>17594.422869999999</v>
      </c>
      <c r="O663" s="303">
        <v>17588.128110000001</v>
      </c>
      <c r="P663" s="305">
        <v>2061.59629</v>
      </c>
      <c r="Q663" s="299">
        <f t="shared" si="5"/>
        <v>2061.59629</v>
      </c>
      <c r="R663" s="300" t="s">
        <v>230</v>
      </c>
      <c r="S663" s="300" t="s">
        <v>12</v>
      </c>
      <c r="T663" s="305" t="s">
        <v>530</v>
      </c>
      <c r="U663" s="305">
        <v>15</v>
      </c>
      <c r="V663" s="305">
        <v>5</v>
      </c>
      <c r="W663" s="303">
        <v>0.7</v>
      </c>
      <c r="X663" s="303">
        <v>0.7</v>
      </c>
      <c r="Y663" s="303">
        <v>0.7</v>
      </c>
      <c r="Z663" s="303">
        <v>1700</v>
      </c>
      <c r="AA663" s="303" t="s">
        <v>531</v>
      </c>
      <c r="AB663" s="303">
        <v>0.85</v>
      </c>
      <c r="AC663" s="303" t="s">
        <v>532</v>
      </c>
      <c r="AD663" s="303" t="s">
        <v>533</v>
      </c>
      <c r="AE663" s="303">
        <v>220</v>
      </c>
      <c r="AF663" s="329"/>
      <c r="AG663" s="325"/>
    </row>
    <row r="664" spans="1:33" ht="15" customHeight="1">
      <c r="A664" s="302" t="s">
        <v>577</v>
      </c>
      <c r="B664" s="303">
        <v>11</v>
      </c>
      <c r="C664" s="303" t="s">
        <v>803</v>
      </c>
      <c r="D664" s="303" t="s">
        <v>529</v>
      </c>
      <c r="E664" s="303">
        <v>1.5</v>
      </c>
      <c r="F664" s="304">
        <v>45422.586111111108</v>
      </c>
      <c r="G664" s="303">
        <v>1</v>
      </c>
      <c r="H664" s="303">
        <v>51.380699999999997</v>
      </c>
      <c r="I664" s="303">
        <v>7.3712200000000001</v>
      </c>
      <c r="J664" s="303">
        <v>-22.458280999999999</v>
      </c>
      <c r="K664" s="303">
        <v>-21.610524999999999</v>
      </c>
      <c r="L664" s="303">
        <v>994.55499999999995</v>
      </c>
      <c r="M664" s="303">
        <v>109.499746</v>
      </c>
      <c r="N664" s="303">
        <v>17573.781719999999</v>
      </c>
      <c r="O664" s="303">
        <v>17588.128110000001</v>
      </c>
      <c r="P664" s="305">
        <v>2061.59629</v>
      </c>
      <c r="Q664" s="299">
        <f t="shared" si="5"/>
        <v>2061.59629</v>
      </c>
      <c r="R664" s="300" t="s">
        <v>230</v>
      </c>
      <c r="S664" s="300" t="s">
        <v>12</v>
      </c>
      <c r="T664" s="305" t="s">
        <v>530</v>
      </c>
      <c r="U664" s="305">
        <v>15</v>
      </c>
      <c r="V664" s="305">
        <v>5</v>
      </c>
      <c r="W664" s="303">
        <v>0.7</v>
      </c>
      <c r="X664" s="303">
        <v>0.7</v>
      </c>
      <c r="Y664" s="303">
        <v>0.7</v>
      </c>
      <c r="Z664" s="303">
        <v>1700</v>
      </c>
      <c r="AA664" s="303" t="s">
        <v>531</v>
      </c>
      <c r="AB664" s="303">
        <v>0.85</v>
      </c>
      <c r="AC664" s="303" t="s">
        <v>532</v>
      </c>
      <c r="AD664" s="303" t="s">
        <v>533</v>
      </c>
      <c r="AE664" s="303">
        <v>220</v>
      </c>
      <c r="AF664" s="329"/>
      <c r="AG664" s="325"/>
    </row>
    <row r="665" spans="1:33" ht="15" customHeight="1">
      <c r="A665" s="302" t="s">
        <v>580</v>
      </c>
      <c r="B665" s="303">
        <v>12</v>
      </c>
      <c r="C665" s="303">
        <v>495</v>
      </c>
      <c r="D665" s="303" t="s">
        <v>561</v>
      </c>
      <c r="E665" s="303">
        <v>1.5</v>
      </c>
      <c r="F665" s="304">
        <v>45422.590277777781</v>
      </c>
      <c r="G665" s="303">
        <v>1</v>
      </c>
      <c r="H665" s="303">
        <v>51.374099999999999</v>
      </c>
      <c r="I665" s="303">
        <v>7.3784999999999998</v>
      </c>
      <c r="J665" s="303">
        <v>-22.597349999999999</v>
      </c>
      <c r="K665" s="303">
        <v>-21.751006</v>
      </c>
      <c r="L665" s="303">
        <v>1003.19</v>
      </c>
      <c r="M665" s="303">
        <v>132.50183799999999</v>
      </c>
      <c r="N665" s="303">
        <v>17875.13334</v>
      </c>
      <c r="O665" s="303">
        <v>17872.54794</v>
      </c>
      <c r="P665" s="305">
        <v>2095.0189420000002</v>
      </c>
      <c r="Q665" s="299">
        <f t="shared" si="5"/>
        <v>2095.0189420000002</v>
      </c>
      <c r="R665" s="300" t="s">
        <v>230</v>
      </c>
      <c r="S665" s="300" t="s">
        <v>12</v>
      </c>
      <c r="T665" s="305" t="s">
        <v>530</v>
      </c>
      <c r="U665" s="305">
        <v>15</v>
      </c>
      <c r="V665" s="305">
        <v>5</v>
      </c>
      <c r="W665" s="303">
        <v>0.7</v>
      </c>
      <c r="X665" s="303">
        <v>0.7</v>
      </c>
      <c r="Y665" s="303">
        <v>0.7</v>
      </c>
      <c r="Z665" s="303">
        <v>1700</v>
      </c>
      <c r="AA665" s="303" t="s">
        <v>531</v>
      </c>
      <c r="AB665" s="303">
        <v>0.85</v>
      </c>
      <c r="AC665" s="303" t="s">
        <v>532</v>
      </c>
      <c r="AD665" s="303" t="s">
        <v>533</v>
      </c>
      <c r="AE665" s="303">
        <v>220</v>
      </c>
      <c r="AF665" s="329"/>
      <c r="AG665" s="325"/>
    </row>
    <row r="666" spans="1:33" ht="15" customHeight="1">
      <c r="A666" s="302" t="s">
        <v>584</v>
      </c>
      <c r="B666" s="303">
        <v>12</v>
      </c>
      <c r="C666" s="303">
        <v>495</v>
      </c>
      <c r="D666" s="303" t="s">
        <v>561</v>
      </c>
      <c r="E666" s="303">
        <v>1.5</v>
      </c>
      <c r="F666" s="304">
        <v>45422.59375</v>
      </c>
      <c r="G666" s="303">
        <v>1</v>
      </c>
      <c r="H666" s="303">
        <v>51.3675</v>
      </c>
      <c r="I666" s="303">
        <v>7.35839</v>
      </c>
      <c r="J666" s="303">
        <v>-22.512212999999999</v>
      </c>
      <c r="K666" s="303">
        <v>-21.681249999999999</v>
      </c>
      <c r="L666" s="303">
        <v>1020.88</v>
      </c>
      <c r="M666" s="303">
        <v>119.499673</v>
      </c>
      <c r="N666" s="303">
        <v>17814.530220000001</v>
      </c>
      <c r="O666" s="303">
        <v>17872.54794</v>
      </c>
      <c r="P666" s="305">
        <v>2095.0189420000002</v>
      </c>
      <c r="Q666" s="299">
        <f t="shared" si="5"/>
        <v>2095.0189420000002</v>
      </c>
      <c r="R666" s="300" t="s">
        <v>230</v>
      </c>
      <c r="S666" s="300" t="s">
        <v>12</v>
      </c>
      <c r="T666" s="305" t="s">
        <v>545</v>
      </c>
      <c r="U666" s="305">
        <v>15</v>
      </c>
      <c r="V666" s="305">
        <v>5</v>
      </c>
      <c r="W666" s="303">
        <v>0.7</v>
      </c>
      <c r="X666" s="303">
        <v>0.7</v>
      </c>
      <c r="Y666" s="303">
        <v>0.7</v>
      </c>
      <c r="Z666" s="303">
        <v>1700</v>
      </c>
      <c r="AA666" s="303" t="s">
        <v>531</v>
      </c>
      <c r="AB666" s="303">
        <v>0.85</v>
      </c>
      <c r="AC666" s="303" t="s">
        <v>532</v>
      </c>
      <c r="AD666" s="303" t="s">
        <v>533</v>
      </c>
      <c r="AE666" s="303">
        <v>220</v>
      </c>
      <c r="AF666" s="329"/>
      <c r="AG666" s="325"/>
    </row>
    <row r="667" spans="1:33" ht="15" customHeight="1">
      <c r="A667" s="302" t="s">
        <v>585</v>
      </c>
      <c r="B667" s="303">
        <v>12</v>
      </c>
      <c r="C667" s="303">
        <v>495</v>
      </c>
      <c r="D667" s="303" t="s">
        <v>561</v>
      </c>
      <c r="E667" s="303">
        <v>1.5</v>
      </c>
      <c r="F667" s="304">
        <v>45422.597222222219</v>
      </c>
      <c r="G667" s="303">
        <v>1</v>
      </c>
      <c r="H667" s="303">
        <v>51.370800000000003</v>
      </c>
      <c r="I667" s="303">
        <v>7.4157200000000003</v>
      </c>
      <c r="J667" s="303">
        <v>-22.502161999999998</v>
      </c>
      <c r="K667" s="303">
        <v>-21.666031</v>
      </c>
      <c r="L667" s="303">
        <v>999.76900000000001</v>
      </c>
      <c r="M667" s="303">
        <v>102.999387</v>
      </c>
      <c r="N667" s="303">
        <v>17862.42339</v>
      </c>
      <c r="O667" s="303">
        <v>17872.54794</v>
      </c>
      <c r="P667" s="305">
        <v>2095.0189420000002</v>
      </c>
      <c r="Q667" s="299">
        <f t="shared" si="5"/>
        <v>2095.0189420000002</v>
      </c>
      <c r="R667" s="300" t="s">
        <v>230</v>
      </c>
      <c r="S667" s="300" t="s">
        <v>12</v>
      </c>
      <c r="T667" s="305" t="s">
        <v>530</v>
      </c>
      <c r="U667" s="305">
        <v>15</v>
      </c>
      <c r="V667" s="305">
        <v>5</v>
      </c>
      <c r="W667" s="303">
        <v>0.7</v>
      </c>
      <c r="X667" s="303">
        <v>0.7</v>
      </c>
      <c r="Y667" s="303">
        <v>0.7</v>
      </c>
      <c r="Z667" s="303">
        <v>1700</v>
      </c>
      <c r="AA667" s="303" t="s">
        <v>531</v>
      </c>
      <c r="AB667" s="303">
        <v>0.85</v>
      </c>
      <c r="AC667" s="303" t="s">
        <v>532</v>
      </c>
      <c r="AD667" s="303" t="s">
        <v>533</v>
      </c>
      <c r="AE667" s="303">
        <v>220</v>
      </c>
      <c r="AF667" s="329"/>
      <c r="AG667" s="325"/>
    </row>
    <row r="668" spans="1:33" ht="15" customHeight="1">
      <c r="A668" s="302" t="s">
        <v>586</v>
      </c>
      <c r="B668" s="303">
        <v>12</v>
      </c>
      <c r="C668" s="303">
        <v>495</v>
      </c>
      <c r="D668" s="303" t="s">
        <v>561</v>
      </c>
      <c r="E668" s="303">
        <v>1.5</v>
      </c>
      <c r="F668" s="304">
        <v>45422.600694444445</v>
      </c>
      <c r="G668" s="303">
        <v>1</v>
      </c>
      <c r="H668" s="303">
        <v>51.374099999999999</v>
      </c>
      <c r="I668" s="303">
        <v>7.4580200000000003</v>
      </c>
      <c r="J668" s="303">
        <v>-22.527743999999998</v>
      </c>
      <c r="K668" s="303">
        <v>-21.692962999999999</v>
      </c>
      <c r="L668" s="303">
        <v>999.85400000000004</v>
      </c>
      <c r="M668" s="303">
        <v>118.50059</v>
      </c>
      <c r="N668" s="303">
        <v>17880.087100000001</v>
      </c>
      <c r="O668" s="303">
        <v>17872.54794</v>
      </c>
      <c r="P668" s="305">
        <v>2095.0189420000002</v>
      </c>
      <c r="Q668" s="299">
        <f t="shared" si="5"/>
        <v>2095.0189420000002</v>
      </c>
      <c r="R668" s="300" t="s">
        <v>230</v>
      </c>
      <c r="S668" s="300" t="s">
        <v>12</v>
      </c>
      <c r="T668" s="305" t="s">
        <v>530</v>
      </c>
      <c r="U668" s="305">
        <v>15</v>
      </c>
      <c r="V668" s="305">
        <v>5</v>
      </c>
      <c r="W668" s="303">
        <v>0.7</v>
      </c>
      <c r="X668" s="303">
        <v>0.7</v>
      </c>
      <c r="Y668" s="303">
        <v>0.7</v>
      </c>
      <c r="Z668" s="303">
        <v>1700</v>
      </c>
      <c r="AA668" s="303" t="s">
        <v>531</v>
      </c>
      <c r="AB668" s="303">
        <v>0.85</v>
      </c>
      <c r="AC668" s="303" t="s">
        <v>532</v>
      </c>
      <c r="AD668" s="303" t="s">
        <v>533</v>
      </c>
      <c r="AE668" s="303">
        <v>220</v>
      </c>
      <c r="AF668" s="329"/>
      <c r="AG668" s="325"/>
    </row>
    <row r="669" spans="1:33" ht="15" customHeight="1">
      <c r="A669" s="308" t="s">
        <v>804</v>
      </c>
      <c r="B669" s="309" t="s">
        <v>543</v>
      </c>
      <c r="C669" s="309" t="s">
        <v>803</v>
      </c>
      <c r="D669" s="309" t="s">
        <v>529</v>
      </c>
      <c r="E669" s="309">
        <v>1.2</v>
      </c>
      <c r="F669" s="310">
        <v>45422.604861111111</v>
      </c>
      <c r="G669" s="309">
        <v>1</v>
      </c>
      <c r="H669" s="309">
        <v>51.374099999999999</v>
      </c>
      <c r="I669" s="309">
        <v>7.3433799999999998</v>
      </c>
      <c r="J669" s="309">
        <v>-22.613775</v>
      </c>
      <c r="K669" s="309">
        <v>-21.764381</v>
      </c>
      <c r="L669" s="309">
        <v>956.21400000000006</v>
      </c>
      <c r="M669" s="309">
        <v>120.001092</v>
      </c>
      <c r="N669" s="309">
        <v>14073.88371</v>
      </c>
      <c r="O669" s="309">
        <v>14083.10751</v>
      </c>
      <c r="P669" s="311">
        <v>2070.3456999999999</v>
      </c>
      <c r="Q669" s="299">
        <f t="shared" si="5"/>
        <v>2070.3456999999999</v>
      </c>
      <c r="R669" s="300" t="s">
        <v>230</v>
      </c>
      <c r="S669" s="300" t="s">
        <v>12</v>
      </c>
      <c r="T669" s="305" t="s">
        <v>530</v>
      </c>
      <c r="U669" s="305">
        <v>15</v>
      </c>
      <c r="V669" s="305">
        <v>5</v>
      </c>
      <c r="W669" s="303">
        <v>0.7</v>
      </c>
      <c r="X669" s="303">
        <v>0.7</v>
      </c>
      <c r="Y669" s="303">
        <v>0.7</v>
      </c>
      <c r="Z669" s="303">
        <v>1700</v>
      </c>
      <c r="AA669" s="303" t="s">
        <v>531</v>
      </c>
      <c r="AB669" s="303">
        <v>0.85</v>
      </c>
      <c r="AC669" s="303" t="s">
        <v>532</v>
      </c>
      <c r="AD669" s="303" t="s">
        <v>533</v>
      </c>
      <c r="AE669" s="303">
        <v>220</v>
      </c>
      <c r="AF669" s="329"/>
      <c r="AG669" s="325"/>
    </row>
    <row r="670" spans="1:33" ht="15" customHeight="1">
      <c r="A670" s="308" t="s">
        <v>805</v>
      </c>
      <c r="B670" s="309" t="s">
        <v>543</v>
      </c>
      <c r="C670" s="309" t="s">
        <v>803</v>
      </c>
      <c r="D670" s="309" t="s">
        <v>529</v>
      </c>
      <c r="E670" s="309">
        <v>1.2</v>
      </c>
      <c r="F670" s="310">
        <v>45422.60833333333</v>
      </c>
      <c r="G670" s="309">
        <v>1</v>
      </c>
      <c r="H670" s="309">
        <v>51.377400000000002</v>
      </c>
      <c r="I670" s="309">
        <v>7.22194</v>
      </c>
      <c r="J670" s="309">
        <v>-22.672125000000001</v>
      </c>
      <c r="K670" s="309">
        <v>-21.850349999999999</v>
      </c>
      <c r="L670" s="309">
        <v>987.12400000000002</v>
      </c>
      <c r="M670" s="309">
        <v>107.999161</v>
      </c>
      <c r="N670" s="309">
        <v>14087.631869999999</v>
      </c>
      <c r="O670" s="309">
        <v>14083.10751</v>
      </c>
      <c r="P670" s="311">
        <v>2070.3456999999999</v>
      </c>
      <c r="Q670" s="299">
        <f t="shared" si="5"/>
        <v>2070.3456999999999</v>
      </c>
      <c r="R670" s="300" t="s">
        <v>230</v>
      </c>
      <c r="S670" s="300" t="s">
        <v>12</v>
      </c>
      <c r="T670" s="305" t="s">
        <v>530</v>
      </c>
      <c r="U670" s="305">
        <v>15</v>
      </c>
      <c r="V670" s="305">
        <v>5</v>
      </c>
      <c r="W670" s="303">
        <v>0.7</v>
      </c>
      <c r="X670" s="303">
        <v>0.7</v>
      </c>
      <c r="Y670" s="303">
        <v>0.7</v>
      </c>
      <c r="Z670" s="303">
        <v>1700</v>
      </c>
      <c r="AA670" s="303" t="s">
        <v>531</v>
      </c>
      <c r="AB670" s="303">
        <v>0.85</v>
      </c>
      <c r="AC670" s="303" t="s">
        <v>532</v>
      </c>
      <c r="AD670" s="303" t="s">
        <v>533</v>
      </c>
      <c r="AE670" s="303">
        <v>220</v>
      </c>
      <c r="AF670" s="329"/>
      <c r="AG670" s="325"/>
    </row>
    <row r="671" spans="1:33" ht="15" customHeight="1">
      <c r="A671" s="308" t="s">
        <v>806</v>
      </c>
      <c r="B671" s="309" t="s">
        <v>543</v>
      </c>
      <c r="C671" s="309" t="s">
        <v>803</v>
      </c>
      <c r="D671" s="309" t="s">
        <v>529</v>
      </c>
      <c r="E671" s="309">
        <v>1.2</v>
      </c>
      <c r="F671" s="310">
        <v>45422.611805555556</v>
      </c>
      <c r="G671" s="309">
        <v>1</v>
      </c>
      <c r="H671" s="309">
        <v>51.3675</v>
      </c>
      <c r="I671" s="309">
        <v>7.2762200000000004</v>
      </c>
      <c r="J671" s="309">
        <v>-22.651499999999999</v>
      </c>
      <c r="K671" s="309">
        <v>-21.824587000000001</v>
      </c>
      <c r="L671" s="309">
        <v>980.93299999999999</v>
      </c>
      <c r="M671" s="309">
        <v>118.499741</v>
      </c>
      <c r="N671" s="309">
        <v>14087.80696</v>
      </c>
      <c r="O671" s="309">
        <v>14083.10751</v>
      </c>
      <c r="P671" s="311">
        <v>2070.3456999999999</v>
      </c>
      <c r="Q671" s="299">
        <f t="shared" si="5"/>
        <v>2070.3456999999999</v>
      </c>
      <c r="R671" s="300" t="s">
        <v>230</v>
      </c>
      <c r="S671" s="300" t="s">
        <v>12</v>
      </c>
      <c r="T671" s="305" t="s">
        <v>530</v>
      </c>
      <c r="U671" s="305">
        <v>15</v>
      </c>
      <c r="V671" s="305">
        <v>5</v>
      </c>
      <c r="W671" s="303">
        <v>0.7</v>
      </c>
      <c r="X671" s="303">
        <v>0.7</v>
      </c>
      <c r="Y671" s="303">
        <v>0.7</v>
      </c>
      <c r="Z671" s="303">
        <v>1700</v>
      </c>
      <c r="AA671" s="303" t="s">
        <v>531</v>
      </c>
      <c r="AB671" s="303">
        <v>0.85</v>
      </c>
      <c r="AC671" s="303" t="s">
        <v>532</v>
      </c>
      <c r="AD671" s="303" t="s">
        <v>533</v>
      </c>
      <c r="AE671" s="303">
        <v>220</v>
      </c>
      <c r="AF671" s="329"/>
      <c r="AG671" s="325"/>
    </row>
    <row r="672" spans="1:33" ht="15" customHeight="1">
      <c r="A672" s="302" t="s">
        <v>807</v>
      </c>
      <c r="B672" s="303" t="s">
        <v>550</v>
      </c>
      <c r="C672" s="303" t="s">
        <v>803</v>
      </c>
      <c r="D672" s="303" t="s">
        <v>529</v>
      </c>
      <c r="E672" s="303">
        <v>1.5</v>
      </c>
      <c r="F672" s="304">
        <v>45422.615277777775</v>
      </c>
      <c r="G672" s="303">
        <v>1</v>
      </c>
      <c r="H672" s="303">
        <v>51.370800000000003</v>
      </c>
      <c r="I672" s="303">
        <v>7.4179599999999999</v>
      </c>
      <c r="J672" s="303">
        <v>-22.636718999999999</v>
      </c>
      <c r="K672" s="303">
        <v>-21.802356</v>
      </c>
      <c r="L672" s="303">
        <v>980.12900000000002</v>
      </c>
      <c r="M672" s="303">
        <v>129.500809</v>
      </c>
      <c r="N672" s="303">
        <v>17638.684020000001</v>
      </c>
      <c r="O672" s="303">
        <v>0</v>
      </c>
      <c r="P672" s="305">
        <v>2070.3456999999999</v>
      </c>
      <c r="Q672" s="299">
        <f t="shared" si="5"/>
        <v>2070.3456999999999</v>
      </c>
      <c r="R672" s="300" t="s">
        <v>230</v>
      </c>
      <c r="S672" s="300" t="s">
        <v>12</v>
      </c>
      <c r="T672" s="305" t="s">
        <v>583</v>
      </c>
      <c r="U672" s="305">
        <v>15</v>
      </c>
      <c r="V672" s="305">
        <v>5</v>
      </c>
      <c r="W672" s="303">
        <v>0.7</v>
      </c>
      <c r="X672" s="303">
        <v>0.7</v>
      </c>
      <c r="Y672" s="303">
        <v>0.7</v>
      </c>
      <c r="Z672" s="303">
        <v>1700</v>
      </c>
      <c r="AA672" s="303" t="s">
        <v>531</v>
      </c>
      <c r="AB672" s="303">
        <v>0.85</v>
      </c>
      <c r="AC672" s="303" t="s">
        <v>532</v>
      </c>
      <c r="AD672" s="303" t="s">
        <v>533</v>
      </c>
      <c r="AE672" s="303">
        <v>220</v>
      </c>
      <c r="AF672" s="329"/>
      <c r="AG672" s="325"/>
    </row>
    <row r="673" spans="1:33" ht="15" customHeight="1">
      <c r="A673" s="302" t="s">
        <v>808</v>
      </c>
      <c r="B673" s="303" t="s">
        <v>550</v>
      </c>
      <c r="C673" s="303" t="s">
        <v>809</v>
      </c>
      <c r="D673" s="303" t="s">
        <v>529</v>
      </c>
      <c r="E673" s="303">
        <v>1.5</v>
      </c>
      <c r="F673" s="304">
        <v>45422.618750000001</v>
      </c>
      <c r="G673" s="303">
        <v>1</v>
      </c>
      <c r="H673" s="303">
        <v>51.374099999999999</v>
      </c>
      <c r="I673" s="303">
        <v>7.3965699999999996</v>
      </c>
      <c r="J673" s="303">
        <v>-22.544644000000002</v>
      </c>
      <c r="K673" s="303">
        <v>-21.719518999999998</v>
      </c>
      <c r="L673" s="303">
        <v>980.56399999999996</v>
      </c>
      <c r="M673" s="303">
        <v>131.50077300000001</v>
      </c>
      <c r="N673" s="303">
        <v>17554.233789999998</v>
      </c>
      <c r="O673" s="303">
        <v>0</v>
      </c>
      <c r="P673" s="305">
        <v>2070.3456999999999</v>
      </c>
      <c r="Q673" s="299">
        <f t="shared" si="5"/>
        <v>2070.3456999999999</v>
      </c>
      <c r="R673" s="300" t="s">
        <v>230</v>
      </c>
      <c r="S673" s="300" t="s">
        <v>12</v>
      </c>
      <c r="T673" s="305" t="s">
        <v>583</v>
      </c>
      <c r="U673" s="305">
        <v>15</v>
      </c>
      <c r="V673" s="305">
        <v>5</v>
      </c>
      <c r="W673" s="303">
        <v>0.7</v>
      </c>
      <c r="X673" s="303">
        <v>0.7</v>
      </c>
      <c r="Y673" s="303">
        <v>0.7</v>
      </c>
      <c r="Z673" s="303">
        <v>1700</v>
      </c>
      <c r="AA673" s="303" t="s">
        <v>531</v>
      </c>
      <c r="AB673" s="303">
        <v>0.85</v>
      </c>
      <c r="AC673" s="303" t="s">
        <v>532</v>
      </c>
      <c r="AD673" s="303" t="s">
        <v>533</v>
      </c>
      <c r="AE673" s="303">
        <v>220</v>
      </c>
      <c r="AF673" s="329"/>
      <c r="AG673" s="325"/>
    </row>
    <row r="674" spans="1:33" ht="15" customHeight="1">
      <c r="A674" s="302" t="s">
        <v>810</v>
      </c>
      <c r="B674" s="303" t="s">
        <v>550</v>
      </c>
      <c r="C674" s="303" t="s">
        <v>811</v>
      </c>
      <c r="D674" s="303" t="s">
        <v>529</v>
      </c>
      <c r="E674" s="303">
        <v>1.5</v>
      </c>
      <c r="F674" s="304">
        <v>45422.62222222222</v>
      </c>
      <c r="G674" s="303">
        <v>1</v>
      </c>
      <c r="H674" s="303">
        <v>51.3675</v>
      </c>
      <c r="I674" s="303">
        <v>7.3287800000000001</v>
      </c>
      <c r="J674" s="303">
        <v>-22.632563000000001</v>
      </c>
      <c r="K674" s="303">
        <v>-21.784155999999999</v>
      </c>
      <c r="L674" s="303">
        <v>1002.65</v>
      </c>
      <c r="M674" s="303">
        <v>129.50080700000001</v>
      </c>
      <c r="N674" s="303">
        <v>17635.81696</v>
      </c>
      <c r="O674" s="303">
        <v>0</v>
      </c>
      <c r="P674" s="305">
        <v>2070.3456999999999</v>
      </c>
      <c r="Q674" s="299">
        <f t="shared" si="5"/>
        <v>2070.3456999999999</v>
      </c>
      <c r="R674" s="300" t="s">
        <v>230</v>
      </c>
      <c r="S674" s="300" t="s">
        <v>12</v>
      </c>
      <c r="T674" s="305" t="s">
        <v>583</v>
      </c>
      <c r="U674" s="305">
        <v>15</v>
      </c>
      <c r="V674" s="305">
        <v>5</v>
      </c>
      <c r="W674" s="303">
        <v>0.7</v>
      </c>
      <c r="X674" s="303">
        <v>0.7</v>
      </c>
      <c r="Y674" s="303">
        <v>0.7</v>
      </c>
      <c r="Z674" s="303">
        <v>1700</v>
      </c>
      <c r="AA674" s="303" t="s">
        <v>531</v>
      </c>
      <c r="AB674" s="303">
        <v>0.85</v>
      </c>
      <c r="AC674" s="303" t="s">
        <v>532</v>
      </c>
      <c r="AD674" s="303" t="s">
        <v>533</v>
      </c>
      <c r="AE674" s="303">
        <v>220</v>
      </c>
      <c r="AF674" s="329"/>
      <c r="AG674" s="325"/>
    </row>
    <row r="675" spans="1:33" ht="15" customHeight="1">
      <c r="A675" s="302" t="s">
        <v>812</v>
      </c>
      <c r="B675" s="303" t="s">
        <v>550</v>
      </c>
      <c r="C675" s="303" t="s">
        <v>813</v>
      </c>
      <c r="D675" s="303" t="s">
        <v>529</v>
      </c>
      <c r="E675" s="303">
        <v>1.5</v>
      </c>
      <c r="F675" s="304">
        <v>45422.626388888886</v>
      </c>
      <c r="G675" s="303">
        <v>1</v>
      </c>
      <c r="H675" s="303">
        <v>51.380699999999997</v>
      </c>
      <c r="I675" s="303">
        <v>7.30131</v>
      </c>
      <c r="J675" s="303">
        <v>-22.585263000000001</v>
      </c>
      <c r="K675" s="303">
        <v>-21.737874999999999</v>
      </c>
      <c r="L675" s="303">
        <v>989.19799999999998</v>
      </c>
      <c r="M675" s="303">
        <v>121.500101</v>
      </c>
      <c r="N675" s="303">
        <v>17591.41289</v>
      </c>
      <c r="O675" s="303">
        <v>0</v>
      </c>
      <c r="P675" s="305">
        <v>2070.3456999999999</v>
      </c>
      <c r="Q675" s="299">
        <f t="shared" si="5"/>
        <v>2070.3456999999999</v>
      </c>
      <c r="R675" s="300" t="s">
        <v>230</v>
      </c>
      <c r="S675" s="300" t="s">
        <v>12</v>
      </c>
      <c r="T675" s="305" t="s">
        <v>583</v>
      </c>
      <c r="U675" s="305">
        <v>15</v>
      </c>
      <c r="V675" s="305">
        <v>5</v>
      </c>
      <c r="W675" s="303">
        <v>0.7</v>
      </c>
      <c r="X675" s="303">
        <v>0.7</v>
      </c>
      <c r="Y675" s="303">
        <v>0.7</v>
      </c>
      <c r="Z675" s="303">
        <v>1700</v>
      </c>
      <c r="AA675" s="303" t="s">
        <v>531</v>
      </c>
      <c r="AB675" s="303">
        <v>0.85</v>
      </c>
      <c r="AC675" s="303" t="s">
        <v>532</v>
      </c>
      <c r="AD675" s="303" t="s">
        <v>533</v>
      </c>
      <c r="AE675" s="303">
        <v>220</v>
      </c>
      <c r="AF675" s="329"/>
      <c r="AG675" s="325"/>
    </row>
    <row r="676" spans="1:33" ht="15" customHeight="1">
      <c r="A676" s="302" t="s">
        <v>814</v>
      </c>
      <c r="B676" s="303" t="s">
        <v>550</v>
      </c>
      <c r="C676" s="303" t="s">
        <v>815</v>
      </c>
      <c r="D676" s="303" t="s">
        <v>529</v>
      </c>
      <c r="E676" s="303">
        <v>1.5</v>
      </c>
      <c r="F676" s="304">
        <v>45422.629861111112</v>
      </c>
      <c r="G676" s="303">
        <v>1</v>
      </c>
      <c r="H676" s="303">
        <v>51.374099999999999</v>
      </c>
      <c r="I676" s="303">
        <v>7.2817699999999999</v>
      </c>
      <c r="J676" s="303">
        <v>-22.582350000000002</v>
      </c>
      <c r="K676" s="303">
        <v>-21.733888</v>
      </c>
      <c r="L676" s="303">
        <v>990.86800000000005</v>
      </c>
      <c r="M676" s="303">
        <v>118.50166299999999</v>
      </c>
      <c r="N676" s="303">
        <v>17591.869309999998</v>
      </c>
      <c r="O676" s="303">
        <v>0</v>
      </c>
      <c r="P676" s="305">
        <v>2070.3456999999999</v>
      </c>
      <c r="Q676" s="299">
        <f t="shared" si="5"/>
        <v>2070.3456999999999</v>
      </c>
      <c r="R676" s="300" t="s">
        <v>230</v>
      </c>
      <c r="S676" s="300" t="s">
        <v>12</v>
      </c>
      <c r="T676" s="305" t="s">
        <v>583</v>
      </c>
      <c r="U676" s="305">
        <v>15</v>
      </c>
      <c r="V676" s="305">
        <v>5</v>
      </c>
      <c r="W676" s="303">
        <v>0.7</v>
      </c>
      <c r="X676" s="303">
        <v>0.7</v>
      </c>
      <c r="Y676" s="303">
        <v>0.7</v>
      </c>
      <c r="Z676" s="303">
        <v>1700</v>
      </c>
      <c r="AA676" s="303" t="s">
        <v>531</v>
      </c>
      <c r="AB676" s="303">
        <v>0.85</v>
      </c>
      <c r="AC676" s="303" t="s">
        <v>532</v>
      </c>
      <c r="AD676" s="303" t="s">
        <v>533</v>
      </c>
      <c r="AE676" s="303">
        <v>220</v>
      </c>
      <c r="AF676" s="329"/>
      <c r="AG676" s="325"/>
    </row>
    <row r="677" spans="1:33" ht="15" customHeight="1">
      <c r="A677" s="302" t="s">
        <v>816</v>
      </c>
      <c r="B677" s="303" t="s">
        <v>550</v>
      </c>
      <c r="C677" s="303" t="s">
        <v>817</v>
      </c>
      <c r="D677" s="303" t="s">
        <v>529</v>
      </c>
      <c r="E677" s="303">
        <v>1.5</v>
      </c>
      <c r="F677" s="304">
        <v>45422.633333333331</v>
      </c>
      <c r="G677" s="303">
        <v>2</v>
      </c>
      <c r="H677" s="303">
        <v>51.370800000000003</v>
      </c>
      <c r="I677" s="303">
        <v>7.2031799999999997</v>
      </c>
      <c r="J677" s="303">
        <v>-22.499549999999999</v>
      </c>
      <c r="K677" s="303">
        <v>-21.665669000000001</v>
      </c>
      <c r="L677" s="303">
        <v>997.16200000000003</v>
      </c>
      <c r="M677" s="303">
        <v>107.500152</v>
      </c>
      <c r="N677" s="303">
        <v>17578.582040000001</v>
      </c>
      <c r="O677" s="303">
        <v>17590.544539999999</v>
      </c>
      <c r="P677" s="305">
        <v>2070.3456999999999</v>
      </c>
      <c r="Q677" s="299">
        <f t="shared" si="5"/>
        <v>2070.3456999999999</v>
      </c>
      <c r="R677" s="300" t="s">
        <v>230</v>
      </c>
      <c r="S677" s="300" t="s">
        <v>12</v>
      </c>
      <c r="T677" s="305" t="s">
        <v>530</v>
      </c>
      <c r="U677" s="305">
        <v>15</v>
      </c>
      <c r="V677" s="305">
        <v>5</v>
      </c>
      <c r="W677" s="303">
        <v>0.7</v>
      </c>
      <c r="X677" s="303">
        <v>0.7</v>
      </c>
      <c r="Y677" s="303">
        <v>0.7</v>
      </c>
      <c r="Z677" s="303">
        <v>1700</v>
      </c>
      <c r="AA677" s="303" t="s">
        <v>531</v>
      </c>
      <c r="AB677" s="303">
        <v>0.85</v>
      </c>
      <c r="AC677" s="303" t="s">
        <v>532</v>
      </c>
      <c r="AD677" s="303" t="s">
        <v>533</v>
      </c>
      <c r="AE677" s="303">
        <v>220</v>
      </c>
      <c r="AF677" s="329"/>
      <c r="AG677" s="325"/>
    </row>
    <row r="678" spans="1:33" ht="15" customHeight="1">
      <c r="A678" s="302" t="s">
        <v>818</v>
      </c>
      <c r="B678" s="303" t="s">
        <v>550</v>
      </c>
      <c r="C678" s="303" t="s">
        <v>819</v>
      </c>
      <c r="D678" s="303" t="s">
        <v>529</v>
      </c>
      <c r="E678" s="303">
        <v>1.5</v>
      </c>
      <c r="F678" s="304">
        <v>45422.636805555558</v>
      </c>
      <c r="G678" s="303">
        <v>2</v>
      </c>
      <c r="H678" s="303">
        <v>51.374099999999999</v>
      </c>
      <c r="I678" s="303">
        <v>7.2903900000000004</v>
      </c>
      <c r="J678" s="303">
        <v>-22.589931</v>
      </c>
      <c r="K678" s="303">
        <v>-21.752268999999998</v>
      </c>
      <c r="L678" s="303">
        <v>989.35900000000004</v>
      </c>
      <c r="M678" s="303">
        <v>118.501762</v>
      </c>
      <c r="N678" s="303">
        <v>17583.851729999998</v>
      </c>
      <c r="O678" s="303">
        <v>17590.544539999999</v>
      </c>
      <c r="P678" s="305">
        <v>2070.3456999999999</v>
      </c>
      <c r="Q678" s="299">
        <f t="shared" si="5"/>
        <v>2070.3456999999999</v>
      </c>
      <c r="R678" s="300" t="s">
        <v>230</v>
      </c>
      <c r="S678" s="300" t="s">
        <v>12</v>
      </c>
      <c r="T678" s="305" t="s">
        <v>530</v>
      </c>
      <c r="U678" s="305">
        <v>15</v>
      </c>
      <c r="V678" s="305">
        <v>5</v>
      </c>
      <c r="W678" s="303">
        <v>0.7</v>
      </c>
      <c r="X678" s="303">
        <v>0.7</v>
      </c>
      <c r="Y678" s="303">
        <v>0.7</v>
      </c>
      <c r="Z678" s="303">
        <v>1700</v>
      </c>
      <c r="AA678" s="303" t="s">
        <v>531</v>
      </c>
      <c r="AB678" s="303">
        <v>0.85</v>
      </c>
      <c r="AC678" s="303" t="s">
        <v>532</v>
      </c>
      <c r="AD678" s="303" t="s">
        <v>533</v>
      </c>
      <c r="AE678" s="303">
        <v>220</v>
      </c>
      <c r="AF678" s="329"/>
      <c r="AG678" s="325"/>
    </row>
    <row r="679" spans="1:33" ht="15" customHeight="1">
      <c r="A679" s="302" t="s">
        <v>820</v>
      </c>
      <c r="B679" s="303" t="s">
        <v>550</v>
      </c>
      <c r="C679" s="303" t="s">
        <v>821</v>
      </c>
      <c r="D679" s="303" t="s">
        <v>529</v>
      </c>
      <c r="E679" s="303">
        <v>1.5</v>
      </c>
      <c r="F679" s="304">
        <v>45422.640277777777</v>
      </c>
      <c r="G679" s="303">
        <v>2</v>
      </c>
      <c r="H679" s="303">
        <v>51.374099999999999</v>
      </c>
      <c r="I679" s="303">
        <v>7.343</v>
      </c>
      <c r="J679" s="303">
        <v>-22.558375000000002</v>
      </c>
      <c r="K679" s="303">
        <v>-21.709038</v>
      </c>
      <c r="L679" s="303">
        <v>993.95500000000004</v>
      </c>
      <c r="M679" s="303">
        <v>124.999788</v>
      </c>
      <c r="N679" s="303">
        <v>17543.054960000001</v>
      </c>
      <c r="O679" s="303">
        <v>17590.544539999999</v>
      </c>
      <c r="P679" s="305">
        <v>2070.3456999999999</v>
      </c>
      <c r="Q679" s="299">
        <f t="shared" si="5"/>
        <v>2070.3456999999999</v>
      </c>
      <c r="R679" s="300" t="s">
        <v>230</v>
      </c>
      <c r="S679" s="300" t="s">
        <v>12</v>
      </c>
      <c r="T679" s="305" t="s">
        <v>545</v>
      </c>
      <c r="U679" s="305">
        <v>15</v>
      </c>
      <c r="V679" s="305">
        <v>5</v>
      </c>
      <c r="W679" s="303">
        <v>0.7</v>
      </c>
      <c r="X679" s="303">
        <v>0.7</v>
      </c>
      <c r="Y679" s="303">
        <v>0.7</v>
      </c>
      <c r="Z679" s="303">
        <v>1700</v>
      </c>
      <c r="AA679" s="303" t="s">
        <v>531</v>
      </c>
      <c r="AB679" s="303">
        <v>0.85</v>
      </c>
      <c r="AC679" s="303" t="s">
        <v>532</v>
      </c>
      <c r="AD679" s="303" t="s">
        <v>533</v>
      </c>
      <c r="AE679" s="303">
        <v>220</v>
      </c>
      <c r="AF679" s="329"/>
      <c r="AG679" s="325"/>
    </row>
    <row r="680" spans="1:33" ht="15" customHeight="1">
      <c r="A680" s="302" t="s">
        <v>822</v>
      </c>
      <c r="B680" s="303" t="s">
        <v>550</v>
      </c>
      <c r="C680" s="303" t="s">
        <v>823</v>
      </c>
      <c r="D680" s="303" t="s">
        <v>529</v>
      </c>
      <c r="E680" s="303">
        <v>1.5</v>
      </c>
      <c r="F680" s="304">
        <v>45422.643750000003</v>
      </c>
      <c r="G680" s="303">
        <v>2</v>
      </c>
      <c r="H680" s="303">
        <v>51.3675</v>
      </c>
      <c r="I680" s="303">
        <v>7.2044899999999998</v>
      </c>
      <c r="J680" s="303">
        <v>-22.5946</v>
      </c>
      <c r="K680" s="303">
        <v>-21.780411999999998</v>
      </c>
      <c r="L680" s="303">
        <v>988.70899999999995</v>
      </c>
      <c r="M680" s="303">
        <v>119.99979399999999</v>
      </c>
      <c r="N680" s="303">
        <v>17609.199860000001</v>
      </c>
      <c r="O680" s="303">
        <v>17590.544539999999</v>
      </c>
      <c r="P680" s="305">
        <v>2070.3456999999999</v>
      </c>
      <c r="Q680" s="299">
        <f t="shared" si="5"/>
        <v>2070.3456999999999</v>
      </c>
      <c r="R680" s="300" t="s">
        <v>230</v>
      </c>
      <c r="S680" s="300" t="s">
        <v>12</v>
      </c>
      <c r="T680" s="305" t="s">
        <v>530</v>
      </c>
      <c r="U680" s="305">
        <v>15</v>
      </c>
      <c r="V680" s="305">
        <v>5</v>
      </c>
      <c r="W680" s="303">
        <v>0.7</v>
      </c>
      <c r="X680" s="303">
        <v>0.7</v>
      </c>
      <c r="Y680" s="303">
        <v>0.7</v>
      </c>
      <c r="Z680" s="303">
        <v>1700</v>
      </c>
      <c r="AA680" s="303" t="s">
        <v>531</v>
      </c>
      <c r="AB680" s="303">
        <v>0.85</v>
      </c>
      <c r="AC680" s="303" t="s">
        <v>532</v>
      </c>
      <c r="AD680" s="303" t="s">
        <v>533</v>
      </c>
      <c r="AE680" s="303">
        <v>220</v>
      </c>
      <c r="AF680" s="329"/>
      <c r="AG680" s="325"/>
    </row>
    <row r="681" spans="1:33" ht="15" customHeight="1">
      <c r="A681" s="302" t="s">
        <v>824</v>
      </c>
      <c r="B681" s="303" t="s">
        <v>554</v>
      </c>
      <c r="C681" s="303" t="s">
        <v>825</v>
      </c>
      <c r="D681" s="303" t="s">
        <v>529</v>
      </c>
      <c r="E681" s="303">
        <v>1.8</v>
      </c>
      <c r="F681" s="304">
        <v>45422.647222222222</v>
      </c>
      <c r="G681" s="303">
        <v>1</v>
      </c>
      <c r="H681" s="303">
        <v>51.374099999999999</v>
      </c>
      <c r="I681" s="303">
        <v>7.5230300000000003</v>
      </c>
      <c r="J681" s="303">
        <v>-22.549731000000001</v>
      </c>
      <c r="K681" s="303">
        <v>-21.714362000000001</v>
      </c>
      <c r="L681" s="303">
        <v>991.23800000000006</v>
      </c>
      <c r="M681" s="303">
        <v>186.999878</v>
      </c>
      <c r="N681" s="303">
        <v>21136.463240000001</v>
      </c>
      <c r="O681" s="303">
        <v>21146.50015</v>
      </c>
      <c r="P681" s="305">
        <v>2070.3456999999999</v>
      </c>
      <c r="Q681" s="299">
        <f t="shared" si="5"/>
        <v>2070.3456999999999</v>
      </c>
      <c r="R681" s="300" t="s">
        <v>230</v>
      </c>
      <c r="S681" s="300" t="s">
        <v>12</v>
      </c>
      <c r="T681" s="305" t="s">
        <v>530</v>
      </c>
      <c r="U681" s="305">
        <v>15</v>
      </c>
      <c r="V681" s="305">
        <v>5</v>
      </c>
      <c r="W681" s="303">
        <v>0.7</v>
      </c>
      <c r="X681" s="303">
        <v>0.7</v>
      </c>
      <c r="Y681" s="303">
        <v>0.7</v>
      </c>
      <c r="Z681" s="303">
        <v>1700</v>
      </c>
      <c r="AA681" s="303" t="s">
        <v>531</v>
      </c>
      <c r="AB681" s="303">
        <v>0.85</v>
      </c>
      <c r="AC681" s="303" t="s">
        <v>532</v>
      </c>
      <c r="AD681" s="303" t="s">
        <v>533</v>
      </c>
      <c r="AE681" s="303">
        <v>220</v>
      </c>
      <c r="AF681" s="329"/>
      <c r="AG681" s="325"/>
    </row>
    <row r="682" spans="1:33" ht="15" customHeight="1">
      <c r="A682" s="302" t="s">
        <v>826</v>
      </c>
      <c r="B682" s="303" t="s">
        <v>554</v>
      </c>
      <c r="C682" s="303" t="s">
        <v>827</v>
      </c>
      <c r="D682" s="303" t="s">
        <v>529</v>
      </c>
      <c r="E682" s="303">
        <v>1.8</v>
      </c>
      <c r="F682" s="304">
        <v>45422.652083333334</v>
      </c>
      <c r="G682" s="303">
        <v>1</v>
      </c>
      <c r="H682" s="303">
        <v>51.377400000000002</v>
      </c>
      <c r="I682" s="303">
        <v>7.4144899999999998</v>
      </c>
      <c r="J682" s="303">
        <v>-22.585336999999999</v>
      </c>
      <c r="K682" s="303">
        <v>-21.764780999999999</v>
      </c>
      <c r="L682" s="303">
        <v>1012.6</v>
      </c>
      <c r="M682" s="303">
        <v>158.49955199999999</v>
      </c>
      <c r="N682" s="303">
        <v>21159.985199999999</v>
      </c>
      <c r="O682" s="303">
        <v>21146.50015</v>
      </c>
      <c r="P682" s="305">
        <v>2070.3456999999999</v>
      </c>
      <c r="Q682" s="299">
        <f t="shared" si="5"/>
        <v>2070.3456999999999</v>
      </c>
      <c r="R682" s="300" t="s">
        <v>230</v>
      </c>
      <c r="S682" s="300" t="s">
        <v>12</v>
      </c>
      <c r="T682" s="305" t="s">
        <v>530</v>
      </c>
      <c r="U682" s="305">
        <v>15</v>
      </c>
      <c r="V682" s="305">
        <v>5</v>
      </c>
      <c r="W682" s="303">
        <v>0.7</v>
      </c>
      <c r="X682" s="303">
        <v>0.7</v>
      </c>
      <c r="Y682" s="303">
        <v>0.7</v>
      </c>
      <c r="Z682" s="303">
        <v>1700</v>
      </c>
      <c r="AA682" s="303" t="s">
        <v>531</v>
      </c>
      <c r="AB682" s="303">
        <v>0.85</v>
      </c>
      <c r="AC682" s="303" t="s">
        <v>532</v>
      </c>
      <c r="AD682" s="303" t="s">
        <v>533</v>
      </c>
      <c r="AE682" s="303">
        <v>220</v>
      </c>
      <c r="AF682" s="329"/>
      <c r="AG682" s="325"/>
    </row>
    <row r="683" spans="1:33" ht="15" customHeight="1">
      <c r="A683" s="302" t="s">
        <v>828</v>
      </c>
      <c r="B683" s="303" t="s">
        <v>554</v>
      </c>
      <c r="C683" s="303" t="s">
        <v>829</v>
      </c>
      <c r="D683" s="303" t="s">
        <v>529</v>
      </c>
      <c r="E683" s="303">
        <v>1.8</v>
      </c>
      <c r="F683" s="304">
        <v>45422.65625</v>
      </c>
      <c r="G683" s="303">
        <v>1</v>
      </c>
      <c r="H683" s="303">
        <v>51.380699999999997</v>
      </c>
      <c r="I683" s="303">
        <v>7.29352</v>
      </c>
      <c r="J683" s="303">
        <v>-22.569911999999999</v>
      </c>
      <c r="K683" s="303">
        <v>-21.720575</v>
      </c>
      <c r="L683" s="303">
        <v>991.77300000000002</v>
      </c>
      <c r="M683" s="303">
        <v>137.498694</v>
      </c>
      <c r="N683" s="303">
        <v>21143.052019999999</v>
      </c>
      <c r="O683" s="303">
        <v>21146.50015</v>
      </c>
      <c r="P683" s="305">
        <v>2070.3456999999999</v>
      </c>
      <c r="Q683" s="299">
        <f t="shared" si="5"/>
        <v>2070.3456999999999</v>
      </c>
      <c r="R683" s="300" t="s">
        <v>230</v>
      </c>
      <c r="S683" s="300" t="s">
        <v>12</v>
      </c>
      <c r="T683" s="305" t="s">
        <v>530</v>
      </c>
      <c r="U683" s="305">
        <v>15</v>
      </c>
      <c r="V683" s="305">
        <v>5</v>
      </c>
      <c r="W683" s="303">
        <v>0.7</v>
      </c>
      <c r="X683" s="303">
        <v>0.7</v>
      </c>
      <c r="Y683" s="303">
        <v>0.7</v>
      </c>
      <c r="Z683" s="303">
        <v>1700</v>
      </c>
      <c r="AA683" s="303" t="s">
        <v>531</v>
      </c>
      <c r="AB683" s="303">
        <v>0.85</v>
      </c>
      <c r="AC683" s="303" t="s">
        <v>532</v>
      </c>
      <c r="AD683" s="303" t="s">
        <v>533</v>
      </c>
      <c r="AE683" s="303">
        <v>220</v>
      </c>
      <c r="AF683" s="329"/>
      <c r="AG683" s="325"/>
    </row>
    <row r="684" spans="1:33" ht="15" customHeight="1">
      <c r="A684" s="302" t="s">
        <v>597</v>
      </c>
      <c r="B684" s="303">
        <v>2</v>
      </c>
      <c r="C684" s="303">
        <v>496</v>
      </c>
      <c r="D684" s="303" t="s">
        <v>565</v>
      </c>
      <c r="E684" s="303">
        <v>1.5</v>
      </c>
      <c r="F684" s="304">
        <v>45422.660416666666</v>
      </c>
      <c r="G684" s="303">
        <v>1</v>
      </c>
      <c r="H684" s="303">
        <v>51.3675</v>
      </c>
      <c r="I684" s="303">
        <v>7.2037100000000001</v>
      </c>
      <c r="J684" s="303">
        <v>-22.672725</v>
      </c>
      <c r="K684" s="303">
        <v>-21.830462000000001</v>
      </c>
      <c r="L684" s="303">
        <v>1000.17</v>
      </c>
      <c r="M684" s="303">
        <v>121.999351</v>
      </c>
      <c r="N684" s="303">
        <v>17937.907920000001</v>
      </c>
      <c r="O684" s="303">
        <v>17924.379110000002</v>
      </c>
      <c r="P684" s="305">
        <v>2109.2186809999998</v>
      </c>
      <c r="Q684" s="299">
        <f t="shared" si="5"/>
        <v>2109.2186809999998</v>
      </c>
      <c r="R684" s="300" t="s">
        <v>230</v>
      </c>
      <c r="S684" s="300" t="s">
        <v>12</v>
      </c>
      <c r="T684" s="305" t="s">
        <v>530</v>
      </c>
      <c r="U684" s="305">
        <v>15</v>
      </c>
      <c r="V684" s="305">
        <v>5</v>
      </c>
      <c r="W684" s="303">
        <v>0.7</v>
      </c>
      <c r="X684" s="303">
        <v>0.7</v>
      </c>
      <c r="Y684" s="303">
        <v>0.7</v>
      </c>
      <c r="Z684" s="303">
        <v>1700</v>
      </c>
      <c r="AA684" s="303" t="s">
        <v>531</v>
      </c>
      <c r="AB684" s="303">
        <v>0.85</v>
      </c>
      <c r="AC684" s="303" t="s">
        <v>532</v>
      </c>
      <c r="AD684" s="303" t="s">
        <v>533</v>
      </c>
      <c r="AE684" s="303">
        <v>220</v>
      </c>
      <c r="AF684" s="329"/>
      <c r="AG684" s="325"/>
    </row>
    <row r="685" spans="1:33" ht="15" customHeight="1">
      <c r="A685" s="302" t="s">
        <v>599</v>
      </c>
      <c r="B685" s="303">
        <v>2</v>
      </c>
      <c r="C685" s="303">
        <v>496</v>
      </c>
      <c r="D685" s="303" t="s">
        <v>565</v>
      </c>
      <c r="E685" s="303">
        <v>1.5</v>
      </c>
      <c r="F685" s="304">
        <v>45422.663888888892</v>
      </c>
      <c r="G685" s="303">
        <v>1</v>
      </c>
      <c r="H685" s="303">
        <v>51.377400000000002</v>
      </c>
      <c r="I685" s="303">
        <v>7.2908900000000001</v>
      </c>
      <c r="J685" s="303">
        <v>-22.638794000000001</v>
      </c>
      <c r="K685" s="303">
        <v>-21.790324999999999</v>
      </c>
      <c r="L685" s="303">
        <v>1013.95</v>
      </c>
      <c r="M685" s="303">
        <v>111.999679</v>
      </c>
      <c r="N685" s="303">
        <v>17917.430199999999</v>
      </c>
      <c r="O685" s="303">
        <v>17924.379110000002</v>
      </c>
      <c r="P685" s="305">
        <v>2109.2186809999998</v>
      </c>
      <c r="Q685" s="299">
        <f t="shared" si="5"/>
        <v>2109.2186809999998</v>
      </c>
      <c r="R685" s="300" t="s">
        <v>230</v>
      </c>
      <c r="S685" s="300" t="s">
        <v>12</v>
      </c>
      <c r="T685" s="305" t="s">
        <v>530</v>
      </c>
      <c r="U685" s="305">
        <v>15</v>
      </c>
      <c r="V685" s="305">
        <v>5</v>
      </c>
      <c r="W685" s="303">
        <v>0.7</v>
      </c>
      <c r="X685" s="303">
        <v>0.7</v>
      </c>
      <c r="Y685" s="303">
        <v>0.7</v>
      </c>
      <c r="Z685" s="303">
        <v>1700</v>
      </c>
      <c r="AA685" s="303" t="s">
        <v>531</v>
      </c>
      <c r="AB685" s="303">
        <v>0.85</v>
      </c>
      <c r="AC685" s="303" t="s">
        <v>532</v>
      </c>
      <c r="AD685" s="303" t="s">
        <v>533</v>
      </c>
      <c r="AE685" s="303">
        <v>220</v>
      </c>
      <c r="AF685" s="329"/>
      <c r="AG685" s="325"/>
    </row>
    <row r="686" spans="1:33" ht="15" customHeight="1">
      <c r="A686" s="302" t="s">
        <v>600</v>
      </c>
      <c r="B686" s="303">
        <v>2</v>
      </c>
      <c r="C686" s="303">
        <v>496</v>
      </c>
      <c r="D686" s="303" t="s">
        <v>565</v>
      </c>
      <c r="E686" s="303">
        <v>1.5</v>
      </c>
      <c r="F686" s="304">
        <v>45422.667361111111</v>
      </c>
      <c r="G686" s="303">
        <v>1</v>
      </c>
      <c r="H686" s="303">
        <v>51.370800000000003</v>
      </c>
      <c r="I686" s="303">
        <v>7.3470599999999999</v>
      </c>
      <c r="J686" s="303">
        <v>-22.493312</v>
      </c>
      <c r="K686" s="303">
        <v>-21.664556000000001</v>
      </c>
      <c r="L686" s="303">
        <v>1001.38</v>
      </c>
      <c r="M686" s="303">
        <v>116.498796</v>
      </c>
      <c r="N686" s="303">
        <v>17886.36695</v>
      </c>
      <c r="O686" s="303">
        <v>17924.379110000002</v>
      </c>
      <c r="P686" s="305">
        <v>2109.2186809999998</v>
      </c>
      <c r="Q686" s="299">
        <f t="shared" si="5"/>
        <v>2109.2186809999998</v>
      </c>
      <c r="R686" s="300" t="s">
        <v>230</v>
      </c>
      <c r="S686" s="300" t="s">
        <v>12</v>
      </c>
      <c r="T686" s="305" t="s">
        <v>545</v>
      </c>
      <c r="U686" s="305">
        <v>15</v>
      </c>
      <c r="V686" s="305">
        <v>5</v>
      </c>
      <c r="W686" s="303">
        <v>0.7</v>
      </c>
      <c r="X686" s="303">
        <v>0.7</v>
      </c>
      <c r="Y686" s="303">
        <v>0.7</v>
      </c>
      <c r="Z686" s="303">
        <v>1700</v>
      </c>
      <c r="AA686" s="303" t="s">
        <v>531</v>
      </c>
      <c r="AB686" s="303">
        <v>0.85</v>
      </c>
      <c r="AC686" s="303" t="s">
        <v>532</v>
      </c>
      <c r="AD686" s="303" t="s">
        <v>533</v>
      </c>
      <c r="AE686" s="303">
        <v>220</v>
      </c>
      <c r="AF686" s="329"/>
      <c r="AG686" s="325"/>
    </row>
    <row r="687" spans="1:33" ht="15" customHeight="1">
      <c r="A687" s="302" t="s">
        <v>601</v>
      </c>
      <c r="B687" s="303">
        <v>2</v>
      </c>
      <c r="C687" s="303">
        <v>496</v>
      </c>
      <c r="D687" s="303" t="s">
        <v>565</v>
      </c>
      <c r="E687" s="303">
        <v>1.5</v>
      </c>
      <c r="F687" s="304">
        <v>45422.67083333333</v>
      </c>
      <c r="G687" s="303">
        <v>1</v>
      </c>
      <c r="H687" s="303">
        <v>51.377400000000002</v>
      </c>
      <c r="I687" s="303">
        <v>7.3667400000000001</v>
      </c>
      <c r="J687" s="303">
        <v>-22.625019000000002</v>
      </c>
      <c r="K687" s="303">
        <v>-21.782762000000002</v>
      </c>
      <c r="L687" s="303">
        <v>1003.77</v>
      </c>
      <c r="M687" s="303">
        <v>124.999555</v>
      </c>
      <c r="N687" s="303">
        <v>17917.799220000001</v>
      </c>
      <c r="O687" s="303">
        <v>17924.379110000002</v>
      </c>
      <c r="P687" s="305">
        <v>2109.2186809999998</v>
      </c>
      <c r="Q687" s="299">
        <f t="shared" si="5"/>
        <v>2109.2186809999998</v>
      </c>
      <c r="R687" s="300" t="s">
        <v>230</v>
      </c>
      <c r="S687" s="300" t="s">
        <v>12</v>
      </c>
      <c r="T687" s="305" t="s">
        <v>530</v>
      </c>
      <c r="U687" s="305">
        <v>15</v>
      </c>
      <c r="V687" s="305">
        <v>5</v>
      </c>
      <c r="W687" s="303">
        <v>0.7</v>
      </c>
      <c r="X687" s="303">
        <v>0.7</v>
      </c>
      <c r="Y687" s="303">
        <v>0.7</v>
      </c>
      <c r="Z687" s="303">
        <v>1700</v>
      </c>
      <c r="AA687" s="303" t="s">
        <v>531</v>
      </c>
      <c r="AB687" s="303">
        <v>0.85</v>
      </c>
      <c r="AC687" s="303" t="s">
        <v>532</v>
      </c>
      <c r="AD687" s="303" t="s">
        <v>533</v>
      </c>
      <c r="AE687" s="303">
        <v>220</v>
      </c>
      <c r="AF687" s="329"/>
      <c r="AG687" s="325"/>
    </row>
    <row r="688" spans="1:33" ht="15" customHeight="1">
      <c r="A688" s="308" t="s">
        <v>602</v>
      </c>
      <c r="B688" s="309">
        <v>3</v>
      </c>
      <c r="C688" s="309" t="s">
        <v>803</v>
      </c>
      <c r="D688" s="309" t="s">
        <v>529</v>
      </c>
      <c r="E688" s="309">
        <v>1.5</v>
      </c>
      <c r="F688" s="310">
        <v>45422.675000000003</v>
      </c>
      <c r="G688" s="309">
        <v>1</v>
      </c>
      <c r="H688" s="309">
        <v>51.3675</v>
      </c>
      <c r="I688" s="309">
        <v>7.12967</v>
      </c>
      <c r="J688" s="309">
        <v>-22.465487</v>
      </c>
      <c r="K688" s="309">
        <v>-21.619319000000001</v>
      </c>
      <c r="L688" s="309">
        <v>995.36300000000006</v>
      </c>
      <c r="M688" s="309">
        <v>114.500524</v>
      </c>
      <c r="N688" s="309">
        <v>17592.923149999999</v>
      </c>
      <c r="O688" s="309">
        <v>17600.301670000001</v>
      </c>
      <c r="P688" s="311">
        <v>2071.4818570000002</v>
      </c>
      <c r="Q688" s="299">
        <f t="shared" si="5"/>
        <v>2071.4818570000002</v>
      </c>
      <c r="R688" s="300" t="s">
        <v>230</v>
      </c>
      <c r="S688" s="300" t="s">
        <v>12</v>
      </c>
      <c r="T688" s="305" t="s">
        <v>530</v>
      </c>
      <c r="U688" s="305">
        <v>15</v>
      </c>
      <c r="V688" s="305">
        <v>5</v>
      </c>
      <c r="W688" s="303">
        <v>0.7</v>
      </c>
      <c r="X688" s="303">
        <v>0.7</v>
      </c>
      <c r="Y688" s="303">
        <v>0.7</v>
      </c>
      <c r="Z688" s="303">
        <v>1700</v>
      </c>
      <c r="AA688" s="303" t="s">
        <v>531</v>
      </c>
      <c r="AB688" s="303">
        <v>0.85</v>
      </c>
      <c r="AC688" s="303" t="s">
        <v>532</v>
      </c>
      <c r="AD688" s="303" t="s">
        <v>533</v>
      </c>
      <c r="AE688" s="303">
        <v>220</v>
      </c>
      <c r="AF688" s="329"/>
      <c r="AG688" s="325"/>
    </row>
    <row r="689" spans="1:33" ht="15" customHeight="1">
      <c r="A689" s="308" t="s">
        <v>604</v>
      </c>
      <c r="B689" s="309">
        <v>3</v>
      </c>
      <c r="C689" s="309" t="s">
        <v>803</v>
      </c>
      <c r="D689" s="309" t="s">
        <v>529</v>
      </c>
      <c r="E689" s="309">
        <v>1.5</v>
      </c>
      <c r="F689" s="310">
        <v>45422.678472222222</v>
      </c>
      <c r="G689" s="309">
        <v>1</v>
      </c>
      <c r="H689" s="309">
        <v>51.370800000000003</v>
      </c>
      <c r="I689" s="309">
        <v>7.1749499999999999</v>
      </c>
      <c r="J689" s="309">
        <v>-22.418631000000001</v>
      </c>
      <c r="K689" s="309">
        <v>-21.600518999999998</v>
      </c>
      <c r="L689" s="309">
        <v>980.45399999999995</v>
      </c>
      <c r="M689" s="309">
        <v>112.499264</v>
      </c>
      <c r="N689" s="309">
        <v>17608.167740000001</v>
      </c>
      <c r="O689" s="309">
        <v>17600.301670000001</v>
      </c>
      <c r="P689" s="311">
        <v>2071.4818570000002</v>
      </c>
      <c r="Q689" s="299">
        <f t="shared" si="5"/>
        <v>2071.4818570000002</v>
      </c>
      <c r="R689" s="300" t="s">
        <v>230</v>
      </c>
      <c r="S689" s="300" t="s">
        <v>12</v>
      </c>
      <c r="T689" s="305" t="s">
        <v>530</v>
      </c>
      <c r="U689" s="305">
        <v>15</v>
      </c>
      <c r="V689" s="305">
        <v>5</v>
      </c>
      <c r="W689" s="303">
        <v>0.7</v>
      </c>
      <c r="X689" s="303">
        <v>0.7</v>
      </c>
      <c r="Y689" s="303">
        <v>0.7</v>
      </c>
      <c r="Z689" s="303">
        <v>1700</v>
      </c>
      <c r="AA689" s="303" t="s">
        <v>531</v>
      </c>
      <c r="AB689" s="303">
        <v>0.85</v>
      </c>
      <c r="AC689" s="303" t="s">
        <v>532</v>
      </c>
      <c r="AD689" s="303" t="s">
        <v>533</v>
      </c>
      <c r="AE689" s="303">
        <v>220</v>
      </c>
      <c r="AF689" s="329"/>
      <c r="AG689" s="325"/>
    </row>
    <row r="690" spans="1:33" ht="15" customHeight="1">
      <c r="A690" s="308" t="s">
        <v>605</v>
      </c>
      <c r="B690" s="309">
        <v>3</v>
      </c>
      <c r="C690" s="309" t="s">
        <v>803</v>
      </c>
      <c r="D690" s="309" t="s">
        <v>529</v>
      </c>
      <c r="E690" s="309">
        <v>1.5</v>
      </c>
      <c r="F690" s="310">
        <v>45422.681944444441</v>
      </c>
      <c r="G690" s="309">
        <v>1</v>
      </c>
      <c r="H690" s="309">
        <v>51.374099999999999</v>
      </c>
      <c r="I690" s="309">
        <v>7.3478500000000002</v>
      </c>
      <c r="J690" s="309">
        <v>-22.478569</v>
      </c>
      <c r="K690" s="309">
        <v>-21.629850000000001</v>
      </c>
      <c r="L690" s="309">
        <v>1001.55</v>
      </c>
      <c r="M690" s="309">
        <v>128.00021000000001</v>
      </c>
      <c r="N690" s="309">
        <v>17599.814109999999</v>
      </c>
      <c r="O690" s="309">
        <v>17600.301670000001</v>
      </c>
      <c r="P690" s="311">
        <v>2071.4818570000002</v>
      </c>
      <c r="Q690" s="299">
        <f t="shared" si="5"/>
        <v>2071.4818570000002</v>
      </c>
      <c r="R690" s="300" t="s">
        <v>230</v>
      </c>
      <c r="S690" s="300" t="s">
        <v>12</v>
      </c>
      <c r="T690" s="305" t="s">
        <v>530</v>
      </c>
      <c r="U690" s="305">
        <v>15</v>
      </c>
      <c r="V690" s="305">
        <v>5</v>
      </c>
      <c r="W690" s="303">
        <v>0.7</v>
      </c>
      <c r="X690" s="303">
        <v>0.7</v>
      </c>
      <c r="Y690" s="303">
        <v>0.7</v>
      </c>
      <c r="Z690" s="303">
        <v>1700</v>
      </c>
      <c r="AA690" s="303" t="s">
        <v>531</v>
      </c>
      <c r="AB690" s="303">
        <v>0.85</v>
      </c>
      <c r="AC690" s="303" t="s">
        <v>532</v>
      </c>
      <c r="AD690" s="303" t="s">
        <v>533</v>
      </c>
      <c r="AE690" s="303">
        <v>220</v>
      </c>
      <c r="AF690" s="329"/>
      <c r="AG690" s="32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defaultColWidth="11.25" defaultRowHeight="15" customHeight="1"/>
  <cols>
    <col min="3" max="3" width="13.5" customWidth="1"/>
  </cols>
  <sheetData>
    <row r="1" spans="1:5">
      <c r="A1" s="274" t="s">
        <v>830</v>
      </c>
      <c r="B1" s="274" t="s">
        <v>831</v>
      </c>
      <c r="C1" s="274" t="s">
        <v>832</v>
      </c>
      <c r="D1" s="330" t="s">
        <v>8</v>
      </c>
      <c r="E1" s="331" t="s">
        <v>7</v>
      </c>
    </row>
    <row r="2" spans="1:5">
      <c r="A2" s="332">
        <v>45407</v>
      </c>
      <c r="B2" s="333" t="s">
        <v>833</v>
      </c>
      <c r="C2" s="333">
        <v>20.13</v>
      </c>
      <c r="D2" s="330" t="s">
        <v>13</v>
      </c>
      <c r="E2" s="331" t="s">
        <v>12</v>
      </c>
    </row>
    <row r="3" spans="1:5">
      <c r="A3" s="332">
        <v>45407</v>
      </c>
      <c r="B3" s="333">
        <v>40</v>
      </c>
      <c r="C3" s="333">
        <v>20.13</v>
      </c>
      <c r="D3" s="330" t="s">
        <v>13</v>
      </c>
      <c r="E3" s="331" t="s">
        <v>12</v>
      </c>
    </row>
    <row r="4" spans="1:5">
      <c r="A4" s="332">
        <v>45407</v>
      </c>
      <c r="B4" s="333">
        <v>41</v>
      </c>
      <c r="C4" s="333">
        <v>20.27</v>
      </c>
      <c r="D4" s="330" t="s">
        <v>13</v>
      </c>
      <c r="E4" s="331" t="s">
        <v>12</v>
      </c>
    </row>
    <row r="5" spans="1:5">
      <c r="A5" s="332">
        <v>45407</v>
      </c>
      <c r="B5" s="333">
        <v>1</v>
      </c>
      <c r="C5" s="333">
        <v>20.94</v>
      </c>
      <c r="D5" s="330" t="s">
        <v>13</v>
      </c>
      <c r="E5" s="331" t="s">
        <v>12</v>
      </c>
    </row>
    <row r="6" spans="1:5">
      <c r="A6" s="332">
        <v>45407</v>
      </c>
      <c r="B6" s="333">
        <v>2</v>
      </c>
      <c r="C6" s="333">
        <v>21.77</v>
      </c>
      <c r="D6" s="330" t="s">
        <v>13</v>
      </c>
      <c r="E6" s="331" t="s">
        <v>12</v>
      </c>
    </row>
    <row r="7" spans="1:5">
      <c r="A7" s="332">
        <v>45407</v>
      </c>
      <c r="B7" s="333">
        <v>14</v>
      </c>
      <c r="C7" s="333">
        <v>22.68</v>
      </c>
      <c r="D7" s="330" t="s">
        <v>13</v>
      </c>
      <c r="E7" s="331" t="s">
        <v>12</v>
      </c>
    </row>
    <row r="8" spans="1:5">
      <c r="A8" s="332">
        <v>45407</v>
      </c>
      <c r="B8" s="333">
        <v>15</v>
      </c>
      <c r="C8" s="333">
        <v>22.52</v>
      </c>
      <c r="D8" s="330" t="s">
        <v>13</v>
      </c>
      <c r="E8" s="331" t="s">
        <v>12</v>
      </c>
    </row>
    <row r="9" spans="1:5">
      <c r="A9" s="332">
        <v>45407</v>
      </c>
      <c r="B9" s="333">
        <v>66</v>
      </c>
      <c r="C9" s="333">
        <v>22.82</v>
      </c>
      <c r="D9" s="330" t="s">
        <v>13</v>
      </c>
      <c r="E9" s="331" t="s">
        <v>12</v>
      </c>
    </row>
    <row r="10" spans="1:5">
      <c r="A10" s="332">
        <v>45407</v>
      </c>
      <c r="B10" s="333">
        <v>67</v>
      </c>
      <c r="C10" s="333">
        <v>23.2</v>
      </c>
      <c r="D10" s="330" t="s">
        <v>13</v>
      </c>
      <c r="E10" s="331" t="s">
        <v>12</v>
      </c>
    </row>
    <row r="11" spans="1:5">
      <c r="A11" s="332">
        <v>45407</v>
      </c>
      <c r="B11" s="333" t="s">
        <v>833</v>
      </c>
      <c r="C11" s="333">
        <v>23.1</v>
      </c>
      <c r="D11" s="330" t="s">
        <v>13</v>
      </c>
      <c r="E11" s="331" t="s">
        <v>12</v>
      </c>
    </row>
    <row r="12" spans="1:5">
      <c r="A12" s="332">
        <v>45407</v>
      </c>
      <c r="B12" s="333">
        <v>92</v>
      </c>
      <c r="C12" s="333">
        <v>23.79</v>
      </c>
      <c r="D12" s="330" t="s">
        <v>13</v>
      </c>
      <c r="E12" s="331" t="s">
        <v>12</v>
      </c>
    </row>
    <row r="13" spans="1:5">
      <c r="A13" s="332">
        <v>45407</v>
      </c>
      <c r="B13" s="333">
        <v>93</v>
      </c>
      <c r="C13" s="333">
        <v>23.62</v>
      </c>
      <c r="D13" s="330" t="s">
        <v>13</v>
      </c>
      <c r="E13" s="331" t="s">
        <v>12</v>
      </c>
    </row>
    <row r="14" spans="1:5">
      <c r="A14" s="332">
        <v>45407</v>
      </c>
      <c r="B14" s="333">
        <v>27</v>
      </c>
      <c r="C14" s="333">
        <v>23.68</v>
      </c>
      <c r="D14" s="330" t="s">
        <v>13</v>
      </c>
      <c r="E14" s="331" t="s">
        <v>12</v>
      </c>
    </row>
    <row r="15" spans="1:5">
      <c r="A15" s="332">
        <v>45407</v>
      </c>
      <c r="B15" s="333">
        <v>28</v>
      </c>
      <c r="C15" s="333">
        <v>23.96</v>
      </c>
      <c r="D15" s="330" t="s">
        <v>13</v>
      </c>
      <c r="E15" s="331" t="s">
        <v>12</v>
      </c>
    </row>
    <row r="16" spans="1:5">
      <c r="A16" s="332">
        <v>45407</v>
      </c>
      <c r="B16" s="333">
        <v>79</v>
      </c>
      <c r="C16" s="333">
        <v>24.19</v>
      </c>
      <c r="D16" s="330" t="s">
        <v>13</v>
      </c>
      <c r="E16" s="331" t="s">
        <v>12</v>
      </c>
    </row>
    <row r="17" spans="1:5">
      <c r="A17" s="332">
        <v>45407</v>
      </c>
      <c r="B17" s="333">
        <v>80</v>
      </c>
      <c r="C17" s="333">
        <v>24.38</v>
      </c>
      <c r="D17" s="330" t="s">
        <v>13</v>
      </c>
      <c r="E17" s="331" t="s">
        <v>12</v>
      </c>
    </row>
    <row r="18" spans="1:5">
      <c r="A18" s="332">
        <v>45407</v>
      </c>
      <c r="B18" s="333">
        <v>118</v>
      </c>
      <c r="C18" s="333">
        <v>24.46</v>
      </c>
      <c r="D18" s="330" t="s">
        <v>13</v>
      </c>
      <c r="E18" s="331" t="s">
        <v>12</v>
      </c>
    </row>
    <row r="19" spans="1:5">
      <c r="A19" s="332">
        <v>45407</v>
      </c>
      <c r="B19" s="333">
        <v>119</v>
      </c>
      <c r="C19" s="333">
        <v>24.7</v>
      </c>
      <c r="D19" s="330" t="s">
        <v>13</v>
      </c>
      <c r="E19" s="331" t="s">
        <v>12</v>
      </c>
    </row>
    <row r="20" spans="1:5">
      <c r="A20" s="332">
        <v>45407</v>
      </c>
      <c r="B20" s="333" t="s">
        <v>833</v>
      </c>
      <c r="C20" s="333">
        <v>24.7</v>
      </c>
      <c r="D20" s="330" t="s">
        <v>13</v>
      </c>
      <c r="E20" s="331" t="s">
        <v>12</v>
      </c>
    </row>
    <row r="21" spans="1:5">
      <c r="A21" s="332">
        <v>45412</v>
      </c>
      <c r="B21" s="333" t="s">
        <v>833</v>
      </c>
      <c r="C21" s="333">
        <v>20.149999999999999</v>
      </c>
      <c r="D21" s="330" t="s">
        <v>13</v>
      </c>
      <c r="E21" s="331" t="s">
        <v>12</v>
      </c>
    </row>
    <row r="22" spans="1:5">
      <c r="A22" s="332">
        <v>45412</v>
      </c>
      <c r="B22" s="333">
        <v>157</v>
      </c>
      <c r="C22" s="333">
        <v>20.149999999999999</v>
      </c>
      <c r="D22" s="330" t="s">
        <v>13</v>
      </c>
      <c r="E22" s="331" t="s">
        <v>12</v>
      </c>
    </row>
    <row r="23" spans="1:5">
      <c r="A23" s="332">
        <v>45412</v>
      </c>
      <c r="B23" s="333">
        <v>158</v>
      </c>
      <c r="C23" s="333">
        <v>20.149999999999999</v>
      </c>
      <c r="D23" s="330" t="s">
        <v>13</v>
      </c>
      <c r="E23" s="331" t="s">
        <v>12</v>
      </c>
    </row>
    <row r="24" spans="1:5">
      <c r="A24" s="332">
        <v>45412</v>
      </c>
      <c r="B24" s="333">
        <v>144</v>
      </c>
      <c r="C24" s="333">
        <v>20.16</v>
      </c>
      <c r="D24" s="330" t="s">
        <v>13</v>
      </c>
      <c r="E24" s="331" t="s">
        <v>12</v>
      </c>
    </row>
    <row r="25" spans="1:5">
      <c r="A25" s="332">
        <v>45412</v>
      </c>
      <c r="B25" s="333">
        <v>145</v>
      </c>
      <c r="C25" s="333">
        <v>20.190000000000001</v>
      </c>
      <c r="D25" s="330" t="s">
        <v>13</v>
      </c>
      <c r="E25" s="331" t="s">
        <v>12</v>
      </c>
    </row>
    <row r="26" spans="1:5">
      <c r="A26" s="332">
        <v>45412</v>
      </c>
      <c r="B26" s="333">
        <v>131</v>
      </c>
      <c r="C26" s="333">
        <v>21.14</v>
      </c>
      <c r="D26" s="330" t="s">
        <v>13</v>
      </c>
      <c r="E26" s="331" t="s">
        <v>12</v>
      </c>
    </row>
    <row r="27" spans="1:5">
      <c r="A27" s="332">
        <v>45412</v>
      </c>
      <c r="B27" s="333">
        <v>132</v>
      </c>
      <c r="C27" s="333">
        <v>22.15</v>
      </c>
      <c r="D27" s="330" t="s">
        <v>13</v>
      </c>
      <c r="E27" s="331" t="s">
        <v>12</v>
      </c>
    </row>
    <row r="28" spans="1:5">
      <c r="A28" s="332">
        <v>45412</v>
      </c>
      <c r="B28" s="333">
        <v>183</v>
      </c>
      <c r="C28" s="333">
        <v>22.33</v>
      </c>
      <c r="D28" s="330" t="s">
        <v>13</v>
      </c>
      <c r="E28" s="331" t="s">
        <v>12</v>
      </c>
    </row>
    <row r="29" spans="1:5">
      <c r="A29" s="332">
        <v>45412</v>
      </c>
      <c r="B29" s="333">
        <v>184</v>
      </c>
      <c r="C29" s="333">
        <v>22.41</v>
      </c>
      <c r="D29" s="330" t="s">
        <v>13</v>
      </c>
      <c r="E29" s="331" t="s">
        <v>12</v>
      </c>
    </row>
    <row r="30" spans="1:5">
      <c r="A30" s="332">
        <v>45412</v>
      </c>
      <c r="B30" s="333" t="s">
        <v>833</v>
      </c>
      <c r="C30" s="333">
        <v>22.4</v>
      </c>
      <c r="D30" s="330" t="s">
        <v>13</v>
      </c>
      <c r="E30" s="331" t="s">
        <v>12</v>
      </c>
    </row>
    <row r="31" spans="1:5">
      <c r="A31" s="332">
        <v>45412</v>
      </c>
      <c r="B31" s="333">
        <v>366</v>
      </c>
      <c r="C31" s="333">
        <v>22.15</v>
      </c>
      <c r="D31" s="330" t="s">
        <v>13</v>
      </c>
      <c r="E31" s="331" t="s">
        <v>12</v>
      </c>
    </row>
    <row r="32" spans="1:5">
      <c r="A32" s="332">
        <v>45412</v>
      </c>
      <c r="B32" s="333" t="s">
        <v>833</v>
      </c>
      <c r="C32" s="333">
        <v>22.15</v>
      </c>
      <c r="D32" s="330" t="s">
        <v>13</v>
      </c>
      <c r="E32" s="331" t="s">
        <v>12</v>
      </c>
    </row>
    <row r="33" spans="1:5">
      <c r="A33" s="332">
        <v>45414</v>
      </c>
      <c r="B33" s="333" t="s">
        <v>833</v>
      </c>
      <c r="C33" s="333">
        <v>22.15</v>
      </c>
      <c r="D33" s="330" t="s">
        <v>13</v>
      </c>
      <c r="E33" s="331" t="s">
        <v>12</v>
      </c>
    </row>
    <row r="34" spans="1:5">
      <c r="A34" s="332">
        <v>45414</v>
      </c>
      <c r="B34" s="333">
        <v>209</v>
      </c>
      <c r="C34" s="333">
        <v>22.59</v>
      </c>
      <c r="D34" s="330" t="s">
        <v>13</v>
      </c>
      <c r="E34" s="331" t="s">
        <v>12</v>
      </c>
    </row>
    <row r="35" spans="1:5">
      <c r="A35" s="332">
        <v>45414</v>
      </c>
      <c r="B35" s="333">
        <v>210</v>
      </c>
      <c r="C35" s="333">
        <v>22.3</v>
      </c>
      <c r="D35" s="330" t="s">
        <v>13</v>
      </c>
      <c r="E35" s="331" t="s">
        <v>12</v>
      </c>
    </row>
    <row r="36" spans="1:5">
      <c r="A36" s="332">
        <v>45414</v>
      </c>
      <c r="B36" s="333">
        <v>365</v>
      </c>
      <c r="C36" s="333">
        <v>22.22</v>
      </c>
      <c r="D36" s="330" t="s">
        <v>13</v>
      </c>
      <c r="E36" s="331" t="s">
        <v>12</v>
      </c>
    </row>
    <row r="37" spans="1:5">
      <c r="A37" s="332">
        <v>45414</v>
      </c>
      <c r="B37" s="333">
        <v>222</v>
      </c>
      <c r="C37" s="333">
        <v>22.19</v>
      </c>
      <c r="D37" s="330" t="s">
        <v>13</v>
      </c>
      <c r="E37" s="331" t="s">
        <v>12</v>
      </c>
    </row>
    <row r="38" spans="1:5">
      <c r="A38" s="332">
        <v>45414</v>
      </c>
      <c r="B38" s="333">
        <v>223</v>
      </c>
      <c r="C38" s="333">
        <v>22.05</v>
      </c>
      <c r="D38" s="330" t="s">
        <v>13</v>
      </c>
      <c r="E38" s="331" t="s">
        <v>12</v>
      </c>
    </row>
    <row r="39" spans="1:5">
      <c r="A39" s="332">
        <v>45414</v>
      </c>
      <c r="B39" s="333">
        <v>235</v>
      </c>
      <c r="C39" s="333">
        <v>22.15</v>
      </c>
      <c r="D39" s="330" t="s">
        <v>13</v>
      </c>
      <c r="E39" s="331" t="s">
        <v>12</v>
      </c>
    </row>
    <row r="40" spans="1:5">
      <c r="A40" s="332">
        <v>45414</v>
      </c>
      <c r="B40" s="333">
        <v>236</v>
      </c>
      <c r="C40" s="333" t="s">
        <v>583</v>
      </c>
      <c r="D40" s="330" t="s">
        <v>13</v>
      </c>
      <c r="E40" s="331" t="s">
        <v>582</v>
      </c>
    </row>
    <row r="41" spans="1:5">
      <c r="A41" s="332">
        <v>45414</v>
      </c>
      <c r="B41" s="333">
        <v>53</v>
      </c>
      <c r="C41" s="333">
        <v>23.45</v>
      </c>
      <c r="D41" s="330" t="s">
        <v>13</v>
      </c>
      <c r="E41" s="331" t="s">
        <v>12</v>
      </c>
    </row>
    <row r="42" spans="1:5">
      <c r="A42" s="332">
        <v>45414</v>
      </c>
      <c r="B42" s="333" t="s">
        <v>833</v>
      </c>
      <c r="C42" s="333">
        <v>22.15</v>
      </c>
      <c r="D42" s="330" t="s">
        <v>13</v>
      </c>
      <c r="E42" s="331" t="s">
        <v>12</v>
      </c>
    </row>
    <row r="43" spans="1:5">
      <c r="A43" s="332">
        <v>45414</v>
      </c>
      <c r="B43" s="333">
        <v>54</v>
      </c>
      <c r="C43" s="333">
        <v>22.85</v>
      </c>
      <c r="D43" s="330" t="s">
        <v>13</v>
      </c>
      <c r="E43" s="331" t="s">
        <v>12</v>
      </c>
    </row>
    <row r="44" spans="1:5">
      <c r="A44" s="332">
        <v>45414</v>
      </c>
      <c r="B44" s="333">
        <v>248</v>
      </c>
      <c r="C44" s="333">
        <v>22.12</v>
      </c>
      <c r="D44" s="330" t="s">
        <v>13</v>
      </c>
      <c r="E44" s="331" t="s">
        <v>12</v>
      </c>
    </row>
    <row r="45" spans="1:5">
      <c r="A45" s="332">
        <v>45414</v>
      </c>
      <c r="B45" s="333">
        <v>249</v>
      </c>
      <c r="C45" s="333">
        <v>22.43</v>
      </c>
      <c r="D45" s="330" t="s">
        <v>13</v>
      </c>
      <c r="E45" s="331" t="s">
        <v>12</v>
      </c>
    </row>
    <row r="46" spans="1:5">
      <c r="A46" s="332">
        <v>45414</v>
      </c>
      <c r="B46" s="333">
        <v>261</v>
      </c>
      <c r="C46" s="333">
        <v>22.43</v>
      </c>
      <c r="D46" s="330" t="s">
        <v>13</v>
      </c>
      <c r="E46" s="331" t="s">
        <v>12</v>
      </c>
    </row>
    <row r="47" spans="1:5">
      <c r="A47" s="332">
        <v>45414</v>
      </c>
      <c r="B47" s="333">
        <v>262</v>
      </c>
      <c r="C47" s="333">
        <v>23.3</v>
      </c>
      <c r="D47" s="330" t="s">
        <v>13</v>
      </c>
      <c r="E47" s="331" t="s">
        <v>12</v>
      </c>
    </row>
    <row r="48" spans="1:5">
      <c r="A48" s="332">
        <v>45414</v>
      </c>
      <c r="B48" s="333">
        <v>274</v>
      </c>
      <c r="C48" s="333">
        <v>23.37</v>
      </c>
      <c r="D48" s="330" t="s">
        <v>13</v>
      </c>
      <c r="E48" s="331" t="s">
        <v>12</v>
      </c>
    </row>
    <row r="49" spans="1:5">
      <c r="A49" s="332">
        <v>45414</v>
      </c>
      <c r="B49" s="333">
        <v>236</v>
      </c>
      <c r="C49" s="333">
        <v>24.23</v>
      </c>
      <c r="D49" s="330" t="s">
        <v>13</v>
      </c>
      <c r="E49" s="331" t="s">
        <v>12</v>
      </c>
    </row>
    <row r="50" spans="1:5">
      <c r="A50" s="332">
        <v>45414</v>
      </c>
      <c r="B50" s="333">
        <v>275</v>
      </c>
      <c r="C50" s="333">
        <v>24.12</v>
      </c>
      <c r="D50" s="330" t="s">
        <v>13</v>
      </c>
      <c r="E50" s="331" t="s">
        <v>12</v>
      </c>
    </row>
    <row r="51" spans="1:5">
      <c r="A51" s="332">
        <v>45414</v>
      </c>
      <c r="B51" s="333" t="s">
        <v>833</v>
      </c>
      <c r="C51" s="333">
        <v>24.1</v>
      </c>
      <c r="D51" s="330" t="s">
        <v>13</v>
      </c>
      <c r="E51" s="331" t="s">
        <v>12</v>
      </c>
    </row>
    <row r="52" spans="1:5">
      <c r="A52" s="332">
        <v>45415</v>
      </c>
      <c r="B52" s="333" t="s">
        <v>833</v>
      </c>
      <c r="C52" s="333">
        <v>22</v>
      </c>
      <c r="D52" s="330" t="s">
        <v>13</v>
      </c>
      <c r="E52" s="331" t="s">
        <v>12</v>
      </c>
    </row>
    <row r="53" spans="1:5">
      <c r="A53" s="332">
        <v>45415</v>
      </c>
      <c r="B53" s="333">
        <v>106</v>
      </c>
      <c r="C53" s="333">
        <v>22.05</v>
      </c>
      <c r="D53" s="330" t="s">
        <v>13</v>
      </c>
      <c r="E53" s="331" t="s">
        <v>12</v>
      </c>
    </row>
    <row r="54" spans="1:5">
      <c r="A54" s="332">
        <v>45415</v>
      </c>
      <c r="B54" s="333">
        <v>300</v>
      </c>
      <c r="C54" s="333">
        <v>22.66</v>
      </c>
      <c r="D54" s="330" t="s">
        <v>13</v>
      </c>
      <c r="E54" s="331" t="s">
        <v>12</v>
      </c>
    </row>
    <row r="55" spans="1:5">
      <c r="A55" s="332">
        <v>45415</v>
      </c>
      <c r="B55" s="333">
        <v>301</v>
      </c>
      <c r="C55" s="333">
        <v>22.22</v>
      </c>
      <c r="D55" s="330" t="s">
        <v>13</v>
      </c>
      <c r="E55" s="331" t="s">
        <v>12</v>
      </c>
    </row>
    <row r="56" spans="1:5">
      <c r="A56" s="332">
        <v>45415</v>
      </c>
      <c r="B56" s="333">
        <v>313</v>
      </c>
      <c r="C56" s="333">
        <v>22.79</v>
      </c>
      <c r="D56" s="330" t="s">
        <v>13</v>
      </c>
      <c r="E56" s="331" t="s">
        <v>12</v>
      </c>
    </row>
    <row r="57" spans="1:5">
      <c r="A57" s="332">
        <v>45415</v>
      </c>
      <c r="B57" s="333">
        <v>314</v>
      </c>
      <c r="C57" s="333">
        <v>22.98</v>
      </c>
      <c r="D57" s="330" t="s">
        <v>13</v>
      </c>
      <c r="E57" s="331" t="s">
        <v>12</v>
      </c>
    </row>
    <row r="58" spans="1:5">
      <c r="A58" s="332">
        <v>45415</v>
      </c>
      <c r="B58" s="333">
        <v>287</v>
      </c>
      <c r="C58" s="333">
        <v>23.77</v>
      </c>
      <c r="D58" s="330" t="s">
        <v>13</v>
      </c>
      <c r="E58" s="331" t="s">
        <v>12</v>
      </c>
    </row>
    <row r="59" spans="1:5">
      <c r="A59" s="332">
        <v>45415</v>
      </c>
      <c r="B59" s="333">
        <v>288</v>
      </c>
      <c r="C59" s="333">
        <v>24.25</v>
      </c>
      <c r="D59" s="330" t="s">
        <v>13</v>
      </c>
      <c r="E59" s="331" t="s">
        <v>12</v>
      </c>
    </row>
    <row r="60" spans="1:5">
      <c r="A60" s="332">
        <v>45415</v>
      </c>
      <c r="B60" s="333">
        <v>105</v>
      </c>
      <c r="C60" s="333">
        <v>24.73</v>
      </c>
      <c r="D60" s="330" t="s">
        <v>13</v>
      </c>
      <c r="E60" s="331" t="s">
        <v>12</v>
      </c>
    </row>
    <row r="61" spans="1:5">
      <c r="A61" s="332">
        <v>45415</v>
      </c>
      <c r="B61" s="333" t="s">
        <v>833</v>
      </c>
      <c r="C61" s="333">
        <v>24.2</v>
      </c>
      <c r="D61" s="330" t="s">
        <v>13</v>
      </c>
      <c r="E61" s="331" t="s">
        <v>12</v>
      </c>
    </row>
    <row r="62" spans="1:5">
      <c r="A62" s="332">
        <v>45415</v>
      </c>
      <c r="B62" s="333">
        <v>326</v>
      </c>
      <c r="C62" s="333">
        <v>24.28</v>
      </c>
      <c r="D62" s="330" t="s">
        <v>13</v>
      </c>
      <c r="E62" s="331" t="s">
        <v>12</v>
      </c>
    </row>
    <row r="63" spans="1:5">
      <c r="A63" s="332">
        <v>45415</v>
      </c>
      <c r="B63" s="333">
        <v>327</v>
      </c>
      <c r="C63" s="333">
        <v>24.07</v>
      </c>
      <c r="D63" s="330" t="s">
        <v>13</v>
      </c>
      <c r="E63" s="331" t="s">
        <v>12</v>
      </c>
    </row>
    <row r="64" spans="1:5">
      <c r="A64" s="332">
        <v>45415</v>
      </c>
      <c r="B64" s="333">
        <v>170</v>
      </c>
      <c r="C64" s="333">
        <v>23.53</v>
      </c>
      <c r="D64" s="330" t="s">
        <v>13</v>
      </c>
      <c r="E64" s="331" t="s">
        <v>12</v>
      </c>
    </row>
    <row r="65" spans="1:5">
      <c r="A65" s="332">
        <v>45415</v>
      </c>
      <c r="B65" s="333">
        <v>171</v>
      </c>
      <c r="C65" s="333">
        <v>23.72</v>
      </c>
      <c r="D65" s="330" t="s">
        <v>13</v>
      </c>
      <c r="E65" s="331" t="s">
        <v>12</v>
      </c>
    </row>
    <row r="66" spans="1:5">
      <c r="A66" s="332">
        <v>45415</v>
      </c>
      <c r="B66" s="333">
        <v>196</v>
      </c>
      <c r="C66" s="333">
        <v>23.69</v>
      </c>
      <c r="D66" s="330" t="s">
        <v>13</v>
      </c>
      <c r="E66" s="331" t="s">
        <v>12</v>
      </c>
    </row>
    <row r="67" spans="1:5">
      <c r="A67" s="332">
        <v>45415</v>
      </c>
      <c r="B67" s="333">
        <v>197</v>
      </c>
      <c r="C67" s="333">
        <v>24.11</v>
      </c>
      <c r="D67" s="330" t="s">
        <v>13</v>
      </c>
      <c r="E67" s="331" t="s">
        <v>12</v>
      </c>
    </row>
    <row r="68" spans="1:5">
      <c r="A68" s="332">
        <v>45415</v>
      </c>
      <c r="B68" s="333">
        <v>443</v>
      </c>
      <c r="C68" s="333">
        <v>24.44</v>
      </c>
      <c r="D68" s="330" t="s">
        <v>13</v>
      </c>
      <c r="E68" s="331" t="s">
        <v>12</v>
      </c>
    </row>
    <row r="69" spans="1:5">
      <c r="A69" s="332">
        <v>45415</v>
      </c>
      <c r="B69" s="333">
        <v>444</v>
      </c>
      <c r="C69" s="333">
        <v>24.27</v>
      </c>
      <c r="D69" s="330" t="s">
        <v>13</v>
      </c>
      <c r="E69" s="331" t="s">
        <v>12</v>
      </c>
    </row>
    <row r="70" spans="1:5">
      <c r="A70" s="332">
        <v>45415</v>
      </c>
      <c r="B70" s="333" t="s">
        <v>833</v>
      </c>
      <c r="C70" s="333">
        <v>24.4</v>
      </c>
      <c r="D70" s="330" t="s">
        <v>13</v>
      </c>
      <c r="E70" s="331" t="s">
        <v>12</v>
      </c>
    </row>
    <row r="71" spans="1:5">
      <c r="A71" s="332">
        <v>45420</v>
      </c>
      <c r="B71" s="333" t="s">
        <v>833</v>
      </c>
      <c r="C71" s="333">
        <v>22</v>
      </c>
      <c r="D71" s="330" t="s">
        <v>13</v>
      </c>
      <c r="E71" s="331" t="s">
        <v>12</v>
      </c>
    </row>
    <row r="72" spans="1:5">
      <c r="A72" s="332">
        <v>45420</v>
      </c>
      <c r="B72" s="333">
        <v>339</v>
      </c>
      <c r="C72" s="333">
        <v>22.1</v>
      </c>
      <c r="D72" s="330" t="s">
        <v>13</v>
      </c>
      <c r="E72" s="331" t="s">
        <v>12</v>
      </c>
    </row>
    <row r="73" spans="1:5">
      <c r="A73" s="332">
        <v>45420</v>
      </c>
      <c r="B73" s="333">
        <v>340</v>
      </c>
      <c r="C73" s="333">
        <v>21.68</v>
      </c>
      <c r="D73" s="330" t="s">
        <v>13</v>
      </c>
      <c r="E73" s="331" t="s">
        <v>12</v>
      </c>
    </row>
    <row r="74" spans="1:5">
      <c r="A74" s="332">
        <v>45420</v>
      </c>
      <c r="B74" s="333">
        <v>469</v>
      </c>
      <c r="C74" s="333">
        <v>21.52</v>
      </c>
      <c r="D74" s="330" t="s">
        <v>13</v>
      </c>
      <c r="E74" s="331" t="s">
        <v>12</v>
      </c>
    </row>
    <row r="75" spans="1:5">
      <c r="A75" s="332">
        <v>45420</v>
      </c>
      <c r="B75" s="333">
        <v>470</v>
      </c>
      <c r="C75" s="333">
        <v>21.98</v>
      </c>
      <c r="D75" s="330" t="s">
        <v>13</v>
      </c>
      <c r="E75" s="331" t="s">
        <v>12</v>
      </c>
    </row>
    <row r="76" spans="1:5">
      <c r="A76" s="332">
        <v>45420</v>
      </c>
      <c r="B76" s="333">
        <v>352</v>
      </c>
      <c r="C76" s="333">
        <v>21.38</v>
      </c>
      <c r="D76" s="330" t="s">
        <v>13</v>
      </c>
      <c r="E76" s="331" t="s">
        <v>12</v>
      </c>
    </row>
    <row r="77" spans="1:5">
      <c r="A77" s="332">
        <v>45420</v>
      </c>
      <c r="B77" s="333">
        <v>353</v>
      </c>
      <c r="C77" s="333">
        <v>22.3</v>
      </c>
      <c r="D77" s="330" t="s">
        <v>13</v>
      </c>
      <c r="E77" s="331" t="s">
        <v>12</v>
      </c>
    </row>
    <row r="78" spans="1:5">
      <c r="A78" s="332">
        <v>45420</v>
      </c>
      <c r="B78" s="333">
        <v>456</v>
      </c>
      <c r="C78" s="333">
        <v>22.47</v>
      </c>
      <c r="D78" s="330" t="s">
        <v>13</v>
      </c>
      <c r="E78" s="331" t="s">
        <v>12</v>
      </c>
    </row>
    <row r="79" spans="1:5">
      <c r="A79" s="332">
        <v>45420</v>
      </c>
      <c r="B79" s="333">
        <v>457</v>
      </c>
      <c r="C79" s="333">
        <v>23.36</v>
      </c>
      <c r="D79" s="330" t="s">
        <v>13</v>
      </c>
      <c r="E79" s="331" t="s">
        <v>12</v>
      </c>
    </row>
    <row r="80" spans="1:5">
      <c r="A80" s="332">
        <v>45420</v>
      </c>
      <c r="B80" s="333" t="s">
        <v>833</v>
      </c>
      <c r="C80" s="333">
        <v>22.24</v>
      </c>
      <c r="D80" s="330" t="s">
        <v>13</v>
      </c>
      <c r="E80" s="331" t="s">
        <v>12</v>
      </c>
    </row>
    <row r="81" spans="1:5">
      <c r="A81" s="332">
        <v>45420</v>
      </c>
      <c r="B81" s="333">
        <v>599</v>
      </c>
      <c r="C81" s="333">
        <v>22.29</v>
      </c>
      <c r="D81" s="330" t="s">
        <v>13</v>
      </c>
      <c r="E81" s="331" t="s">
        <v>12</v>
      </c>
    </row>
    <row r="82" spans="1:5">
      <c r="A82" s="332">
        <v>45420</v>
      </c>
      <c r="B82" s="333">
        <v>600</v>
      </c>
      <c r="C82" s="333">
        <v>22.12</v>
      </c>
      <c r="D82" s="330" t="s">
        <v>13</v>
      </c>
      <c r="E82" s="331" t="s">
        <v>12</v>
      </c>
    </row>
    <row r="83" spans="1:5">
      <c r="A83" s="332">
        <v>45420</v>
      </c>
      <c r="B83" s="333">
        <v>612</v>
      </c>
      <c r="C83" s="333">
        <v>22.73</v>
      </c>
      <c r="D83" s="330" t="s">
        <v>13</v>
      </c>
      <c r="E83" s="331" t="s">
        <v>12</v>
      </c>
    </row>
    <row r="84" spans="1:5">
      <c r="A84" s="332">
        <v>45420</v>
      </c>
      <c r="B84" s="333">
        <v>613</v>
      </c>
      <c r="C84" s="333">
        <v>22.65</v>
      </c>
      <c r="D84" s="330" t="s">
        <v>13</v>
      </c>
      <c r="E84" s="331" t="s">
        <v>12</v>
      </c>
    </row>
    <row r="85" spans="1:5">
      <c r="A85" s="332">
        <v>45420</v>
      </c>
      <c r="B85" s="333" t="s">
        <v>833</v>
      </c>
      <c r="C85" s="333">
        <v>22.7</v>
      </c>
      <c r="D85" s="330" t="s">
        <v>13</v>
      </c>
      <c r="E85" s="331" t="s">
        <v>12</v>
      </c>
    </row>
    <row r="86" spans="1:5">
      <c r="A86" s="332">
        <v>45421</v>
      </c>
      <c r="B86" s="333" t="s">
        <v>833</v>
      </c>
      <c r="C86" s="333">
        <v>22.41</v>
      </c>
      <c r="D86" s="330" t="s">
        <v>456</v>
      </c>
      <c r="E86" s="331" t="s">
        <v>12</v>
      </c>
    </row>
    <row r="87" spans="1:5">
      <c r="A87" s="332">
        <v>45421</v>
      </c>
      <c r="B87" s="333">
        <v>534</v>
      </c>
      <c r="C87" s="333">
        <v>22.49</v>
      </c>
      <c r="D87" s="330" t="s">
        <v>456</v>
      </c>
      <c r="E87" s="331" t="s">
        <v>12</v>
      </c>
    </row>
    <row r="88" spans="1:5">
      <c r="A88" s="332">
        <v>45421</v>
      </c>
      <c r="B88" s="334">
        <v>535</v>
      </c>
      <c r="C88" s="333">
        <v>22.48</v>
      </c>
      <c r="D88" s="330" t="s">
        <v>456</v>
      </c>
      <c r="E88" s="331" t="s">
        <v>12</v>
      </c>
    </row>
    <row r="89" spans="1:5">
      <c r="A89" s="332">
        <v>45421</v>
      </c>
      <c r="B89" s="333">
        <v>430</v>
      </c>
      <c r="C89" s="333">
        <v>22.42</v>
      </c>
      <c r="D89" s="330" t="s">
        <v>456</v>
      </c>
      <c r="E89" s="331" t="s">
        <v>12</v>
      </c>
    </row>
    <row r="90" spans="1:5">
      <c r="A90" s="332">
        <v>45421</v>
      </c>
      <c r="B90" s="333">
        <v>431</v>
      </c>
      <c r="C90" s="333">
        <v>22.24</v>
      </c>
      <c r="D90" s="330" t="s">
        <v>456</v>
      </c>
      <c r="E90" s="331" t="s">
        <v>12</v>
      </c>
    </row>
    <row r="91" spans="1:5">
      <c r="A91" s="332">
        <v>45421</v>
      </c>
      <c r="B91" s="333">
        <v>573</v>
      </c>
      <c r="C91" s="333">
        <v>22.58</v>
      </c>
      <c r="D91" s="330" t="s">
        <v>456</v>
      </c>
      <c r="E91" s="331" t="s">
        <v>12</v>
      </c>
    </row>
    <row r="92" spans="1:5">
      <c r="A92" s="332">
        <v>45421</v>
      </c>
      <c r="B92" s="333">
        <v>574</v>
      </c>
      <c r="C92" s="333">
        <v>22.96</v>
      </c>
      <c r="D92" s="330" t="s">
        <v>456</v>
      </c>
      <c r="E92" s="331" t="s">
        <v>12</v>
      </c>
    </row>
    <row r="93" spans="1:5">
      <c r="A93" s="332">
        <v>45421</v>
      </c>
      <c r="B93" s="333">
        <v>417</v>
      </c>
      <c r="C93" s="333">
        <v>23.11</v>
      </c>
      <c r="D93" s="330" t="s">
        <v>456</v>
      </c>
      <c r="E93" s="331" t="s">
        <v>12</v>
      </c>
    </row>
    <row r="94" spans="1:5">
      <c r="A94" s="332">
        <v>45421</v>
      </c>
      <c r="B94" s="333">
        <v>418</v>
      </c>
      <c r="C94" s="333">
        <v>23.24</v>
      </c>
      <c r="D94" s="330" t="s">
        <v>456</v>
      </c>
      <c r="E94" s="331" t="s">
        <v>12</v>
      </c>
    </row>
    <row r="95" spans="1:5">
      <c r="A95" s="332">
        <v>45421</v>
      </c>
      <c r="B95" s="334">
        <v>535</v>
      </c>
      <c r="C95" s="333">
        <v>23.56</v>
      </c>
      <c r="D95" s="330" t="s">
        <v>456</v>
      </c>
      <c r="E95" s="331" t="s">
        <v>582</v>
      </c>
    </row>
    <row r="96" spans="1:5">
      <c r="A96" s="332">
        <v>45421</v>
      </c>
      <c r="B96" s="333" t="s">
        <v>833</v>
      </c>
      <c r="C96" s="333">
        <v>23.4</v>
      </c>
      <c r="D96" s="330" t="s">
        <v>456</v>
      </c>
      <c r="E96" s="331" t="s">
        <v>12</v>
      </c>
    </row>
    <row r="97" spans="1:5">
      <c r="A97" s="332">
        <v>45421</v>
      </c>
      <c r="B97" s="333">
        <v>560</v>
      </c>
      <c r="C97" s="333">
        <v>23.49</v>
      </c>
      <c r="D97" s="330" t="s">
        <v>456</v>
      </c>
      <c r="E97" s="331" t="s">
        <v>12</v>
      </c>
    </row>
    <row r="98" spans="1:5">
      <c r="A98" s="332">
        <v>45421</v>
      </c>
      <c r="B98" s="333">
        <v>561</v>
      </c>
      <c r="C98" s="333">
        <v>23.63</v>
      </c>
      <c r="D98" s="330" t="s">
        <v>456</v>
      </c>
      <c r="E98" s="331" t="s">
        <v>12</v>
      </c>
    </row>
    <row r="99" spans="1:5">
      <c r="A99" s="332">
        <v>45421</v>
      </c>
      <c r="B99" s="333">
        <v>378</v>
      </c>
      <c r="C99" s="333">
        <v>23.25</v>
      </c>
      <c r="D99" s="330" t="s">
        <v>456</v>
      </c>
      <c r="E99" s="331" t="s">
        <v>12</v>
      </c>
    </row>
    <row r="100" spans="1:5">
      <c r="A100" s="332">
        <v>45421</v>
      </c>
      <c r="B100" s="333">
        <v>379</v>
      </c>
      <c r="C100" s="333">
        <v>23.3</v>
      </c>
      <c r="D100" s="330" t="s">
        <v>456</v>
      </c>
      <c r="E100" s="331" t="s">
        <v>12</v>
      </c>
    </row>
    <row r="101" spans="1:5">
      <c r="A101" s="332">
        <v>45421</v>
      </c>
      <c r="B101" s="333">
        <v>404</v>
      </c>
      <c r="C101" s="333">
        <v>23.29</v>
      </c>
      <c r="D101" s="330" t="s">
        <v>456</v>
      </c>
      <c r="E101" s="331" t="s">
        <v>12</v>
      </c>
    </row>
    <row r="102" spans="1:5">
      <c r="A102" s="332">
        <v>45421</v>
      </c>
      <c r="B102" s="333">
        <v>405</v>
      </c>
      <c r="C102" s="333">
        <v>23.47</v>
      </c>
      <c r="D102" s="330" t="s">
        <v>456</v>
      </c>
      <c r="E102" s="331" t="s">
        <v>12</v>
      </c>
    </row>
    <row r="103" spans="1:5">
      <c r="A103" s="332">
        <v>45421</v>
      </c>
      <c r="B103" s="333">
        <v>625</v>
      </c>
      <c r="C103" s="333">
        <v>23.51</v>
      </c>
      <c r="D103" s="330" t="s">
        <v>456</v>
      </c>
      <c r="E103" s="331" t="s">
        <v>12</v>
      </c>
    </row>
    <row r="104" spans="1:5">
      <c r="A104" s="332">
        <v>45421</v>
      </c>
      <c r="B104" s="333">
        <v>626</v>
      </c>
      <c r="C104" s="333">
        <v>23.92</v>
      </c>
      <c r="D104" s="330" t="s">
        <v>456</v>
      </c>
      <c r="E104" s="331" t="s">
        <v>12</v>
      </c>
    </row>
    <row r="105" spans="1:5">
      <c r="A105" s="332">
        <v>45421</v>
      </c>
      <c r="B105" s="333" t="s">
        <v>833</v>
      </c>
      <c r="C105" s="333">
        <v>23.9</v>
      </c>
      <c r="D105" s="330" t="s">
        <v>456</v>
      </c>
      <c r="E105" s="331" t="s">
        <v>12</v>
      </c>
    </row>
    <row r="106" spans="1:5">
      <c r="A106" s="332">
        <v>45422</v>
      </c>
      <c r="B106" s="333" t="s">
        <v>833</v>
      </c>
      <c r="C106" s="333">
        <v>23.3</v>
      </c>
      <c r="D106" s="330" t="s">
        <v>13</v>
      </c>
      <c r="E106" s="331" t="s">
        <v>12</v>
      </c>
    </row>
    <row r="107" spans="1:5">
      <c r="A107" s="332">
        <v>45422</v>
      </c>
      <c r="B107" s="333">
        <v>586</v>
      </c>
      <c r="C107" s="333">
        <v>18.47</v>
      </c>
      <c r="D107" s="330" t="s">
        <v>13</v>
      </c>
      <c r="E107" s="331" t="s">
        <v>12</v>
      </c>
    </row>
    <row r="108" spans="1:5">
      <c r="A108" s="332">
        <v>45422</v>
      </c>
      <c r="B108" s="333">
        <v>587</v>
      </c>
      <c r="C108" s="333">
        <v>19.02</v>
      </c>
      <c r="D108" s="330" t="s">
        <v>13</v>
      </c>
      <c r="E108" s="331" t="s">
        <v>12</v>
      </c>
    </row>
    <row r="109" spans="1:5">
      <c r="A109" s="332">
        <v>45422</v>
      </c>
      <c r="B109" s="333">
        <v>521</v>
      </c>
      <c r="C109" s="333">
        <v>19.239999999999998</v>
      </c>
      <c r="D109" s="330" t="s">
        <v>13</v>
      </c>
      <c r="E109" s="331" t="s">
        <v>12</v>
      </c>
    </row>
    <row r="110" spans="1:5">
      <c r="A110" s="332">
        <v>45422</v>
      </c>
      <c r="B110" s="333">
        <v>522</v>
      </c>
      <c r="C110" s="333">
        <v>20.170000000000002</v>
      </c>
      <c r="D110" s="330" t="s">
        <v>13</v>
      </c>
      <c r="E110" s="331" t="s">
        <v>12</v>
      </c>
    </row>
    <row r="111" spans="1:5">
      <c r="A111" s="332">
        <v>45422</v>
      </c>
      <c r="B111" s="333">
        <v>508</v>
      </c>
      <c r="C111" s="333">
        <v>21.04</v>
      </c>
      <c r="D111" s="330" t="s">
        <v>13</v>
      </c>
      <c r="E111" s="331" t="s">
        <v>12</v>
      </c>
    </row>
    <row r="112" spans="1:5">
      <c r="A112" s="332">
        <v>45422</v>
      </c>
      <c r="B112" s="333">
        <v>509</v>
      </c>
      <c r="C112" s="333">
        <v>21.26</v>
      </c>
      <c r="D112" s="330" t="s">
        <v>13</v>
      </c>
      <c r="E112" s="331" t="s">
        <v>12</v>
      </c>
    </row>
    <row r="113" spans="1:5">
      <c r="A113" s="332">
        <v>45422</v>
      </c>
      <c r="B113" s="333">
        <v>391</v>
      </c>
      <c r="C113" s="333">
        <v>22.49</v>
      </c>
      <c r="D113" s="330" t="s">
        <v>13</v>
      </c>
      <c r="E113" s="331" t="s">
        <v>12</v>
      </c>
    </row>
    <row r="114" spans="1:5">
      <c r="A114" s="332">
        <v>45422</v>
      </c>
      <c r="B114" s="333">
        <v>392</v>
      </c>
      <c r="C114" s="330">
        <v>22.48</v>
      </c>
      <c r="D114" s="330" t="s">
        <v>13</v>
      </c>
      <c r="E114" s="331" t="s">
        <v>12</v>
      </c>
    </row>
    <row r="115" spans="1:5">
      <c r="A115" s="332">
        <v>45422</v>
      </c>
      <c r="B115" s="333" t="s">
        <v>833</v>
      </c>
      <c r="C115" s="333">
        <v>22.14</v>
      </c>
      <c r="D115" s="330" t="s">
        <v>13</v>
      </c>
      <c r="E115" s="331" t="s">
        <v>12</v>
      </c>
    </row>
    <row r="116" spans="1:5">
      <c r="A116" s="332">
        <v>45422</v>
      </c>
      <c r="B116" s="333">
        <v>495</v>
      </c>
      <c r="C116" s="333">
        <v>22.43</v>
      </c>
      <c r="D116" s="330" t="s">
        <v>13</v>
      </c>
      <c r="E116" s="331" t="s">
        <v>12</v>
      </c>
    </row>
    <row r="117" spans="1:5">
      <c r="A117" s="332">
        <v>45422</v>
      </c>
      <c r="B117" s="333">
        <v>496</v>
      </c>
      <c r="C117" s="333">
        <v>22.74</v>
      </c>
      <c r="D117" s="330" t="s">
        <v>13</v>
      </c>
      <c r="E117" s="331" t="s">
        <v>12</v>
      </c>
    </row>
    <row r="118" spans="1:5">
      <c r="A118" s="332">
        <v>45422</v>
      </c>
      <c r="B118" s="333" t="s">
        <v>833</v>
      </c>
      <c r="C118" s="333">
        <v>22.14</v>
      </c>
      <c r="D118" s="330" t="s">
        <v>13</v>
      </c>
      <c r="E118" s="331" t="s">
        <v>12</v>
      </c>
    </row>
    <row r="119" spans="1:5">
      <c r="A119" s="335"/>
      <c r="B119" s="335"/>
      <c r="C119" s="335"/>
      <c r="D119" s="328"/>
    </row>
    <row r="120" spans="1:5">
      <c r="A120" s="335"/>
      <c r="B120" s="335"/>
      <c r="C120" s="335"/>
      <c r="D120" s="328"/>
    </row>
    <row r="121" spans="1:5">
      <c r="A121" s="335"/>
      <c r="B121" s="335"/>
      <c r="C121" s="335"/>
      <c r="D121" s="328"/>
    </row>
    <row r="122" spans="1:5">
      <c r="A122" s="288"/>
      <c r="B122" s="288"/>
      <c r="C122" s="288"/>
      <c r="D122" s="328"/>
    </row>
    <row r="123" spans="1:5">
      <c r="A123" s="288"/>
      <c r="B123" s="288"/>
      <c r="C123" s="288"/>
      <c r="D123" s="328"/>
    </row>
    <row r="124" spans="1:5">
      <c r="A124" s="288"/>
      <c r="B124" s="288"/>
      <c r="C124" s="288"/>
      <c r="D124" s="328"/>
    </row>
    <row r="125" spans="1:5">
      <c r="A125" s="288"/>
      <c r="B125" s="288"/>
      <c r="C125" s="288"/>
      <c r="D125" s="328"/>
    </row>
    <row r="126" spans="1:5">
      <c r="A126" s="288"/>
      <c r="B126" s="288"/>
      <c r="C126" s="288"/>
      <c r="D126" s="328"/>
    </row>
    <row r="127" spans="1:5">
      <c r="A127" s="288"/>
      <c r="B127" s="288"/>
      <c r="C127" s="288"/>
      <c r="D127" s="328"/>
    </row>
    <row r="128" spans="1:5">
      <c r="A128" s="288"/>
      <c r="B128" s="288"/>
      <c r="C128" s="288"/>
      <c r="D128" s="328"/>
    </row>
    <row r="129" spans="1:4">
      <c r="A129" s="288"/>
      <c r="B129" s="288"/>
      <c r="C129" s="288"/>
      <c r="D129" s="328"/>
    </row>
    <row r="130" spans="1:4">
      <c r="A130" s="288"/>
      <c r="B130" s="288"/>
      <c r="C130" s="288"/>
      <c r="D130" s="328"/>
    </row>
    <row r="131" spans="1:4">
      <c r="A131" s="288"/>
      <c r="B131" s="288"/>
      <c r="C131" s="288"/>
      <c r="D131" s="328"/>
    </row>
    <row r="132" spans="1:4">
      <c r="A132" s="288"/>
      <c r="B132" s="288"/>
      <c r="C132" s="288"/>
      <c r="D132" s="328"/>
    </row>
    <row r="133" spans="1:4">
      <c r="A133" s="288"/>
      <c r="B133" s="288"/>
      <c r="C133" s="288"/>
      <c r="D133" s="328"/>
    </row>
    <row r="134" spans="1:4">
      <c r="A134" s="288"/>
      <c r="B134" s="288"/>
      <c r="C134" s="288"/>
      <c r="D134" s="328"/>
    </row>
    <row r="135" spans="1:4">
      <c r="A135" s="288"/>
      <c r="B135" s="288"/>
      <c r="C135" s="288"/>
      <c r="D135" s="328"/>
    </row>
    <row r="136" spans="1:4">
      <c r="A136" s="288"/>
      <c r="B136" s="288"/>
      <c r="C136" s="288"/>
      <c r="D136" s="328"/>
    </row>
    <row r="137" spans="1:4">
      <c r="A137" s="288"/>
      <c r="B137" s="288"/>
      <c r="C137" s="288"/>
      <c r="D137" s="328"/>
    </row>
    <row r="138" spans="1:4">
      <c r="A138" s="288"/>
      <c r="B138" s="288"/>
      <c r="C138" s="288"/>
      <c r="D138" s="328"/>
    </row>
    <row r="139" spans="1:4">
      <c r="A139" s="288"/>
      <c r="B139" s="288"/>
      <c r="C139" s="288"/>
      <c r="D139" s="328"/>
    </row>
    <row r="140" spans="1:4">
      <c r="A140" s="288"/>
      <c r="B140" s="288"/>
      <c r="C140" s="288"/>
      <c r="D140" s="328"/>
    </row>
    <row r="141" spans="1:4">
      <c r="A141" s="288"/>
      <c r="B141" s="288"/>
      <c r="C141" s="288"/>
      <c r="D141" s="328"/>
    </row>
    <row r="142" spans="1:4">
      <c r="A142" s="288"/>
      <c r="B142" s="288"/>
      <c r="C142" s="288"/>
      <c r="D142" s="328"/>
    </row>
    <row r="143" spans="1:4">
      <c r="A143" s="288"/>
      <c r="B143" s="288"/>
      <c r="C143" s="288"/>
      <c r="D143" s="328"/>
    </row>
    <row r="144" spans="1:4">
      <c r="A144" s="288"/>
      <c r="B144" s="288"/>
      <c r="C144" s="288"/>
      <c r="D144" s="328"/>
    </row>
    <row r="145" spans="1:4">
      <c r="A145" s="288"/>
      <c r="B145" s="288"/>
      <c r="C145" s="288"/>
      <c r="D145" s="328"/>
    </row>
    <row r="146" spans="1:4">
      <c r="A146" s="288"/>
      <c r="B146" s="288"/>
      <c r="C146" s="288"/>
      <c r="D146" s="328"/>
    </row>
    <row r="147" spans="1:4">
      <c r="A147" s="288"/>
      <c r="B147" s="288"/>
      <c r="C147" s="288"/>
      <c r="D147" s="328"/>
    </row>
    <row r="148" spans="1:4">
      <c r="A148" s="288"/>
      <c r="B148" s="288"/>
      <c r="C148" s="288"/>
      <c r="D148" s="328"/>
    </row>
    <row r="149" spans="1:4">
      <c r="A149" s="288"/>
      <c r="B149" s="288"/>
      <c r="C149" s="288"/>
      <c r="D149" s="328"/>
    </row>
    <row r="150" spans="1:4">
      <c r="A150" s="288"/>
      <c r="B150" s="288"/>
      <c r="C150" s="288"/>
      <c r="D150" s="328"/>
    </row>
    <row r="151" spans="1:4">
      <c r="A151" s="288"/>
      <c r="B151" s="288"/>
      <c r="C151" s="288"/>
      <c r="D151" s="328"/>
    </row>
    <row r="152" spans="1:4">
      <c r="A152" s="288"/>
      <c r="B152" s="288"/>
      <c r="C152" s="288"/>
      <c r="D152" s="328"/>
    </row>
    <row r="153" spans="1:4">
      <c r="A153" s="288"/>
      <c r="B153" s="288"/>
      <c r="C153" s="288"/>
      <c r="D153" s="328"/>
    </row>
    <row r="154" spans="1:4">
      <c r="A154" s="288"/>
      <c r="B154" s="288"/>
      <c r="C154" s="288"/>
      <c r="D154" s="328"/>
    </row>
    <row r="155" spans="1:4">
      <c r="A155" s="288"/>
      <c r="B155" s="288"/>
      <c r="C155" s="288"/>
      <c r="D155" s="328"/>
    </row>
    <row r="156" spans="1:4">
      <c r="A156" s="288"/>
      <c r="B156" s="288"/>
      <c r="C156" s="288"/>
      <c r="D156" s="328"/>
    </row>
    <row r="157" spans="1:4">
      <c r="A157" s="288"/>
      <c r="B157" s="288"/>
      <c r="C157" s="288"/>
      <c r="D157" s="328"/>
    </row>
    <row r="158" spans="1:4">
      <c r="A158" s="288"/>
      <c r="B158" s="288"/>
      <c r="C158" s="288"/>
      <c r="D158" s="328"/>
    </row>
    <row r="159" spans="1:4">
      <c r="A159" s="288"/>
      <c r="B159" s="288"/>
      <c r="C159" s="288"/>
      <c r="D159" s="328"/>
    </row>
    <row r="160" spans="1:4">
      <c r="A160" s="288"/>
      <c r="B160" s="288"/>
      <c r="C160" s="288"/>
      <c r="D160" s="328"/>
    </row>
    <row r="161" spans="1:4">
      <c r="A161" s="288"/>
      <c r="B161" s="288"/>
      <c r="C161" s="288"/>
      <c r="D161" s="328"/>
    </row>
    <row r="162" spans="1:4">
      <c r="A162" s="288"/>
      <c r="B162" s="288"/>
      <c r="C162" s="288"/>
      <c r="D162" s="328"/>
    </row>
    <row r="163" spans="1:4">
      <c r="A163" s="288"/>
      <c r="B163" s="288"/>
      <c r="C163" s="288"/>
      <c r="D163" s="328"/>
    </row>
    <row r="164" spans="1:4">
      <c r="A164" s="288"/>
      <c r="B164" s="288"/>
      <c r="C164" s="288"/>
      <c r="D164" s="328"/>
    </row>
    <row r="165" spans="1:4">
      <c r="A165" s="288"/>
      <c r="B165" s="288"/>
      <c r="C165" s="288"/>
      <c r="D165" s="328"/>
    </row>
    <row r="166" spans="1:4">
      <c r="A166" s="288"/>
      <c r="B166" s="288"/>
      <c r="C166" s="288"/>
      <c r="D166" s="328"/>
    </row>
    <row r="167" spans="1:4">
      <c r="A167" s="288"/>
      <c r="B167" s="288"/>
      <c r="C167" s="288"/>
      <c r="D167" s="328"/>
    </row>
    <row r="168" spans="1:4">
      <c r="A168" s="288"/>
      <c r="B168" s="288"/>
      <c r="C168" s="288"/>
      <c r="D168" s="328"/>
    </row>
    <row r="169" spans="1:4">
      <c r="A169" s="288"/>
      <c r="B169" s="288"/>
      <c r="C169" s="288"/>
      <c r="D169" s="328"/>
    </row>
    <row r="170" spans="1:4">
      <c r="A170" s="288"/>
      <c r="B170" s="288"/>
      <c r="C170" s="288"/>
      <c r="D170" s="328"/>
    </row>
    <row r="171" spans="1:4">
      <c r="A171" s="288"/>
      <c r="B171" s="288"/>
      <c r="C171" s="288"/>
      <c r="D171" s="328"/>
    </row>
    <row r="172" spans="1:4">
      <c r="A172" s="288"/>
      <c r="B172" s="288"/>
      <c r="C172" s="288"/>
      <c r="D172" s="328"/>
    </row>
    <row r="173" spans="1:4">
      <c r="A173" s="288"/>
      <c r="B173" s="288"/>
      <c r="C173" s="288"/>
      <c r="D173" s="328"/>
    </row>
    <row r="174" spans="1:4">
      <c r="A174" s="288"/>
      <c r="B174" s="288"/>
      <c r="C174" s="288"/>
      <c r="D174" s="328"/>
    </row>
    <row r="175" spans="1:4">
      <c r="A175" s="288"/>
      <c r="B175" s="288"/>
      <c r="C175" s="288"/>
      <c r="D175" s="328"/>
    </row>
    <row r="176" spans="1:4">
      <c r="A176" s="288"/>
      <c r="B176" s="288"/>
      <c r="C176" s="288"/>
      <c r="D176" s="328"/>
    </row>
    <row r="177" spans="1:4">
      <c r="A177" s="288"/>
      <c r="B177" s="288"/>
      <c r="C177" s="288"/>
      <c r="D177" s="328"/>
    </row>
    <row r="178" spans="1:4">
      <c r="A178" s="288"/>
      <c r="B178" s="288"/>
      <c r="C178" s="288"/>
      <c r="D178" s="328"/>
    </row>
    <row r="179" spans="1:4">
      <c r="A179" s="288"/>
      <c r="B179" s="288"/>
      <c r="C179" s="288"/>
      <c r="D179" s="328"/>
    </row>
    <row r="180" spans="1:4">
      <c r="A180" s="288"/>
      <c r="B180" s="288"/>
      <c r="C180" s="288"/>
      <c r="D180" s="328"/>
    </row>
    <row r="181" spans="1:4">
      <c r="A181" s="288"/>
      <c r="B181" s="288"/>
      <c r="C181" s="288"/>
      <c r="D181" s="328"/>
    </row>
    <row r="182" spans="1:4">
      <c r="A182" s="288"/>
      <c r="B182" s="288"/>
      <c r="C182" s="288"/>
      <c r="D182" s="328"/>
    </row>
    <row r="183" spans="1:4">
      <c r="A183" s="288"/>
      <c r="B183" s="288"/>
      <c r="C183" s="288"/>
      <c r="D183" s="328"/>
    </row>
    <row r="184" spans="1:4">
      <c r="A184" s="288"/>
      <c r="B184" s="288"/>
      <c r="C184" s="288"/>
      <c r="D184" s="328"/>
    </row>
    <row r="185" spans="1:4">
      <c r="A185" s="288"/>
      <c r="B185" s="288"/>
      <c r="C185" s="288"/>
      <c r="D185" s="328"/>
    </row>
    <row r="186" spans="1:4">
      <c r="A186" s="288"/>
      <c r="B186" s="288"/>
      <c r="C186" s="288"/>
      <c r="D186" s="328"/>
    </row>
    <row r="187" spans="1:4">
      <c r="A187" s="288"/>
      <c r="B187" s="288"/>
      <c r="C187" s="288"/>
      <c r="D187" s="328"/>
    </row>
    <row r="188" spans="1:4">
      <c r="A188" s="288"/>
      <c r="B188" s="288"/>
      <c r="C188" s="288"/>
      <c r="D188" s="328"/>
    </row>
    <row r="189" spans="1:4">
      <c r="A189" s="288"/>
      <c r="B189" s="288"/>
      <c r="C189" s="288"/>
      <c r="D189" s="328"/>
    </row>
    <row r="190" spans="1:4">
      <c r="A190" s="288"/>
      <c r="B190" s="288"/>
      <c r="C190" s="288"/>
      <c r="D190" s="328"/>
    </row>
    <row r="191" spans="1:4">
      <c r="A191" s="288"/>
      <c r="B191" s="288"/>
      <c r="C191" s="288"/>
      <c r="D191" s="328"/>
    </row>
    <row r="192" spans="1:4">
      <c r="A192" s="288"/>
      <c r="B192" s="288"/>
      <c r="C192" s="288"/>
      <c r="D192" s="328"/>
    </row>
    <row r="193" spans="1:4">
      <c r="A193" s="288"/>
      <c r="B193" s="288"/>
      <c r="C193" s="288"/>
      <c r="D193" s="328"/>
    </row>
    <row r="194" spans="1:4">
      <c r="A194" s="288"/>
      <c r="B194" s="288"/>
      <c r="C194" s="288"/>
      <c r="D194" s="328"/>
    </row>
    <row r="195" spans="1:4">
      <c r="A195" s="288"/>
      <c r="B195" s="288"/>
      <c r="C195" s="288"/>
      <c r="D195" s="328"/>
    </row>
    <row r="196" spans="1:4">
      <c r="A196" s="288"/>
      <c r="B196" s="288"/>
      <c r="C196" s="288"/>
      <c r="D196" s="328"/>
    </row>
    <row r="197" spans="1:4">
      <c r="A197" s="288"/>
      <c r="B197" s="288"/>
      <c r="C197" s="288"/>
      <c r="D197" s="328"/>
    </row>
    <row r="198" spans="1:4">
      <c r="A198" s="288"/>
      <c r="B198" s="288"/>
      <c r="C198" s="288"/>
      <c r="D198" s="328"/>
    </row>
    <row r="199" spans="1:4">
      <c r="A199" s="288"/>
      <c r="B199" s="288"/>
      <c r="C199" s="288"/>
      <c r="D199" s="328"/>
    </row>
    <row r="200" spans="1:4">
      <c r="A200" s="288"/>
      <c r="B200" s="288"/>
      <c r="C200" s="288"/>
      <c r="D200" s="328"/>
    </row>
    <row r="201" spans="1:4">
      <c r="A201" s="288"/>
      <c r="B201" s="288"/>
      <c r="C201" s="288"/>
      <c r="D201" s="328"/>
    </row>
    <row r="202" spans="1:4">
      <c r="A202" s="288"/>
      <c r="B202" s="288"/>
      <c r="C202" s="288"/>
      <c r="D202" s="328"/>
    </row>
    <row r="203" spans="1:4">
      <c r="A203" s="288"/>
      <c r="B203" s="288"/>
      <c r="C203" s="288"/>
      <c r="D203" s="328"/>
    </row>
    <row r="204" spans="1:4">
      <c r="A204" s="288"/>
      <c r="B204" s="288"/>
      <c r="C204" s="288"/>
      <c r="D204" s="328"/>
    </row>
    <row r="205" spans="1:4">
      <c r="A205" s="288"/>
      <c r="B205" s="288"/>
      <c r="C205" s="288"/>
      <c r="D205" s="328"/>
    </row>
    <row r="206" spans="1:4">
      <c r="A206" s="288"/>
      <c r="B206" s="288"/>
      <c r="C206" s="288"/>
      <c r="D206" s="328"/>
    </row>
    <row r="207" spans="1:4">
      <c r="A207" s="288"/>
      <c r="B207" s="288"/>
      <c r="C207" s="288"/>
      <c r="D207" s="328"/>
    </row>
    <row r="208" spans="1:4">
      <c r="A208" s="288"/>
      <c r="B208" s="288"/>
      <c r="C208" s="288"/>
      <c r="D208" s="328"/>
    </row>
    <row r="209" spans="1:4">
      <c r="A209" s="288"/>
      <c r="B209" s="288"/>
      <c r="C209" s="288"/>
      <c r="D209" s="328"/>
    </row>
    <row r="210" spans="1:4">
      <c r="A210" s="288"/>
      <c r="B210" s="288"/>
      <c r="C210" s="288"/>
      <c r="D210" s="328"/>
    </row>
    <row r="211" spans="1:4">
      <c r="A211" s="288"/>
      <c r="B211" s="288"/>
      <c r="C211" s="288"/>
      <c r="D211" s="328"/>
    </row>
    <row r="212" spans="1:4">
      <c r="A212" s="288"/>
      <c r="B212" s="288"/>
      <c r="C212" s="288"/>
      <c r="D212" s="328"/>
    </row>
    <row r="213" spans="1:4">
      <c r="A213" s="288"/>
      <c r="B213" s="288"/>
      <c r="C213" s="288"/>
      <c r="D213" s="328"/>
    </row>
    <row r="214" spans="1:4">
      <c r="A214" s="288"/>
      <c r="B214" s="288"/>
      <c r="C214" s="288"/>
      <c r="D214" s="328"/>
    </row>
    <row r="215" spans="1:4">
      <c r="A215" s="288"/>
      <c r="B215" s="288"/>
      <c r="C215" s="288"/>
      <c r="D215" s="328"/>
    </row>
    <row r="216" spans="1:4">
      <c r="A216" s="288"/>
      <c r="B216" s="288"/>
      <c r="C216" s="288"/>
      <c r="D216" s="328"/>
    </row>
    <row r="217" spans="1:4">
      <c r="A217" s="288"/>
      <c r="B217" s="288"/>
      <c r="C217" s="288"/>
      <c r="D217" s="328"/>
    </row>
    <row r="218" spans="1:4">
      <c r="A218" s="288"/>
      <c r="B218" s="288"/>
      <c r="C218" s="288"/>
      <c r="D218" s="328"/>
    </row>
    <row r="219" spans="1:4">
      <c r="A219" s="288"/>
      <c r="B219" s="288"/>
      <c r="C219" s="288"/>
      <c r="D219" s="328"/>
    </row>
    <row r="220" spans="1:4">
      <c r="A220" s="288"/>
      <c r="B220" s="288"/>
      <c r="C220" s="288"/>
      <c r="D220" s="328"/>
    </row>
    <row r="221" spans="1:4">
      <c r="A221" s="288"/>
      <c r="B221" s="288"/>
      <c r="C221" s="288"/>
      <c r="D221" s="328"/>
    </row>
    <row r="222" spans="1:4">
      <c r="A222" s="288"/>
      <c r="B222" s="288"/>
      <c r="C222" s="288"/>
      <c r="D222" s="328"/>
    </row>
    <row r="223" spans="1:4">
      <c r="A223" s="288"/>
      <c r="B223" s="288"/>
      <c r="C223" s="288"/>
      <c r="D223" s="328"/>
    </row>
    <row r="224" spans="1:4">
      <c r="A224" s="288"/>
      <c r="B224" s="288"/>
      <c r="C224" s="288"/>
      <c r="D224" s="328"/>
    </row>
    <row r="225" spans="1:4">
      <c r="A225" s="288"/>
      <c r="B225" s="288"/>
      <c r="C225" s="288"/>
      <c r="D225" s="328"/>
    </row>
    <row r="226" spans="1:4">
      <c r="A226" s="288"/>
      <c r="B226" s="288"/>
      <c r="C226" s="288"/>
      <c r="D226" s="328"/>
    </row>
    <row r="227" spans="1:4">
      <c r="A227" s="288"/>
      <c r="B227" s="288"/>
      <c r="C227" s="288"/>
      <c r="D227" s="328"/>
    </row>
    <row r="228" spans="1:4">
      <c r="A228" s="288"/>
      <c r="B228" s="288"/>
      <c r="C228" s="288"/>
      <c r="D228" s="328"/>
    </row>
    <row r="229" spans="1:4">
      <c r="A229" s="288"/>
      <c r="B229" s="288"/>
      <c r="C229" s="288"/>
      <c r="D229" s="328"/>
    </row>
    <row r="230" spans="1:4">
      <c r="A230" s="288"/>
      <c r="B230" s="288"/>
      <c r="C230" s="288"/>
      <c r="D230" s="328"/>
    </row>
    <row r="231" spans="1:4">
      <c r="A231" s="288"/>
      <c r="B231" s="288"/>
      <c r="C231" s="288"/>
      <c r="D231" s="328"/>
    </row>
    <row r="232" spans="1:4">
      <c r="A232" s="288"/>
      <c r="B232" s="288"/>
      <c r="C232" s="288"/>
      <c r="D232" s="328"/>
    </row>
    <row r="233" spans="1:4">
      <c r="A233" s="288"/>
      <c r="B233" s="288"/>
      <c r="C233" s="288"/>
      <c r="D233" s="328"/>
    </row>
    <row r="234" spans="1:4">
      <c r="A234" s="288"/>
      <c r="B234" s="288"/>
      <c r="C234" s="288"/>
      <c r="D234" s="328"/>
    </row>
    <row r="235" spans="1:4">
      <c r="A235" s="288"/>
      <c r="B235" s="288"/>
      <c r="C235" s="288"/>
      <c r="D235" s="328"/>
    </row>
    <row r="236" spans="1:4">
      <c r="A236" s="288"/>
      <c r="B236" s="288"/>
      <c r="C236" s="288"/>
      <c r="D236" s="328"/>
    </row>
    <row r="237" spans="1:4">
      <c r="A237" s="288"/>
      <c r="B237" s="288"/>
      <c r="C237" s="288"/>
      <c r="D237" s="328"/>
    </row>
    <row r="238" spans="1:4">
      <c r="A238" s="288"/>
      <c r="B238" s="288"/>
      <c r="C238" s="288"/>
      <c r="D238" s="328"/>
    </row>
    <row r="239" spans="1:4">
      <c r="A239" s="288"/>
      <c r="B239" s="288"/>
      <c r="C239" s="288"/>
      <c r="D239" s="328"/>
    </row>
    <row r="240" spans="1:4">
      <c r="A240" s="288"/>
      <c r="B240" s="288"/>
      <c r="C240" s="288"/>
      <c r="D240" s="328"/>
    </row>
    <row r="241" spans="1:4">
      <c r="A241" s="288"/>
      <c r="B241" s="288"/>
      <c r="C241" s="288"/>
      <c r="D241" s="328"/>
    </row>
    <row r="242" spans="1:4">
      <c r="A242" s="288"/>
      <c r="B242" s="288"/>
      <c r="C242" s="288"/>
      <c r="D242" s="328"/>
    </row>
    <row r="243" spans="1:4">
      <c r="A243" s="288"/>
      <c r="B243" s="288"/>
      <c r="C243" s="288"/>
      <c r="D243" s="328"/>
    </row>
    <row r="244" spans="1:4">
      <c r="A244" s="288"/>
      <c r="B244" s="288"/>
      <c r="C244" s="288"/>
      <c r="D244" s="328"/>
    </row>
    <row r="245" spans="1:4">
      <c r="A245" s="288"/>
      <c r="B245" s="288"/>
      <c r="C245" s="288"/>
      <c r="D245" s="328"/>
    </row>
    <row r="246" spans="1:4">
      <c r="A246" s="288"/>
      <c r="B246" s="288"/>
      <c r="C246" s="288"/>
      <c r="D246" s="328"/>
    </row>
    <row r="247" spans="1:4">
      <c r="A247" s="288"/>
      <c r="B247" s="288"/>
      <c r="C247" s="288"/>
      <c r="D247" s="328"/>
    </row>
    <row r="248" spans="1:4">
      <c r="A248" s="288"/>
      <c r="B248" s="288"/>
      <c r="C248" s="288"/>
      <c r="D248" s="328"/>
    </row>
    <row r="249" spans="1:4">
      <c r="A249" s="288"/>
      <c r="B249" s="288"/>
      <c r="C249" s="288"/>
      <c r="D249" s="328"/>
    </row>
    <row r="250" spans="1:4">
      <c r="A250" s="288"/>
      <c r="B250" s="288"/>
      <c r="C250" s="288"/>
      <c r="D250" s="328"/>
    </row>
    <row r="251" spans="1:4">
      <c r="A251" s="288"/>
      <c r="B251" s="288"/>
      <c r="C251" s="288"/>
      <c r="D251" s="328"/>
    </row>
    <row r="252" spans="1:4">
      <c r="A252" s="288"/>
      <c r="B252" s="288"/>
      <c r="C252" s="288"/>
      <c r="D252" s="328"/>
    </row>
    <row r="253" spans="1:4">
      <c r="A253" s="288"/>
      <c r="B253" s="288"/>
      <c r="C253" s="288"/>
      <c r="D253" s="328"/>
    </row>
    <row r="254" spans="1:4">
      <c r="A254" s="288"/>
      <c r="B254" s="288"/>
      <c r="C254" s="288"/>
      <c r="D254" s="328"/>
    </row>
    <row r="255" spans="1:4">
      <c r="A255" s="288"/>
      <c r="B255" s="288"/>
      <c r="C255" s="288"/>
      <c r="D255" s="328"/>
    </row>
    <row r="256" spans="1:4">
      <c r="A256" s="288"/>
      <c r="B256" s="288"/>
      <c r="C256" s="288"/>
      <c r="D256" s="328"/>
    </row>
    <row r="257" spans="1:4">
      <c r="A257" s="288"/>
      <c r="B257" s="288"/>
      <c r="C257" s="288"/>
      <c r="D257" s="328"/>
    </row>
    <row r="258" spans="1:4">
      <c r="A258" s="288"/>
      <c r="B258" s="288"/>
      <c r="C258" s="288"/>
      <c r="D258" s="328"/>
    </row>
    <row r="259" spans="1:4">
      <c r="A259" s="288"/>
      <c r="B259" s="288"/>
      <c r="C259" s="288"/>
      <c r="D259" s="328"/>
    </row>
    <row r="260" spans="1:4">
      <c r="A260" s="288"/>
      <c r="B260" s="288"/>
      <c r="C260" s="288"/>
      <c r="D260" s="328"/>
    </row>
    <row r="261" spans="1:4">
      <c r="A261" s="288"/>
      <c r="B261" s="288"/>
      <c r="C261" s="288"/>
      <c r="D261" s="328"/>
    </row>
    <row r="262" spans="1:4">
      <c r="A262" s="288"/>
      <c r="B262" s="288"/>
      <c r="C262" s="288"/>
      <c r="D262" s="328"/>
    </row>
    <row r="263" spans="1:4">
      <c r="A263" s="288"/>
      <c r="B263" s="288"/>
      <c r="C263" s="288"/>
      <c r="D263" s="328"/>
    </row>
    <row r="264" spans="1:4">
      <c r="A264" s="288"/>
      <c r="B264" s="288"/>
      <c r="C264" s="288"/>
      <c r="D264" s="328"/>
    </row>
    <row r="265" spans="1:4">
      <c r="A265" s="288"/>
      <c r="B265" s="288"/>
      <c r="C265" s="288"/>
      <c r="D265" s="328"/>
    </row>
    <row r="266" spans="1:4">
      <c r="A266" s="288"/>
      <c r="B266" s="288"/>
      <c r="C266" s="288"/>
      <c r="D266" s="328"/>
    </row>
    <row r="267" spans="1:4">
      <c r="A267" s="288"/>
      <c r="B267" s="288"/>
      <c r="C267" s="288"/>
      <c r="D267" s="328"/>
    </row>
    <row r="268" spans="1:4">
      <c r="A268" s="288"/>
      <c r="B268" s="288"/>
      <c r="C268" s="288"/>
      <c r="D268" s="328"/>
    </row>
    <row r="269" spans="1:4">
      <c r="A269" s="288"/>
      <c r="B269" s="288"/>
      <c r="C269" s="288"/>
      <c r="D269" s="328"/>
    </row>
    <row r="270" spans="1:4">
      <c r="A270" s="288"/>
      <c r="B270" s="288"/>
      <c r="C270" s="288"/>
      <c r="D270" s="328"/>
    </row>
    <row r="271" spans="1:4">
      <c r="A271" s="288"/>
      <c r="B271" s="288"/>
      <c r="C271" s="288"/>
      <c r="D271" s="328"/>
    </row>
    <row r="272" spans="1:4">
      <c r="A272" s="288"/>
      <c r="B272" s="288"/>
      <c r="C272" s="288"/>
      <c r="D272" s="328"/>
    </row>
    <row r="273" spans="1:4">
      <c r="A273" s="288"/>
      <c r="B273" s="288"/>
      <c r="C273" s="288"/>
      <c r="D273" s="328"/>
    </row>
    <row r="274" spans="1:4">
      <c r="A274" s="288"/>
      <c r="B274" s="288"/>
      <c r="C274" s="288"/>
      <c r="D274" s="328"/>
    </row>
    <row r="275" spans="1:4">
      <c r="A275" s="288"/>
      <c r="B275" s="288"/>
      <c r="C275" s="288"/>
      <c r="D275" s="328"/>
    </row>
    <row r="276" spans="1:4">
      <c r="A276" s="288"/>
      <c r="B276" s="288"/>
      <c r="C276" s="288"/>
      <c r="D276" s="328"/>
    </row>
    <row r="277" spans="1:4">
      <c r="A277" s="288"/>
      <c r="B277" s="288"/>
      <c r="C277" s="288"/>
      <c r="D277" s="328"/>
    </row>
    <row r="278" spans="1:4">
      <c r="A278" s="288"/>
      <c r="B278" s="288"/>
      <c r="C278" s="288"/>
      <c r="D278" s="328"/>
    </row>
    <row r="279" spans="1:4">
      <c r="A279" s="288"/>
      <c r="B279" s="288"/>
      <c r="C279" s="288"/>
      <c r="D279" s="328"/>
    </row>
    <row r="280" spans="1:4">
      <c r="A280" s="288"/>
      <c r="B280" s="288"/>
      <c r="C280" s="288"/>
      <c r="D280" s="328"/>
    </row>
    <row r="281" spans="1:4">
      <c r="A281" s="288"/>
      <c r="B281" s="288"/>
      <c r="C281" s="288"/>
      <c r="D281" s="328"/>
    </row>
    <row r="282" spans="1:4">
      <c r="A282" s="288"/>
      <c r="B282" s="288"/>
      <c r="C282" s="288"/>
      <c r="D282" s="328"/>
    </row>
    <row r="283" spans="1:4">
      <c r="A283" s="288"/>
      <c r="B283" s="288"/>
      <c r="C283" s="288"/>
      <c r="D283" s="328"/>
    </row>
    <row r="284" spans="1:4">
      <c r="A284" s="288"/>
      <c r="B284" s="288"/>
      <c r="C284" s="288"/>
      <c r="D284" s="328"/>
    </row>
    <row r="285" spans="1:4">
      <c r="A285" s="288"/>
      <c r="B285" s="288"/>
      <c r="C285" s="288"/>
      <c r="D285" s="328"/>
    </row>
    <row r="286" spans="1:4">
      <c r="A286" s="288"/>
      <c r="B286" s="288"/>
      <c r="C286" s="288"/>
      <c r="D286" s="328"/>
    </row>
    <row r="287" spans="1:4">
      <c r="A287" s="288"/>
      <c r="B287" s="288"/>
      <c r="C287" s="288"/>
      <c r="D287" s="328"/>
    </row>
    <row r="288" spans="1:4">
      <c r="A288" s="288"/>
      <c r="B288" s="288"/>
      <c r="C288" s="288"/>
      <c r="D288" s="328"/>
    </row>
    <row r="289" spans="1:4">
      <c r="A289" s="288"/>
      <c r="B289" s="288"/>
      <c r="C289" s="288"/>
      <c r="D289" s="328"/>
    </row>
    <row r="290" spans="1:4">
      <c r="A290" s="288"/>
      <c r="B290" s="288"/>
      <c r="C290" s="288"/>
      <c r="D290" s="328"/>
    </row>
    <row r="291" spans="1:4">
      <c r="A291" s="288"/>
      <c r="B291" s="288"/>
      <c r="C291" s="288"/>
      <c r="D291" s="328"/>
    </row>
    <row r="292" spans="1:4">
      <c r="A292" s="288"/>
      <c r="B292" s="288"/>
      <c r="C292" s="288"/>
      <c r="D292" s="328"/>
    </row>
    <row r="293" spans="1:4">
      <c r="A293" s="288"/>
      <c r="B293" s="288"/>
      <c r="C293" s="288"/>
      <c r="D293" s="328"/>
    </row>
    <row r="294" spans="1:4">
      <c r="A294" s="288"/>
      <c r="B294" s="288"/>
      <c r="C294" s="288"/>
      <c r="D294" s="328"/>
    </row>
    <row r="295" spans="1:4">
      <c r="A295" s="288"/>
      <c r="B295" s="288"/>
      <c r="C295" s="288"/>
      <c r="D295" s="328"/>
    </row>
    <row r="296" spans="1:4">
      <c r="A296" s="288"/>
      <c r="B296" s="288"/>
      <c r="C296" s="288"/>
      <c r="D296" s="328"/>
    </row>
    <row r="297" spans="1:4">
      <c r="A297" s="288"/>
      <c r="B297" s="288"/>
      <c r="C297" s="288"/>
      <c r="D297" s="328"/>
    </row>
    <row r="298" spans="1:4">
      <c r="A298" s="288"/>
      <c r="B298" s="288"/>
      <c r="C298" s="288"/>
      <c r="D298" s="328"/>
    </row>
    <row r="299" spans="1:4">
      <c r="A299" s="288"/>
      <c r="B299" s="288"/>
      <c r="C299" s="288"/>
      <c r="D299" s="328"/>
    </row>
    <row r="300" spans="1:4">
      <c r="A300" s="288"/>
      <c r="B300" s="288"/>
      <c r="C300" s="288"/>
      <c r="D300" s="328"/>
    </row>
    <row r="301" spans="1:4">
      <c r="A301" s="288"/>
      <c r="B301" s="288"/>
      <c r="C301" s="288"/>
      <c r="D301" s="328"/>
    </row>
    <row r="302" spans="1:4">
      <c r="A302" s="288"/>
      <c r="B302" s="288"/>
      <c r="C302" s="288"/>
      <c r="D302" s="328"/>
    </row>
    <row r="303" spans="1:4">
      <c r="A303" s="288"/>
      <c r="B303" s="288"/>
      <c r="C303" s="288"/>
      <c r="D303" s="328"/>
    </row>
    <row r="304" spans="1:4">
      <c r="A304" s="288"/>
      <c r="B304" s="288"/>
      <c r="C304" s="288"/>
      <c r="D304" s="328"/>
    </row>
    <row r="305" spans="1:4">
      <c r="A305" s="288"/>
      <c r="B305" s="288"/>
      <c r="C305" s="288"/>
      <c r="D305" s="328"/>
    </row>
    <row r="306" spans="1:4">
      <c r="A306" s="288"/>
      <c r="B306" s="288"/>
      <c r="C306" s="288"/>
      <c r="D306" s="328"/>
    </row>
    <row r="307" spans="1:4">
      <c r="A307" s="288"/>
      <c r="B307" s="288"/>
      <c r="C307" s="288"/>
      <c r="D307" s="328"/>
    </row>
    <row r="308" spans="1:4">
      <c r="A308" s="288"/>
      <c r="B308" s="288"/>
      <c r="C308" s="288"/>
      <c r="D308" s="328"/>
    </row>
    <row r="309" spans="1:4">
      <c r="A309" s="288"/>
      <c r="B309" s="288"/>
      <c r="C309" s="288"/>
      <c r="D309" s="328"/>
    </row>
    <row r="310" spans="1:4">
      <c r="A310" s="288"/>
      <c r="B310" s="288"/>
      <c r="C310" s="288"/>
      <c r="D310" s="328"/>
    </row>
    <row r="311" spans="1:4">
      <c r="A311" s="288"/>
      <c r="B311" s="288"/>
      <c r="C311" s="288"/>
      <c r="D311" s="328"/>
    </row>
    <row r="312" spans="1:4">
      <c r="A312" s="288"/>
      <c r="B312" s="288"/>
      <c r="C312" s="288"/>
      <c r="D312" s="328"/>
    </row>
    <row r="313" spans="1:4">
      <c r="A313" s="288"/>
      <c r="B313" s="288"/>
      <c r="C313" s="288"/>
      <c r="D313" s="328"/>
    </row>
    <row r="314" spans="1:4">
      <c r="A314" s="288"/>
      <c r="B314" s="288"/>
      <c r="C314" s="288"/>
      <c r="D314" s="328"/>
    </row>
    <row r="315" spans="1:4">
      <c r="A315" s="288"/>
      <c r="B315" s="288"/>
      <c r="C315" s="288"/>
      <c r="D315" s="328"/>
    </row>
    <row r="316" spans="1:4">
      <c r="A316" s="288"/>
      <c r="B316" s="288"/>
      <c r="C316" s="288"/>
      <c r="D316" s="328"/>
    </row>
    <row r="317" spans="1:4">
      <c r="A317" s="288"/>
      <c r="B317" s="288"/>
      <c r="C317" s="288"/>
      <c r="D317" s="328"/>
    </row>
    <row r="318" spans="1:4">
      <c r="A318" s="288"/>
      <c r="B318" s="288"/>
      <c r="C318" s="288"/>
      <c r="D318" s="328"/>
    </row>
    <row r="319" spans="1:4">
      <c r="A319" s="288"/>
      <c r="B319" s="288"/>
      <c r="C319" s="288"/>
      <c r="D319" s="328"/>
    </row>
    <row r="320" spans="1:4">
      <c r="A320" s="288"/>
      <c r="B320" s="288"/>
      <c r="C320" s="288"/>
      <c r="D320" s="328"/>
    </row>
    <row r="321" spans="1:4">
      <c r="A321" s="288"/>
      <c r="B321" s="288"/>
      <c r="C321" s="288"/>
      <c r="D321" s="328"/>
    </row>
    <row r="322" spans="1:4">
      <c r="A322" s="288"/>
      <c r="B322" s="288"/>
      <c r="C322" s="288"/>
      <c r="D322" s="328"/>
    </row>
    <row r="323" spans="1:4">
      <c r="A323" s="288"/>
      <c r="B323" s="288"/>
      <c r="C323" s="288"/>
      <c r="D323" s="328"/>
    </row>
    <row r="324" spans="1:4">
      <c r="A324" s="288"/>
      <c r="B324" s="288"/>
      <c r="C324" s="288"/>
      <c r="D324" s="328"/>
    </row>
    <row r="325" spans="1:4">
      <c r="A325" s="288"/>
      <c r="B325" s="288"/>
      <c r="C325" s="288"/>
      <c r="D325" s="328"/>
    </row>
    <row r="326" spans="1:4">
      <c r="A326" s="288"/>
      <c r="B326" s="288"/>
      <c r="C326" s="288"/>
      <c r="D326" s="328"/>
    </row>
    <row r="327" spans="1:4">
      <c r="A327" s="288"/>
      <c r="B327" s="288"/>
      <c r="C327" s="288"/>
      <c r="D327" s="328"/>
    </row>
    <row r="328" spans="1:4">
      <c r="A328" s="288"/>
      <c r="B328" s="288"/>
      <c r="C328" s="288"/>
      <c r="D328" s="328"/>
    </row>
    <row r="329" spans="1:4">
      <c r="A329" s="288"/>
      <c r="B329" s="288"/>
      <c r="C329" s="288"/>
      <c r="D329" s="328"/>
    </row>
    <row r="330" spans="1:4">
      <c r="A330" s="288"/>
      <c r="B330" s="288"/>
      <c r="C330" s="288"/>
      <c r="D330" s="328"/>
    </row>
    <row r="331" spans="1:4">
      <c r="A331" s="288"/>
      <c r="B331" s="288"/>
      <c r="C331" s="288"/>
      <c r="D331" s="328"/>
    </row>
    <row r="332" spans="1:4">
      <c r="A332" s="288"/>
      <c r="B332" s="288"/>
      <c r="C332" s="288"/>
      <c r="D332" s="328"/>
    </row>
    <row r="333" spans="1:4">
      <c r="A333" s="288"/>
      <c r="B333" s="288"/>
      <c r="C333" s="288"/>
      <c r="D333" s="328"/>
    </row>
    <row r="334" spans="1:4">
      <c r="A334" s="288"/>
      <c r="B334" s="288"/>
      <c r="C334" s="288"/>
      <c r="D334" s="328"/>
    </row>
    <row r="335" spans="1:4">
      <c r="A335" s="288"/>
      <c r="B335" s="288"/>
      <c r="C335" s="288"/>
      <c r="D335" s="328"/>
    </row>
    <row r="336" spans="1:4">
      <c r="A336" s="288"/>
      <c r="B336" s="288"/>
      <c r="C336" s="288"/>
      <c r="D336" s="328"/>
    </row>
    <row r="337" spans="1:4">
      <c r="A337" s="288"/>
      <c r="B337" s="288"/>
      <c r="C337" s="288"/>
      <c r="D337" s="328"/>
    </row>
    <row r="338" spans="1:4">
      <c r="A338" s="288"/>
      <c r="B338" s="288"/>
      <c r="C338" s="288"/>
      <c r="D338" s="328"/>
    </row>
    <row r="339" spans="1:4">
      <c r="A339" s="288"/>
      <c r="B339" s="288"/>
      <c r="C339" s="288"/>
      <c r="D339" s="328"/>
    </row>
    <row r="340" spans="1:4">
      <c r="A340" s="288"/>
      <c r="B340" s="288"/>
      <c r="C340" s="288"/>
      <c r="D340" s="328"/>
    </row>
    <row r="341" spans="1:4">
      <c r="A341" s="288"/>
      <c r="B341" s="288"/>
      <c r="C341" s="288"/>
      <c r="D341" s="328"/>
    </row>
    <row r="342" spans="1:4">
      <c r="A342" s="288"/>
      <c r="B342" s="288"/>
      <c r="C342" s="288"/>
      <c r="D342" s="328"/>
    </row>
    <row r="343" spans="1:4">
      <c r="A343" s="288"/>
      <c r="B343" s="288"/>
      <c r="C343" s="288"/>
      <c r="D343" s="328"/>
    </row>
    <row r="344" spans="1:4">
      <c r="A344" s="288"/>
      <c r="B344" s="288"/>
      <c r="C344" s="288"/>
      <c r="D344" s="328"/>
    </row>
    <row r="345" spans="1:4">
      <c r="A345" s="288"/>
      <c r="B345" s="288"/>
      <c r="C345" s="288"/>
      <c r="D345" s="328"/>
    </row>
    <row r="346" spans="1:4">
      <c r="A346" s="288"/>
      <c r="B346" s="288"/>
      <c r="C346" s="288"/>
      <c r="D346" s="328"/>
    </row>
    <row r="347" spans="1:4">
      <c r="A347" s="288"/>
      <c r="B347" s="288"/>
      <c r="C347" s="288"/>
      <c r="D347" s="328"/>
    </row>
    <row r="348" spans="1:4">
      <c r="A348" s="288"/>
      <c r="B348" s="288"/>
      <c r="C348" s="288"/>
      <c r="D348" s="328"/>
    </row>
    <row r="349" spans="1:4">
      <c r="A349" s="288"/>
      <c r="B349" s="288"/>
      <c r="C349" s="288"/>
      <c r="D349" s="328"/>
    </row>
    <row r="350" spans="1:4">
      <c r="A350" s="288"/>
      <c r="B350" s="288"/>
      <c r="C350" s="288"/>
      <c r="D350" s="328"/>
    </row>
    <row r="351" spans="1:4">
      <c r="A351" s="288"/>
      <c r="B351" s="288"/>
      <c r="C351" s="288"/>
      <c r="D351" s="328"/>
    </row>
    <row r="352" spans="1:4">
      <c r="A352" s="288"/>
      <c r="B352" s="288"/>
      <c r="C352" s="288"/>
      <c r="D352" s="328"/>
    </row>
    <row r="353" spans="1:4">
      <c r="A353" s="288"/>
      <c r="B353" s="288"/>
      <c r="C353" s="288"/>
      <c r="D353" s="328"/>
    </row>
    <row r="354" spans="1:4">
      <c r="A354" s="288"/>
      <c r="B354" s="288"/>
      <c r="C354" s="288"/>
      <c r="D354" s="328"/>
    </row>
    <row r="355" spans="1:4">
      <c r="A355" s="288"/>
      <c r="B355" s="288"/>
      <c r="C355" s="288"/>
      <c r="D355" s="328"/>
    </row>
    <row r="356" spans="1:4">
      <c r="A356" s="288"/>
      <c r="B356" s="288"/>
      <c r="C356" s="288"/>
      <c r="D356" s="328"/>
    </row>
    <row r="357" spans="1:4">
      <c r="A357" s="288"/>
      <c r="B357" s="288"/>
      <c r="C357" s="288"/>
      <c r="D357" s="328"/>
    </row>
    <row r="358" spans="1:4">
      <c r="A358" s="288"/>
      <c r="B358" s="288"/>
      <c r="C358" s="288"/>
      <c r="D358" s="328"/>
    </row>
    <row r="359" spans="1:4">
      <c r="A359" s="288"/>
      <c r="B359" s="288"/>
      <c r="C359" s="288"/>
      <c r="D359" s="328"/>
    </row>
    <row r="360" spans="1:4">
      <c r="A360" s="288"/>
      <c r="B360" s="288"/>
      <c r="C360" s="288"/>
      <c r="D360" s="328"/>
    </row>
    <row r="361" spans="1:4">
      <c r="A361" s="288"/>
      <c r="B361" s="288"/>
      <c r="C361" s="288"/>
      <c r="D361" s="328"/>
    </row>
    <row r="362" spans="1:4">
      <c r="A362" s="288"/>
      <c r="B362" s="288"/>
      <c r="C362" s="288"/>
      <c r="D362" s="328"/>
    </row>
    <row r="363" spans="1:4">
      <c r="A363" s="288"/>
      <c r="B363" s="288"/>
      <c r="C363" s="288"/>
      <c r="D363" s="328"/>
    </row>
    <row r="364" spans="1:4">
      <c r="A364" s="288"/>
      <c r="B364" s="288"/>
      <c r="C364" s="288"/>
      <c r="D364" s="328"/>
    </row>
    <row r="365" spans="1:4">
      <c r="A365" s="288"/>
      <c r="B365" s="288"/>
      <c r="C365" s="288"/>
      <c r="D365" s="328"/>
    </row>
    <row r="366" spans="1:4">
      <c r="A366" s="288"/>
      <c r="B366" s="288"/>
      <c r="C366" s="288"/>
      <c r="D366" s="328"/>
    </row>
    <row r="367" spans="1:4">
      <c r="A367" s="288"/>
      <c r="B367" s="288"/>
      <c r="C367" s="288"/>
      <c r="D367" s="328"/>
    </row>
    <row r="368" spans="1:4">
      <c r="A368" s="288"/>
      <c r="B368" s="288"/>
      <c r="C368" s="288"/>
      <c r="D368" s="328"/>
    </row>
    <row r="369" spans="1:4">
      <c r="A369" s="288"/>
      <c r="B369" s="288"/>
      <c r="C369" s="288"/>
      <c r="D369" s="328"/>
    </row>
    <row r="370" spans="1:4">
      <c r="A370" s="288"/>
      <c r="B370" s="288"/>
      <c r="C370" s="288"/>
      <c r="D370" s="328"/>
    </row>
    <row r="371" spans="1:4">
      <c r="A371" s="288"/>
      <c r="B371" s="288"/>
      <c r="C371" s="288"/>
      <c r="D371" s="328"/>
    </row>
    <row r="372" spans="1:4">
      <c r="A372" s="288"/>
      <c r="B372" s="288"/>
      <c r="C372" s="288"/>
      <c r="D372" s="328"/>
    </row>
    <row r="373" spans="1:4">
      <c r="A373" s="288"/>
      <c r="B373" s="288"/>
      <c r="C373" s="288"/>
      <c r="D373" s="328"/>
    </row>
    <row r="374" spans="1:4">
      <c r="A374" s="288"/>
      <c r="B374" s="288"/>
      <c r="C374" s="288"/>
      <c r="D374" s="328"/>
    </row>
    <row r="375" spans="1:4">
      <c r="A375" s="288"/>
      <c r="B375" s="288"/>
      <c r="C375" s="288"/>
      <c r="D375" s="328"/>
    </row>
    <row r="376" spans="1:4">
      <c r="A376" s="288"/>
      <c r="B376" s="288"/>
      <c r="C376" s="288"/>
      <c r="D376" s="328"/>
    </row>
    <row r="377" spans="1:4">
      <c r="A377" s="288"/>
      <c r="B377" s="288"/>
      <c r="C377" s="288"/>
      <c r="D377" s="328"/>
    </row>
    <row r="378" spans="1:4">
      <c r="A378" s="288"/>
      <c r="B378" s="288"/>
      <c r="C378" s="288"/>
      <c r="D378" s="328"/>
    </row>
    <row r="379" spans="1:4">
      <c r="A379" s="288"/>
      <c r="B379" s="288"/>
      <c r="C379" s="288"/>
      <c r="D379" s="328"/>
    </row>
    <row r="380" spans="1:4">
      <c r="A380" s="288"/>
      <c r="B380" s="288"/>
      <c r="C380" s="288"/>
      <c r="D380" s="328"/>
    </row>
    <row r="381" spans="1:4">
      <c r="A381" s="288"/>
      <c r="B381" s="288"/>
      <c r="C381" s="288"/>
      <c r="D381" s="328"/>
    </row>
    <row r="382" spans="1:4">
      <c r="A382" s="288"/>
      <c r="B382" s="288"/>
      <c r="C382" s="288"/>
      <c r="D382" s="328"/>
    </row>
    <row r="383" spans="1:4">
      <c r="A383" s="288"/>
      <c r="B383" s="288"/>
      <c r="C383" s="288"/>
      <c r="D383" s="328"/>
    </row>
    <row r="384" spans="1:4">
      <c r="A384" s="288"/>
      <c r="B384" s="288"/>
      <c r="C384" s="288"/>
      <c r="D384" s="328"/>
    </row>
    <row r="385" spans="1:4">
      <c r="A385" s="288"/>
      <c r="B385" s="288"/>
      <c r="C385" s="288"/>
      <c r="D385" s="328"/>
    </row>
    <row r="386" spans="1:4">
      <c r="A386" s="288"/>
      <c r="B386" s="288"/>
      <c r="C386" s="288"/>
      <c r="D386" s="328"/>
    </row>
    <row r="387" spans="1:4">
      <c r="A387" s="288"/>
      <c r="B387" s="288"/>
      <c r="C387" s="288"/>
      <c r="D387" s="328"/>
    </row>
    <row r="388" spans="1:4">
      <c r="A388" s="288"/>
      <c r="B388" s="288"/>
      <c r="C388" s="288"/>
      <c r="D388" s="328"/>
    </row>
    <row r="389" spans="1:4">
      <c r="A389" s="288"/>
      <c r="B389" s="288"/>
      <c r="C389" s="288"/>
      <c r="D389" s="328"/>
    </row>
    <row r="390" spans="1:4">
      <c r="A390" s="288"/>
      <c r="B390" s="288"/>
      <c r="C390" s="288"/>
      <c r="D390" s="328"/>
    </row>
    <row r="391" spans="1:4">
      <c r="A391" s="288"/>
      <c r="B391" s="288"/>
      <c r="C391" s="288"/>
      <c r="D391" s="328"/>
    </row>
    <row r="392" spans="1:4">
      <c r="A392" s="288"/>
      <c r="B392" s="288"/>
      <c r="C392" s="288"/>
      <c r="D392" s="328"/>
    </row>
    <row r="393" spans="1:4">
      <c r="A393" s="288"/>
      <c r="B393" s="288"/>
      <c r="C393" s="288"/>
      <c r="D393" s="328"/>
    </row>
    <row r="394" spans="1:4">
      <c r="A394" s="288"/>
      <c r="B394" s="288"/>
      <c r="C394" s="288"/>
      <c r="D394" s="328"/>
    </row>
    <row r="395" spans="1:4">
      <c r="A395" s="288"/>
      <c r="B395" s="288"/>
      <c r="C395" s="288"/>
      <c r="D395" s="328"/>
    </row>
    <row r="396" spans="1:4">
      <c r="A396" s="288"/>
      <c r="B396" s="288"/>
      <c r="C396" s="288"/>
      <c r="D396" s="328"/>
    </row>
    <row r="397" spans="1:4">
      <c r="A397" s="288"/>
      <c r="B397" s="288"/>
      <c r="C397" s="288"/>
      <c r="D397" s="328"/>
    </row>
    <row r="398" spans="1:4">
      <c r="A398" s="288"/>
      <c r="B398" s="288"/>
      <c r="C398" s="288"/>
      <c r="D398" s="328"/>
    </row>
    <row r="399" spans="1:4">
      <c r="A399" s="288"/>
      <c r="B399" s="288"/>
      <c r="C399" s="288"/>
      <c r="D399" s="328"/>
    </row>
    <row r="400" spans="1:4">
      <c r="A400" s="288"/>
      <c r="B400" s="288"/>
      <c r="C400" s="288"/>
      <c r="D400" s="328"/>
    </row>
    <row r="401" spans="1:4">
      <c r="A401" s="288"/>
      <c r="B401" s="288"/>
      <c r="C401" s="288"/>
      <c r="D401" s="328"/>
    </row>
    <row r="402" spans="1:4">
      <c r="A402" s="288"/>
      <c r="B402" s="288"/>
      <c r="C402" s="288"/>
      <c r="D402" s="328"/>
    </row>
    <row r="403" spans="1:4">
      <c r="A403" s="288"/>
      <c r="B403" s="288"/>
      <c r="C403" s="288"/>
      <c r="D403" s="328"/>
    </row>
    <row r="404" spans="1:4">
      <c r="A404" s="288"/>
      <c r="B404" s="288"/>
      <c r="C404" s="288"/>
      <c r="D404" s="328"/>
    </row>
    <row r="405" spans="1:4">
      <c r="A405" s="288"/>
      <c r="B405" s="288"/>
      <c r="C405" s="288"/>
      <c r="D405" s="328"/>
    </row>
    <row r="406" spans="1:4">
      <c r="A406" s="288"/>
      <c r="B406" s="288"/>
      <c r="C406" s="288"/>
      <c r="D406" s="328"/>
    </row>
    <row r="407" spans="1:4">
      <c r="A407" s="288"/>
      <c r="B407" s="288"/>
      <c r="C407" s="288"/>
      <c r="D407" s="328"/>
    </row>
    <row r="408" spans="1:4">
      <c r="A408" s="288"/>
      <c r="B408" s="288"/>
      <c r="C408" s="288"/>
      <c r="D408" s="328"/>
    </row>
    <row r="409" spans="1:4">
      <c r="A409" s="288"/>
      <c r="B409" s="288"/>
      <c r="C409" s="288"/>
      <c r="D409" s="328"/>
    </row>
    <row r="410" spans="1:4">
      <c r="A410" s="288"/>
      <c r="B410" s="288"/>
      <c r="C410" s="288"/>
      <c r="D410" s="328"/>
    </row>
    <row r="411" spans="1:4">
      <c r="A411" s="288"/>
      <c r="B411" s="288"/>
      <c r="C411" s="288"/>
      <c r="D411" s="328"/>
    </row>
    <row r="412" spans="1:4">
      <c r="A412" s="288"/>
      <c r="B412" s="288"/>
      <c r="C412" s="288"/>
      <c r="D412" s="328"/>
    </row>
    <row r="413" spans="1:4">
      <c r="A413" s="288"/>
      <c r="B413" s="288"/>
      <c r="C413" s="288"/>
      <c r="D413" s="328"/>
    </row>
    <row r="414" spans="1:4">
      <c r="A414" s="288"/>
      <c r="B414" s="288"/>
      <c r="C414" s="288"/>
      <c r="D414" s="328"/>
    </row>
    <row r="415" spans="1:4">
      <c r="A415" s="288"/>
      <c r="B415" s="288"/>
      <c r="C415" s="288"/>
      <c r="D415" s="328"/>
    </row>
    <row r="416" spans="1:4">
      <c r="A416" s="288"/>
      <c r="B416" s="288"/>
      <c r="C416" s="288"/>
      <c r="D416" s="328"/>
    </row>
    <row r="417" spans="1:4">
      <c r="A417" s="288"/>
      <c r="B417" s="288"/>
      <c r="C417" s="288"/>
      <c r="D417" s="328"/>
    </row>
    <row r="418" spans="1:4">
      <c r="A418" s="288"/>
      <c r="B418" s="288"/>
      <c r="C418" s="288"/>
      <c r="D418" s="328"/>
    </row>
    <row r="419" spans="1:4">
      <c r="A419" s="288"/>
      <c r="B419" s="288"/>
      <c r="C419" s="288"/>
      <c r="D419" s="328"/>
    </row>
    <row r="420" spans="1:4">
      <c r="A420" s="288"/>
      <c r="B420" s="288"/>
      <c r="C420" s="288"/>
      <c r="D420" s="328"/>
    </row>
    <row r="421" spans="1:4">
      <c r="A421" s="288"/>
      <c r="B421" s="288"/>
      <c r="C421" s="288"/>
      <c r="D421" s="328"/>
    </row>
    <row r="422" spans="1:4">
      <c r="A422" s="288"/>
      <c r="B422" s="288"/>
      <c r="C422" s="288"/>
      <c r="D422" s="328"/>
    </row>
    <row r="423" spans="1:4">
      <c r="A423" s="288"/>
      <c r="B423" s="288"/>
      <c r="C423" s="288"/>
      <c r="D423" s="328"/>
    </row>
    <row r="424" spans="1:4">
      <c r="A424" s="288"/>
      <c r="B424" s="288"/>
      <c r="C424" s="288"/>
      <c r="D424" s="328"/>
    </row>
    <row r="425" spans="1:4">
      <c r="A425" s="288"/>
      <c r="B425" s="288"/>
      <c r="C425" s="288"/>
      <c r="D425" s="328"/>
    </row>
    <row r="426" spans="1:4">
      <c r="A426" s="288"/>
      <c r="B426" s="288"/>
      <c r="C426" s="288"/>
      <c r="D426" s="328"/>
    </row>
    <row r="427" spans="1:4">
      <c r="A427" s="288"/>
      <c r="B427" s="288"/>
      <c r="C427" s="288"/>
      <c r="D427" s="328"/>
    </row>
    <row r="428" spans="1:4">
      <c r="A428" s="288"/>
      <c r="B428" s="288"/>
      <c r="C428" s="288"/>
      <c r="D428" s="328"/>
    </row>
    <row r="429" spans="1:4">
      <c r="A429" s="288"/>
      <c r="B429" s="288"/>
      <c r="C429" s="288"/>
      <c r="D429" s="328"/>
    </row>
    <row r="430" spans="1:4">
      <c r="A430" s="288"/>
      <c r="B430" s="288"/>
      <c r="C430" s="288"/>
      <c r="D430" s="328"/>
    </row>
    <row r="431" spans="1:4">
      <c r="A431" s="288"/>
      <c r="B431" s="288"/>
      <c r="C431" s="288"/>
      <c r="D431" s="328"/>
    </row>
    <row r="432" spans="1:4">
      <c r="A432" s="288"/>
      <c r="B432" s="288"/>
      <c r="C432" s="288"/>
      <c r="D432" s="328"/>
    </row>
    <row r="433" spans="1:4">
      <c r="A433" s="288"/>
      <c r="B433" s="288"/>
      <c r="C433" s="288"/>
      <c r="D433" s="328"/>
    </row>
    <row r="434" spans="1:4">
      <c r="A434" s="288"/>
      <c r="B434" s="288"/>
      <c r="C434" s="288"/>
      <c r="D434" s="328"/>
    </row>
    <row r="435" spans="1:4">
      <c r="A435" s="288"/>
      <c r="B435" s="288"/>
      <c r="C435" s="288"/>
      <c r="D435" s="328"/>
    </row>
    <row r="436" spans="1:4">
      <c r="A436" s="288"/>
      <c r="B436" s="288"/>
      <c r="C436" s="288"/>
      <c r="D436" s="328"/>
    </row>
    <row r="437" spans="1:4">
      <c r="A437" s="288"/>
      <c r="B437" s="288"/>
      <c r="C437" s="288"/>
      <c r="D437" s="328"/>
    </row>
    <row r="438" spans="1:4">
      <c r="A438" s="288"/>
      <c r="B438" s="288"/>
      <c r="C438" s="288"/>
      <c r="D438" s="328"/>
    </row>
    <row r="439" spans="1:4">
      <c r="A439" s="288"/>
      <c r="B439" s="288"/>
      <c r="C439" s="288"/>
      <c r="D439" s="328"/>
    </row>
    <row r="440" spans="1:4">
      <c r="A440" s="288"/>
      <c r="B440" s="288"/>
      <c r="C440" s="288"/>
      <c r="D440" s="328"/>
    </row>
    <row r="441" spans="1:4">
      <c r="A441" s="288"/>
      <c r="B441" s="288"/>
      <c r="C441" s="288"/>
      <c r="D441" s="328"/>
    </row>
    <row r="442" spans="1:4">
      <c r="A442" s="288"/>
      <c r="B442" s="288"/>
      <c r="C442" s="288"/>
      <c r="D442" s="328"/>
    </row>
    <row r="443" spans="1:4">
      <c r="A443" s="288"/>
      <c r="B443" s="288"/>
      <c r="C443" s="288"/>
      <c r="D443" s="328"/>
    </row>
    <row r="444" spans="1:4">
      <c r="A444" s="288"/>
      <c r="B444" s="288"/>
      <c r="C444" s="288"/>
      <c r="D444" s="328"/>
    </row>
    <row r="445" spans="1:4">
      <c r="A445" s="288"/>
      <c r="B445" s="288"/>
      <c r="C445" s="288"/>
      <c r="D445" s="328"/>
    </row>
    <row r="446" spans="1:4">
      <c r="A446" s="288"/>
      <c r="B446" s="288"/>
      <c r="C446" s="288"/>
      <c r="D446" s="328"/>
    </row>
    <row r="447" spans="1:4">
      <c r="A447" s="288"/>
      <c r="B447" s="288"/>
      <c r="C447" s="288"/>
      <c r="D447" s="328"/>
    </row>
    <row r="448" spans="1:4">
      <c r="A448" s="288"/>
      <c r="B448" s="288"/>
      <c r="C448" s="288"/>
      <c r="D448" s="328"/>
    </row>
    <row r="449" spans="1:4">
      <c r="A449" s="288"/>
      <c r="B449" s="288"/>
      <c r="C449" s="288"/>
      <c r="D449" s="328"/>
    </row>
    <row r="450" spans="1:4">
      <c r="A450" s="288"/>
      <c r="B450" s="288"/>
      <c r="C450" s="288"/>
      <c r="D450" s="328"/>
    </row>
    <row r="451" spans="1:4">
      <c r="A451" s="288"/>
      <c r="B451" s="288"/>
      <c r="C451" s="288"/>
      <c r="D451" s="328"/>
    </row>
    <row r="452" spans="1:4">
      <c r="A452" s="288"/>
      <c r="B452" s="288"/>
      <c r="C452" s="288"/>
      <c r="D452" s="328"/>
    </row>
    <row r="453" spans="1:4">
      <c r="A453" s="288"/>
      <c r="B453" s="288"/>
      <c r="C453" s="288"/>
      <c r="D453" s="328"/>
    </row>
    <row r="454" spans="1:4">
      <c r="A454" s="288"/>
      <c r="B454" s="288"/>
      <c r="C454" s="288"/>
      <c r="D454" s="328"/>
    </row>
    <row r="455" spans="1:4">
      <c r="A455" s="288"/>
      <c r="B455" s="288"/>
      <c r="C455" s="288"/>
      <c r="D455" s="328"/>
    </row>
    <row r="456" spans="1:4">
      <c r="A456" s="288"/>
      <c r="B456" s="288"/>
      <c r="C456" s="288"/>
      <c r="D456" s="328"/>
    </row>
    <row r="457" spans="1:4">
      <c r="A457" s="288"/>
      <c r="B457" s="288"/>
      <c r="C457" s="288"/>
      <c r="D457" s="328"/>
    </row>
    <row r="458" spans="1:4">
      <c r="A458" s="288"/>
      <c r="B458" s="288"/>
      <c r="C458" s="288"/>
      <c r="D458" s="328"/>
    </row>
    <row r="459" spans="1:4">
      <c r="A459" s="288"/>
      <c r="B459" s="288"/>
      <c r="C459" s="288"/>
      <c r="D459" s="328"/>
    </row>
    <row r="460" spans="1:4">
      <c r="A460" s="288"/>
      <c r="B460" s="288"/>
      <c r="C460" s="288"/>
      <c r="D460" s="328"/>
    </row>
    <row r="461" spans="1:4">
      <c r="A461" s="288"/>
      <c r="B461" s="288"/>
      <c r="C461" s="288"/>
      <c r="D461" s="328"/>
    </row>
    <row r="462" spans="1:4">
      <c r="A462" s="288"/>
      <c r="B462" s="288"/>
      <c r="C462" s="288"/>
      <c r="D462" s="328"/>
    </row>
    <row r="463" spans="1:4">
      <c r="A463" s="288"/>
      <c r="B463" s="288"/>
      <c r="C463" s="288"/>
      <c r="D463" s="328"/>
    </row>
    <row r="464" spans="1:4">
      <c r="A464" s="288"/>
      <c r="B464" s="288"/>
      <c r="C464" s="288"/>
      <c r="D464" s="328"/>
    </row>
    <row r="465" spans="1:4">
      <c r="A465" s="288"/>
      <c r="B465" s="288"/>
      <c r="C465" s="288"/>
      <c r="D465" s="328"/>
    </row>
    <row r="466" spans="1:4">
      <c r="A466" s="288"/>
      <c r="B466" s="288"/>
      <c r="C466" s="288"/>
      <c r="D466" s="328"/>
    </row>
    <row r="467" spans="1:4">
      <c r="A467" s="288"/>
      <c r="B467" s="288"/>
      <c r="C467" s="288"/>
      <c r="D467" s="328"/>
    </row>
    <row r="468" spans="1:4">
      <c r="A468" s="288"/>
      <c r="B468" s="288"/>
      <c r="C468" s="288"/>
      <c r="D468" s="328"/>
    </row>
    <row r="469" spans="1:4">
      <c r="A469" s="288"/>
      <c r="B469" s="288"/>
      <c r="C469" s="288"/>
      <c r="D469" s="328"/>
    </row>
    <row r="470" spans="1:4">
      <c r="A470" s="288"/>
      <c r="B470" s="288"/>
      <c r="C470" s="288"/>
      <c r="D470" s="328"/>
    </row>
    <row r="471" spans="1:4">
      <c r="A471" s="288"/>
      <c r="B471" s="288"/>
      <c r="C471" s="288"/>
      <c r="D471" s="328"/>
    </row>
    <row r="472" spans="1:4">
      <c r="A472" s="288"/>
      <c r="B472" s="288"/>
      <c r="C472" s="288"/>
      <c r="D472" s="328"/>
    </row>
    <row r="473" spans="1:4">
      <c r="A473" s="288"/>
      <c r="B473" s="288"/>
      <c r="C473" s="288"/>
      <c r="D473" s="328"/>
    </row>
    <row r="474" spans="1:4">
      <c r="A474" s="288"/>
      <c r="B474" s="288"/>
      <c r="C474" s="288"/>
      <c r="D474" s="328"/>
    </row>
    <row r="475" spans="1:4">
      <c r="A475" s="288"/>
      <c r="B475" s="288"/>
      <c r="C475" s="288"/>
      <c r="D475" s="328"/>
    </row>
    <row r="476" spans="1:4">
      <c r="A476" s="288"/>
      <c r="B476" s="288"/>
      <c r="C476" s="288"/>
      <c r="D476" s="328"/>
    </row>
    <row r="477" spans="1:4">
      <c r="A477" s="288"/>
      <c r="B477" s="288"/>
      <c r="C477" s="288"/>
      <c r="D477" s="328"/>
    </row>
    <row r="478" spans="1:4">
      <c r="A478" s="288"/>
      <c r="B478" s="288"/>
      <c r="C478" s="288"/>
      <c r="D478" s="328"/>
    </row>
    <row r="479" spans="1:4">
      <c r="A479" s="288"/>
      <c r="B479" s="288"/>
      <c r="C479" s="288"/>
      <c r="D479" s="328"/>
    </row>
    <row r="480" spans="1:4">
      <c r="A480" s="288"/>
      <c r="B480" s="288"/>
      <c r="C480" s="288"/>
      <c r="D480" s="328"/>
    </row>
    <row r="481" spans="1:4">
      <c r="A481" s="288"/>
      <c r="B481" s="288"/>
      <c r="C481" s="288"/>
      <c r="D481" s="328"/>
    </row>
    <row r="482" spans="1:4">
      <c r="A482" s="288"/>
      <c r="B482" s="288"/>
      <c r="C482" s="288"/>
      <c r="D482" s="328"/>
    </row>
    <row r="483" spans="1:4">
      <c r="A483" s="288"/>
      <c r="B483" s="288"/>
      <c r="C483" s="288"/>
      <c r="D483" s="328"/>
    </row>
    <row r="484" spans="1:4">
      <c r="A484" s="288"/>
      <c r="B484" s="288"/>
      <c r="C484" s="288"/>
      <c r="D484" s="328"/>
    </row>
    <row r="485" spans="1:4">
      <c r="A485" s="288"/>
      <c r="B485" s="288"/>
      <c r="C485" s="288"/>
      <c r="D485" s="328"/>
    </row>
    <row r="486" spans="1:4">
      <c r="A486" s="288"/>
      <c r="B486" s="288"/>
      <c r="C486" s="288"/>
      <c r="D486" s="328"/>
    </row>
    <row r="487" spans="1:4">
      <c r="A487" s="288"/>
      <c r="B487" s="288"/>
      <c r="C487" s="288"/>
      <c r="D487" s="328"/>
    </row>
    <row r="488" spans="1:4">
      <c r="A488" s="288"/>
      <c r="B488" s="288"/>
      <c r="C488" s="288"/>
      <c r="D488" s="328"/>
    </row>
    <row r="489" spans="1:4">
      <c r="A489" s="288"/>
      <c r="B489" s="288"/>
      <c r="C489" s="288"/>
      <c r="D489" s="328"/>
    </row>
    <row r="490" spans="1:4">
      <c r="A490" s="288"/>
      <c r="B490" s="288"/>
      <c r="C490" s="288"/>
      <c r="D490" s="328"/>
    </row>
    <row r="491" spans="1:4">
      <c r="A491" s="288"/>
      <c r="B491" s="288"/>
      <c r="C491" s="288"/>
      <c r="D491" s="328"/>
    </row>
    <row r="492" spans="1:4">
      <c r="A492" s="288"/>
      <c r="B492" s="288"/>
      <c r="C492" s="288"/>
      <c r="D492" s="328"/>
    </row>
    <row r="493" spans="1:4">
      <c r="A493" s="288"/>
      <c r="B493" s="288"/>
      <c r="C493" s="288"/>
      <c r="D493" s="328"/>
    </row>
    <row r="494" spans="1:4">
      <c r="A494" s="288"/>
      <c r="B494" s="288"/>
      <c r="C494" s="288"/>
      <c r="D494" s="328"/>
    </row>
    <row r="495" spans="1:4">
      <c r="A495" s="288"/>
      <c r="B495" s="288"/>
      <c r="C495" s="288"/>
      <c r="D495" s="328"/>
    </row>
    <row r="496" spans="1:4">
      <c r="A496" s="288"/>
      <c r="B496" s="288"/>
      <c r="C496" s="288"/>
      <c r="D496" s="328"/>
    </row>
    <row r="497" spans="1:4">
      <c r="A497" s="288"/>
      <c r="B497" s="288"/>
      <c r="C497" s="288"/>
      <c r="D497" s="328"/>
    </row>
    <row r="498" spans="1:4">
      <c r="A498" s="288"/>
      <c r="B498" s="288"/>
      <c r="C498" s="288"/>
      <c r="D498" s="328"/>
    </row>
    <row r="499" spans="1:4">
      <c r="A499" s="288"/>
      <c r="B499" s="288"/>
      <c r="C499" s="288"/>
      <c r="D499" s="328"/>
    </row>
    <row r="500" spans="1:4">
      <c r="A500" s="288"/>
      <c r="B500" s="288"/>
      <c r="C500" s="288"/>
      <c r="D500" s="328"/>
    </row>
    <row r="501" spans="1:4">
      <c r="A501" s="288"/>
      <c r="B501" s="288"/>
      <c r="C501" s="288"/>
      <c r="D501" s="328"/>
    </row>
    <row r="502" spans="1:4">
      <c r="A502" s="288"/>
      <c r="B502" s="288"/>
      <c r="C502" s="288"/>
      <c r="D502" s="328"/>
    </row>
    <row r="503" spans="1:4">
      <c r="A503" s="288"/>
      <c r="B503" s="288"/>
      <c r="C503" s="288"/>
      <c r="D503" s="328"/>
    </row>
    <row r="504" spans="1:4">
      <c r="A504" s="288"/>
      <c r="B504" s="288"/>
      <c r="C504" s="288"/>
      <c r="D504" s="328"/>
    </row>
    <row r="505" spans="1:4">
      <c r="A505" s="288"/>
      <c r="B505" s="288"/>
      <c r="C505" s="288"/>
      <c r="D505" s="328"/>
    </row>
    <row r="506" spans="1:4">
      <c r="A506" s="288"/>
      <c r="B506" s="288"/>
      <c r="C506" s="288"/>
      <c r="D506" s="328"/>
    </row>
    <row r="507" spans="1:4">
      <c r="A507" s="288"/>
      <c r="B507" s="288"/>
      <c r="C507" s="288"/>
      <c r="D507" s="328"/>
    </row>
    <row r="508" spans="1:4">
      <c r="A508" s="288"/>
      <c r="B508" s="288"/>
      <c r="C508" s="288"/>
      <c r="D508" s="328"/>
    </row>
    <row r="509" spans="1:4">
      <c r="A509" s="288"/>
      <c r="B509" s="288"/>
      <c r="C509" s="288"/>
      <c r="D509" s="328"/>
    </row>
    <row r="510" spans="1:4">
      <c r="A510" s="288"/>
      <c r="B510" s="288"/>
      <c r="C510" s="288"/>
      <c r="D510" s="328"/>
    </row>
    <row r="511" spans="1:4">
      <c r="A511" s="288"/>
      <c r="B511" s="288"/>
      <c r="C511" s="288"/>
      <c r="D511" s="328"/>
    </row>
    <row r="512" spans="1:4">
      <c r="A512" s="288"/>
      <c r="B512" s="288"/>
      <c r="C512" s="288"/>
      <c r="D512" s="328"/>
    </row>
    <row r="513" spans="1:4">
      <c r="A513" s="288"/>
      <c r="B513" s="288"/>
      <c r="C513" s="288"/>
      <c r="D513" s="328"/>
    </row>
    <row r="514" spans="1:4">
      <c r="A514" s="288"/>
      <c r="B514" s="288"/>
      <c r="C514" s="288"/>
      <c r="D514" s="328"/>
    </row>
    <row r="515" spans="1:4">
      <c r="A515" s="288"/>
      <c r="B515" s="288"/>
      <c r="C515" s="288"/>
      <c r="D515" s="328"/>
    </row>
    <row r="516" spans="1:4">
      <c r="A516" s="288"/>
      <c r="B516" s="288"/>
      <c r="C516" s="288"/>
      <c r="D516" s="328"/>
    </row>
    <row r="517" spans="1:4">
      <c r="A517" s="288"/>
      <c r="B517" s="288"/>
      <c r="C517" s="288"/>
      <c r="D517" s="328"/>
    </row>
    <row r="518" spans="1:4">
      <c r="A518" s="288"/>
      <c r="B518" s="288"/>
      <c r="C518" s="288"/>
      <c r="D518" s="328"/>
    </row>
    <row r="519" spans="1:4">
      <c r="A519" s="288"/>
      <c r="B519" s="288"/>
      <c r="C519" s="288"/>
      <c r="D519" s="328"/>
    </row>
    <row r="520" spans="1:4">
      <c r="A520" s="288"/>
      <c r="B520" s="288"/>
      <c r="C520" s="288"/>
      <c r="D520" s="328"/>
    </row>
    <row r="521" spans="1:4">
      <c r="A521" s="288"/>
      <c r="B521" s="288"/>
      <c r="C521" s="288"/>
      <c r="D521" s="328"/>
    </row>
    <row r="522" spans="1:4">
      <c r="A522" s="288"/>
      <c r="B522" s="288"/>
      <c r="C522" s="288"/>
      <c r="D522" s="328"/>
    </row>
    <row r="523" spans="1:4">
      <c r="A523" s="288"/>
      <c r="B523" s="288"/>
      <c r="C523" s="288"/>
      <c r="D523" s="328"/>
    </row>
    <row r="524" spans="1:4">
      <c r="A524" s="288"/>
      <c r="B524" s="288"/>
      <c r="C524" s="288"/>
      <c r="D524" s="328"/>
    </row>
    <row r="525" spans="1:4">
      <c r="A525" s="288"/>
      <c r="B525" s="288"/>
      <c r="C525" s="288"/>
      <c r="D525" s="328"/>
    </row>
    <row r="526" spans="1:4">
      <c r="A526" s="288"/>
      <c r="B526" s="288"/>
      <c r="C526" s="288"/>
      <c r="D526" s="328"/>
    </row>
    <row r="527" spans="1:4">
      <c r="A527" s="288"/>
      <c r="B527" s="288"/>
      <c r="C527" s="288"/>
      <c r="D527" s="328"/>
    </row>
    <row r="528" spans="1:4">
      <c r="A528" s="288"/>
      <c r="B528" s="288"/>
      <c r="C528" s="288"/>
      <c r="D528" s="328"/>
    </row>
    <row r="529" spans="1:4">
      <c r="A529" s="288"/>
      <c r="B529" s="288"/>
      <c r="C529" s="288"/>
      <c r="D529" s="328"/>
    </row>
    <row r="530" spans="1:4">
      <c r="A530" s="288"/>
      <c r="B530" s="288"/>
      <c r="C530" s="288"/>
      <c r="D530" s="328"/>
    </row>
    <row r="531" spans="1:4">
      <c r="A531" s="288"/>
      <c r="B531" s="288"/>
      <c r="C531" s="288"/>
      <c r="D531" s="328"/>
    </row>
    <row r="532" spans="1:4">
      <c r="A532" s="288"/>
      <c r="B532" s="288"/>
      <c r="C532" s="288"/>
      <c r="D532" s="328"/>
    </row>
    <row r="533" spans="1:4">
      <c r="A533" s="288"/>
      <c r="B533" s="288"/>
      <c r="C533" s="288"/>
      <c r="D533" s="328"/>
    </row>
    <row r="534" spans="1:4">
      <c r="A534" s="288"/>
      <c r="B534" s="288"/>
      <c r="C534" s="288"/>
      <c r="D534" s="328"/>
    </row>
    <row r="535" spans="1:4">
      <c r="A535" s="288"/>
      <c r="B535" s="288"/>
      <c r="C535" s="288"/>
      <c r="D535" s="328"/>
    </row>
    <row r="536" spans="1:4">
      <c r="A536" s="288"/>
      <c r="B536" s="288"/>
      <c r="C536" s="288"/>
      <c r="D536" s="328"/>
    </row>
    <row r="537" spans="1:4">
      <c r="A537" s="288"/>
      <c r="B537" s="288"/>
      <c r="C537" s="288"/>
      <c r="D537" s="328"/>
    </row>
    <row r="538" spans="1:4">
      <c r="A538" s="288"/>
      <c r="B538" s="288"/>
      <c r="C538" s="288"/>
      <c r="D538" s="328"/>
    </row>
    <row r="539" spans="1:4">
      <c r="A539" s="288"/>
      <c r="B539" s="288"/>
      <c r="C539" s="288"/>
      <c r="D539" s="328"/>
    </row>
    <row r="540" spans="1:4">
      <c r="A540" s="288"/>
      <c r="B540" s="288"/>
      <c r="C540" s="288"/>
      <c r="D540" s="328"/>
    </row>
    <row r="541" spans="1:4">
      <c r="A541" s="288"/>
      <c r="B541" s="288"/>
      <c r="C541" s="288"/>
      <c r="D541" s="328"/>
    </row>
    <row r="542" spans="1:4">
      <c r="A542" s="288"/>
      <c r="B542" s="288"/>
      <c r="C542" s="288"/>
      <c r="D542" s="328"/>
    </row>
    <row r="543" spans="1:4">
      <c r="A543" s="288"/>
      <c r="B543" s="288"/>
      <c r="C543" s="288"/>
      <c r="D543" s="328"/>
    </row>
    <row r="544" spans="1:4">
      <c r="A544" s="288"/>
      <c r="B544" s="288"/>
      <c r="C544" s="288"/>
      <c r="D544" s="328"/>
    </row>
    <row r="545" spans="1:4">
      <c r="A545" s="288"/>
      <c r="B545" s="288"/>
      <c r="C545" s="288"/>
      <c r="D545" s="328"/>
    </row>
    <row r="546" spans="1:4">
      <c r="A546" s="288"/>
      <c r="B546" s="288"/>
      <c r="C546" s="288"/>
      <c r="D546" s="328"/>
    </row>
    <row r="547" spans="1:4">
      <c r="A547" s="288"/>
      <c r="B547" s="288"/>
      <c r="C547" s="288"/>
      <c r="D547" s="328"/>
    </row>
    <row r="548" spans="1:4">
      <c r="A548" s="288"/>
      <c r="B548" s="288"/>
      <c r="C548" s="288"/>
      <c r="D548" s="328"/>
    </row>
    <row r="549" spans="1:4">
      <c r="A549" s="288"/>
      <c r="B549" s="288"/>
      <c r="C549" s="288"/>
      <c r="D549" s="328"/>
    </row>
    <row r="550" spans="1:4">
      <c r="A550" s="288"/>
      <c r="B550" s="288"/>
      <c r="C550" s="288"/>
      <c r="D550" s="328"/>
    </row>
    <row r="551" spans="1:4">
      <c r="A551" s="288"/>
      <c r="B551" s="288"/>
      <c r="C551" s="288"/>
      <c r="D551" s="328"/>
    </row>
    <row r="552" spans="1:4">
      <c r="A552" s="288"/>
      <c r="B552" s="288"/>
      <c r="C552" s="288"/>
      <c r="D552" s="328"/>
    </row>
    <row r="553" spans="1:4">
      <c r="A553" s="288"/>
      <c r="B553" s="288"/>
      <c r="C553" s="288"/>
      <c r="D553" s="328"/>
    </row>
    <row r="554" spans="1:4">
      <c r="A554" s="288"/>
      <c r="B554" s="288"/>
      <c r="C554" s="288"/>
      <c r="D554" s="328"/>
    </row>
    <row r="555" spans="1:4">
      <c r="A555" s="288"/>
      <c r="B555" s="288"/>
      <c r="C555" s="288"/>
      <c r="D555" s="328"/>
    </row>
    <row r="556" spans="1:4">
      <c r="A556" s="288"/>
      <c r="B556" s="288"/>
      <c r="C556" s="288"/>
      <c r="D556" s="328"/>
    </row>
    <row r="557" spans="1:4">
      <c r="A557" s="288"/>
      <c r="B557" s="288"/>
      <c r="C557" s="288"/>
      <c r="D557" s="328"/>
    </row>
    <row r="558" spans="1:4">
      <c r="A558" s="288"/>
      <c r="B558" s="288"/>
      <c r="C558" s="288"/>
      <c r="D558" s="328"/>
    </row>
    <row r="559" spans="1:4">
      <c r="A559" s="288"/>
      <c r="B559" s="288"/>
      <c r="C559" s="288"/>
      <c r="D559" s="328"/>
    </row>
    <row r="560" spans="1:4">
      <c r="A560" s="288"/>
      <c r="B560" s="288"/>
      <c r="C560" s="288"/>
      <c r="D560" s="328"/>
    </row>
    <row r="561" spans="1:4">
      <c r="A561" s="288"/>
      <c r="B561" s="288"/>
      <c r="C561" s="288"/>
      <c r="D561" s="328"/>
    </row>
    <row r="562" spans="1:4">
      <c r="A562" s="288"/>
      <c r="B562" s="288"/>
      <c r="C562" s="288"/>
      <c r="D562" s="328"/>
    </row>
    <row r="563" spans="1:4">
      <c r="A563" s="288"/>
      <c r="B563" s="288"/>
      <c r="C563" s="288"/>
      <c r="D563" s="328"/>
    </row>
    <row r="564" spans="1:4">
      <c r="A564" s="288"/>
      <c r="B564" s="288"/>
      <c r="C564" s="288"/>
      <c r="D564" s="328"/>
    </row>
    <row r="565" spans="1:4">
      <c r="A565" s="288"/>
      <c r="B565" s="288"/>
      <c r="C565" s="288"/>
      <c r="D565" s="328"/>
    </row>
    <row r="566" spans="1:4">
      <c r="A566" s="288"/>
      <c r="B566" s="288"/>
      <c r="C566" s="288"/>
      <c r="D566" s="328"/>
    </row>
    <row r="567" spans="1:4">
      <c r="A567" s="288"/>
      <c r="B567" s="288"/>
      <c r="C567" s="288"/>
      <c r="D567" s="328"/>
    </row>
    <row r="568" spans="1:4">
      <c r="A568" s="288"/>
      <c r="B568" s="288"/>
      <c r="C568" s="288"/>
      <c r="D568" s="328"/>
    </row>
    <row r="569" spans="1:4">
      <c r="A569" s="288"/>
      <c r="B569" s="288"/>
      <c r="C569" s="288"/>
      <c r="D569" s="328"/>
    </row>
    <row r="570" spans="1:4">
      <c r="A570" s="288"/>
      <c r="B570" s="288"/>
      <c r="C570" s="288"/>
      <c r="D570" s="328"/>
    </row>
    <row r="571" spans="1:4">
      <c r="A571" s="288"/>
      <c r="B571" s="288"/>
      <c r="C571" s="288"/>
      <c r="D571" s="328"/>
    </row>
    <row r="572" spans="1:4">
      <c r="A572" s="288"/>
      <c r="B572" s="288"/>
      <c r="C572" s="288"/>
      <c r="D572" s="328"/>
    </row>
    <row r="573" spans="1:4">
      <c r="A573" s="288"/>
      <c r="B573" s="288"/>
      <c r="C573" s="288"/>
      <c r="D573" s="328"/>
    </row>
    <row r="574" spans="1:4">
      <c r="A574" s="288"/>
      <c r="B574" s="288"/>
      <c r="C574" s="288"/>
      <c r="D574" s="328"/>
    </row>
    <row r="575" spans="1:4">
      <c r="A575" s="288"/>
      <c r="B575" s="288"/>
      <c r="C575" s="288"/>
      <c r="D575" s="328"/>
    </row>
    <row r="576" spans="1:4">
      <c r="A576" s="288"/>
      <c r="B576" s="288"/>
      <c r="C576" s="288"/>
      <c r="D576" s="328"/>
    </row>
    <row r="577" spans="1:4">
      <c r="A577" s="288"/>
      <c r="B577" s="288"/>
      <c r="C577" s="288"/>
      <c r="D577" s="328"/>
    </row>
    <row r="578" spans="1:4">
      <c r="A578" s="288"/>
      <c r="B578" s="288"/>
      <c r="C578" s="288"/>
      <c r="D578" s="328"/>
    </row>
    <row r="579" spans="1:4">
      <c r="A579" s="288"/>
      <c r="B579" s="288"/>
      <c r="C579" s="288"/>
      <c r="D579" s="328"/>
    </row>
    <row r="580" spans="1:4">
      <c r="A580" s="288"/>
      <c r="B580" s="288"/>
      <c r="C580" s="288"/>
      <c r="D580" s="328"/>
    </row>
    <row r="581" spans="1:4">
      <c r="A581" s="288"/>
      <c r="B581" s="288"/>
      <c r="C581" s="288"/>
      <c r="D581" s="328"/>
    </row>
    <row r="582" spans="1:4">
      <c r="A582" s="288"/>
      <c r="B582" s="288"/>
      <c r="C582" s="288"/>
      <c r="D582" s="328"/>
    </row>
    <row r="583" spans="1:4">
      <c r="A583" s="288"/>
      <c r="B583" s="288"/>
      <c r="C583" s="288"/>
      <c r="D583" s="328"/>
    </row>
    <row r="584" spans="1:4">
      <c r="A584" s="288"/>
      <c r="B584" s="288"/>
      <c r="C584" s="288"/>
      <c r="D584" s="328"/>
    </row>
    <row r="585" spans="1:4">
      <c r="A585" s="288"/>
      <c r="B585" s="288"/>
      <c r="C585" s="288"/>
      <c r="D585" s="328"/>
    </row>
    <row r="586" spans="1:4">
      <c r="A586" s="288"/>
      <c r="B586" s="288"/>
      <c r="C586" s="288"/>
      <c r="D586" s="328"/>
    </row>
    <row r="587" spans="1:4">
      <c r="A587" s="288"/>
      <c r="B587" s="288"/>
      <c r="C587" s="288"/>
      <c r="D587" s="328"/>
    </row>
    <row r="588" spans="1:4">
      <c r="A588" s="288"/>
      <c r="B588" s="288"/>
      <c r="C588" s="288"/>
      <c r="D588" s="328"/>
    </row>
    <row r="589" spans="1:4">
      <c r="A589" s="288"/>
      <c r="B589" s="288"/>
      <c r="C589" s="288"/>
      <c r="D589" s="328"/>
    </row>
    <row r="590" spans="1:4">
      <c r="A590" s="288"/>
      <c r="B590" s="288"/>
      <c r="C590" s="288"/>
      <c r="D590" s="328"/>
    </row>
    <row r="591" spans="1:4">
      <c r="A591" s="288"/>
      <c r="B591" s="288"/>
      <c r="C591" s="288"/>
      <c r="D591" s="328"/>
    </row>
    <row r="592" spans="1:4">
      <c r="A592" s="288"/>
      <c r="B592" s="288"/>
      <c r="C592" s="288"/>
      <c r="D592" s="328"/>
    </row>
    <row r="593" spans="1:4">
      <c r="A593" s="288"/>
      <c r="B593" s="288"/>
      <c r="C593" s="288"/>
      <c r="D593" s="328"/>
    </row>
    <row r="594" spans="1:4">
      <c r="A594" s="288"/>
      <c r="B594" s="288"/>
      <c r="C594" s="288"/>
      <c r="D594" s="328"/>
    </row>
    <row r="595" spans="1:4">
      <c r="A595" s="288"/>
      <c r="B595" s="288"/>
      <c r="C595" s="288"/>
      <c r="D595" s="328"/>
    </row>
    <row r="596" spans="1:4">
      <c r="A596" s="288"/>
      <c r="B596" s="288"/>
      <c r="C596" s="288"/>
      <c r="D596" s="328"/>
    </row>
    <row r="597" spans="1:4">
      <c r="A597" s="288"/>
      <c r="B597" s="288"/>
      <c r="C597" s="288"/>
      <c r="D597" s="328"/>
    </row>
    <row r="598" spans="1:4">
      <c r="A598" s="288"/>
      <c r="B598" s="288"/>
      <c r="C598" s="288"/>
      <c r="D598" s="328"/>
    </row>
    <row r="599" spans="1:4">
      <c r="A599" s="288"/>
      <c r="B599" s="288"/>
      <c r="C599" s="288"/>
      <c r="D599" s="328"/>
    </row>
    <row r="600" spans="1:4">
      <c r="A600" s="288"/>
      <c r="B600" s="288"/>
      <c r="C600" s="288"/>
      <c r="D600" s="328"/>
    </row>
    <row r="601" spans="1:4">
      <c r="A601" s="288"/>
      <c r="B601" s="288"/>
      <c r="C601" s="288"/>
      <c r="D601" s="328"/>
    </row>
    <row r="602" spans="1:4">
      <c r="A602" s="288"/>
      <c r="B602" s="288"/>
      <c r="C602" s="288"/>
      <c r="D602" s="328"/>
    </row>
    <row r="603" spans="1:4">
      <c r="A603" s="288"/>
      <c r="B603" s="288"/>
      <c r="C603" s="288"/>
      <c r="D603" s="328"/>
    </row>
    <row r="604" spans="1:4">
      <c r="A604" s="288"/>
      <c r="B604" s="288"/>
      <c r="C604" s="288"/>
      <c r="D604" s="328"/>
    </row>
    <row r="605" spans="1:4">
      <c r="A605" s="288"/>
      <c r="B605" s="288"/>
      <c r="C605" s="288"/>
      <c r="D605" s="328"/>
    </row>
    <row r="606" spans="1:4">
      <c r="A606" s="288"/>
      <c r="B606" s="288"/>
      <c r="C606" s="288"/>
      <c r="D606" s="328"/>
    </row>
    <row r="607" spans="1:4">
      <c r="A607" s="288"/>
      <c r="B607" s="288"/>
      <c r="C607" s="288"/>
      <c r="D607" s="328"/>
    </row>
    <row r="608" spans="1:4">
      <c r="A608" s="288"/>
      <c r="B608" s="288"/>
      <c r="C608" s="288"/>
      <c r="D608" s="328"/>
    </row>
    <row r="609" spans="1:4">
      <c r="A609" s="288"/>
      <c r="B609" s="288"/>
      <c r="C609" s="288"/>
      <c r="D609" s="328"/>
    </row>
    <row r="610" spans="1:4">
      <c r="A610" s="288"/>
      <c r="B610" s="288"/>
      <c r="C610" s="288"/>
      <c r="D610" s="328"/>
    </row>
    <row r="611" spans="1:4">
      <c r="A611" s="288"/>
      <c r="B611" s="288"/>
      <c r="C611" s="288"/>
      <c r="D611" s="328"/>
    </row>
    <row r="612" spans="1:4">
      <c r="A612" s="288"/>
      <c r="B612" s="288"/>
      <c r="C612" s="288"/>
      <c r="D612" s="328"/>
    </row>
    <row r="613" spans="1:4">
      <c r="A613" s="288"/>
      <c r="B613" s="288"/>
      <c r="C613" s="288"/>
      <c r="D613" s="328"/>
    </row>
    <row r="614" spans="1:4">
      <c r="A614" s="288"/>
      <c r="B614" s="288"/>
      <c r="C614" s="288"/>
      <c r="D614" s="328"/>
    </row>
    <row r="615" spans="1:4">
      <c r="A615" s="288"/>
      <c r="B615" s="288"/>
      <c r="C615" s="288"/>
      <c r="D615" s="328"/>
    </row>
    <row r="616" spans="1:4">
      <c r="A616" s="288"/>
      <c r="B616" s="288"/>
      <c r="C616" s="288"/>
      <c r="D616" s="328"/>
    </row>
    <row r="617" spans="1:4">
      <c r="A617" s="288"/>
      <c r="B617" s="288"/>
      <c r="C617" s="288"/>
      <c r="D617" s="328"/>
    </row>
    <row r="618" spans="1:4">
      <c r="A618" s="288"/>
      <c r="B618" s="288"/>
      <c r="C618" s="288"/>
      <c r="D618" s="328"/>
    </row>
    <row r="619" spans="1:4">
      <c r="A619" s="288"/>
      <c r="B619" s="288"/>
      <c r="C619" s="288"/>
      <c r="D619" s="328"/>
    </row>
    <row r="620" spans="1:4">
      <c r="A620" s="288"/>
      <c r="B620" s="288"/>
      <c r="C620" s="288"/>
      <c r="D620" s="328"/>
    </row>
    <row r="621" spans="1:4">
      <c r="A621" s="288"/>
      <c r="B621" s="288"/>
      <c r="C621" s="288"/>
      <c r="D621" s="328"/>
    </row>
    <row r="622" spans="1:4">
      <c r="A622" s="288"/>
      <c r="B622" s="288"/>
      <c r="C622" s="288"/>
      <c r="D622" s="328"/>
    </row>
    <row r="623" spans="1:4">
      <c r="A623" s="288"/>
      <c r="B623" s="288"/>
      <c r="C623" s="288"/>
      <c r="D623" s="328"/>
    </row>
    <row r="624" spans="1:4">
      <c r="A624" s="288"/>
      <c r="B624" s="288"/>
      <c r="C624" s="288"/>
      <c r="D624" s="328"/>
    </row>
    <row r="625" spans="1:4">
      <c r="A625" s="288"/>
      <c r="B625" s="288"/>
      <c r="C625" s="288"/>
      <c r="D625" s="328"/>
    </row>
    <row r="626" spans="1:4">
      <c r="A626" s="288"/>
      <c r="B626" s="288"/>
      <c r="C626" s="288"/>
      <c r="D626" s="328"/>
    </row>
    <row r="627" spans="1:4">
      <c r="A627" s="288"/>
      <c r="B627" s="288"/>
      <c r="C627" s="288"/>
      <c r="D627" s="328"/>
    </row>
    <row r="628" spans="1:4">
      <c r="A628" s="288"/>
      <c r="B628" s="288"/>
      <c r="C628" s="288"/>
      <c r="D628" s="328"/>
    </row>
    <row r="629" spans="1:4">
      <c r="A629" s="288"/>
      <c r="B629" s="288"/>
      <c r="C629" s="288"/>
      <c r="D629" s="328"/>
    </row>
    <row r="630" spans="1:4">
      <c r="A630" s="288"/>
      <c r="B630" s="288"/>
      <c r="C630" s="288"/>
      <c r="D630" s="328"/>
    </row>
    <row r="631" spans="1:4">
      <c r="A631" s="288"/>
      <c r="B631" s="288"/>
      <c r="C631" s="288"/>
      <c r="D631" s="328"/>
    </row>
    <row r="632" spans="1:4">
      <c r="A632" s="288"/>
      <c r="B632" s="288"/>
      <c r="C632" s="288"/>
      <c r="D632" s="328"/>
    </row>
    <row r="633" spans="1:4">
      <c r="A633" s="288"/>
      <c r="B633" s="288"/>
      <c r="C633" s="288"/>
      <c r="D633" s="328"/>
    </row>
    <row r="634" spans="1:4">
      <c r="A634" s="288"/>
      <c r="B634" s="288"/>
      <c r="C634" s="288"/>
      <c r="D634" s="328"/>
    </row>
    <row r="635" spans="1:4">
      <c r="A635" s="288"/>
      <c r="B635" s="288"/>
      <c r="C635" s="288"/>
      <c r="D635" s="328"/>
    </row>
    <row r="636" spans="1:4">
      <c r="A636" s="288"/>
      <c r="B636" s="288"/>
      <c r="C636" s="288"/>
      <c r="D636" s="328"/>
    </row>
    <row r="637" spans="1:4">
      <c r="A637" s="288"/>
      <c r="B637" s="288"/>
      <c r="C637" s="288"/>
      <c r="D637" s="328"/>
    </row>
    <row r="638" spans="1:4">
      <c r="A638" s="288"/>
      <c r="B638" s="288"/>
      <c r="C638" s="288"/>
      <c r="D638" s="328"/>
    </row>
    <row r="639" spans="1:4">
      <c r="A639" s="288"/>
      <c r="B639" s="288"/>
      <c r="C639" s="288"/>
      <c r="D639" s="328"/>
    </row>
    <row r="640" spans="1:4">
      <c r="A640" s="288"/>
      <c r="B640" s="288"/>
      <c r="C640" s="288"/>
      <c r="D640" s="328"/>
    </row>
    <row r="641" spans="1:4">
      <c r="A641" s="288"/>
      <c r="B641" s="288"/>
      <c r="C641" s="288"/>
      <c r="D641" s="328"/>
    </row>
    <row r="642" spans="1:4">
      <c r="A642" s="288"/>
      <c r="B642" s="288"/>
      <c r="C642" s="288"/>
      <c r="D642" s="328"/>
    </row>
    <row r="643" spans="1:4">
      <c r="A643" s="288"/>
      <c r="B643" s="288"/>
      <c r="C643" s="288"/>
      <c r="D643" s="328"/>
    </row>
    <row r="644" spans="1:4">
      <c r="A644" s="288"/>
      <c r="B644" s="288"/>
      <c r="C644" s="288"/>
      <c r="D644" s="328"/>
    </row>
    <row r="645" spans="1:4">
      <c r="A645" s="288"/>
      <c r="B645" s="288"/>
      <c r="C645" s="288"/>
      <c r="D645" s="328"/>
    </row>
    <row r="646" spans="1:4">
      <c r="A646" s="288"/>
      <c r="B646" s="288"/>
      <c r="C646" s="288"/>
      <c r="D646" s="328"/>
    </row>
    <row r="647" spans="1:4">
      <c r="A647" s="288"/>
      <c r="B647" s="288"/>
      <c r="C647" s="288"/>
      <c r="D647" s="328"/>
    </row>
    <row r="648" spans="1:4">
      <c r="A648" s="288"/>
      <c r="B648" s="288"/>
      <c r="C648" s="288"/>
      <c r="D648" s="328"/>
    </row>
    <row r="649" spans="1:4">
      <c r="A649" s="288"/>
      <c r="B649" s="288"/>
      <c r="C649" s="288"/>
      <c r="D649" s="328"/>
    </row>
    <row r="650" spans="1:4">
      <c r="A650" s="288"/>
      <c r="B650" s="288"/>
      <c r="C650" s="288"/>
      <c r="D650" s="328"/>
    </row>
    <row r="651" spans="1:4">
      <c r="A651" s="288"/>
      <c r="B651" s="288"/>
      <c r="C651" s="288"/>
      <c r="D651" s="328"/>
    </row>
    <row r="652" spans="1:4">
      <c r="A652" s="288"/>
      <c r="B652" s="288"/>
      <c r="C652" s="288"/>
      <c r="D652" s="328"/>
    </row>
    <row r="653" spans="1:4">
      <c r="A653" s="288"/>
      <c r="B653" s="288"/>
      <c r="C653" s="288"/>
      <c r="D653" s="328"/>
    </row>
    <row r="654" spans="1:4">
      <c r="A654" s="288"/>
      <c r="B654" s="288"/>
      <c r="C654" s="288"/>
      <c r="D654" s="328"/>
    </row>
    <row r="655" spans="1:4">
      <c r="A655" s="288"/>
      <c r="B655" s="288"/>
      <c r="C655" s="288"/>
      <c r="D655" s="328"/>
    </row>
    <row r="656" spans="1:4">
      <c r="A656" s="288"/>
      <c r="B656" s="288"/>
      <c r="C656" s="288"/>
      <c r="D656" s="328"/>
    </row>
    <row r="657" spans="1:4">
      <c r="A657" s="288"/>
      <c r="B657" s="288"/>
      <c r="C657" s="288"/>
      <c r="D657" s="328"/>
    </row>
    <row r="658" spans="1:4">
      <c r="A658" s="288"/>
      <c r="B658" s="288"/>
      <c r="C658" s="288"/>
      <c r="D658" s="328"/>
    </row>
    <row r="659" spans="1:4">
      <c r="A659" s="288"/>
      <c r="B659" s="288"/>
      <c r="C659" s="288"/>
      <c r="D659" s="328"/>
    </row>
    <row r="660" spans="1:4">
      <c r="A660" s="288"/>
      <c r="B660" s="288"/>
      <c r="C660" s="288"/>
      <c r="D660" s="328"/>
    </row>
    <row r="661" spans="1:4">
      <c r="A661" s="288"/>
      <c r="B661" s="288"/>
      <c r="C661" s="288"/>
      <c r="D661" s="328"/>
    </row>
    <row r="662" spans="1:4">
      <c r="A662" s="288"/>
      <c r="B662" s="288"/>
      <c r="C662" s="288"/>
      <c r="D662" s="328"/>
    </row>
    <row r="663" spans="1:4">
      <c r="A663" s="288"/>
      <c r="B663" s="288"/>
      <c r="C663" s="288"/>
      <c r="D663" s="328"/>
    </row>
    <row r="664" spans="1:4">
      <c r="A664" s="288"/>
      <c r="B664" s="288"/>
      <c r="C664" s="288"/>
      <c r="D664" s="328"/>
    </row>
    <row r="665" spans="1:4">
      <c r="A665" s="288"/>
      <c r="B665" s="288"/>
      <c r="C665" s="288"/>
      <c r="D665" s="328"/>
    </row>
    <row r="666" spans="1:4">
      <c r="A666" s="288"/>
      <c r="B666" s="288"/>
      <c r="C666" s="288"/>
      <c r="D666" s="328"/>
    </row>
    <row r="667" spans="1:4">
      <c r="A667" s="288"/>
      <c r="B667" s="288"/>
      <c r="C667" s="288"/>
      <c r="D667" s="328"/>
    </row>
    <row r="668" spans="1:4">
      <c r="A668" s="288"/>
      <c r="B668" s="288"/>
      <c r="C668" s="288"/>
      <c r="D668" s="328"/>
    </row>
    <row r="669" spans="1:4">
      <c r="A669" s="288"/>
      <c r="B669" s="288"/>
      <c r="C669" s="288"/>
      <c r="D669" s="328"/>
    </row>
    <row r="670" spans="1:4">
      <c r="A670" s="288"/>
      <c r="B670" s="288"/>
      <c r="C670" s="288"/>
      <c r="D670" s="328"/>
    </row>
    <row r="671" spans="1:4">
      <c r="A671" s="288"/>
      <c r="B671" s="288"/>
      <c r="C671" s="288"/>
      <c r="D671" s="328"/>
    </row>
    <row r="672" spans="1:4">
      <c r="A672" s="288"/>
      <c r="B672" s="288"/>
      <c r="C672" s="288"/>
      <c r="D672" s="328"/>
    </row>
    <row r="673" spans="1:4">
      <c r="A673" s="288"/>
      <c r="B673" s="288"/>
      <c r="C673" s="288"/>
      <c r="D673" s="328"/>
    </row>
    <row r="674" spans="1:4">
      <c r="A674" s="288"/>
      <c r="B674" s="288"/>
      <c r="C674" s="288"/>
      <c r="D674" s="328"/>
    </row>
    <row r="675" spans="1:4">
      <c r="A675" s="288"/>
      <c r="B675" s="288"/>
      <c r="C675" s="288"/>
      <c r="D675" s="328"/>
    </row>
    <row r="676" spans="1:4">
      <c r="A676" s="288"/>
      <c r="B676" s="288"/>
      <c r="C676" s="288"/>
      <c r="D676" s="328"/>
    </row>
    <row r="677" spans="1:4">
      <c r="A677" s="288"/>
      <c r="B677" s="288"/>
      <c r="C677" s="288"/>
      <c r="D677" s="328"/>
    </row>
    <row r="678" spans="1:4">
      <c r="A678" s="288"/>
      <c r="B678" s="288"/>
      <c r="C678" s="288"/>
      <c r="D678" s="328"/>
    </row>
    <row r="679" spans="1:4">
      <c r="A679" s="288"/>
      <c r="B679" s="288"/>
      <c r="C679" s="288"/>
      <c r="D679" s="328"/>
    </row>
    <row r="680" spans="1:4">
      <c r="A680" s="288"/>
      <c r="B680" s="288"/>
      <c r="C680" s="288"/>
      <c r="D680" s="328"/>
    </row>
    <row r="681" spans="1:4">
      <c r="A681" s="288"/>
      <c r="B681" s="288"/>
      <c r="C681" s="288"/>
      <c r="D681" s="328"/>
    </row>
    <row r="682" spans="1:4">
      <c r="A682" s="288"/>
      <c r="B682" s="288"/>
      <c r="C682" s="288"/>
      <c r="D682" s="328"/>
    </row>
    <row r="683" spans="1:4">
      <c r="A683" s="288"/>
      <c r="B683" s="288"/>
      <c r="C683" s="288"/>
      <c r="D683" s="328"/>
    </row>
    <row r="684" spans="1:4">
      <c r="A684" s="288"/>
      <c r="B684" s="288"/>
      <c r="C684" s="288"/>
      <c r="D684" s="328"/>
    </row>
    <row r="685" spans="1:4">
      <c r="A685" s="288"/>
      <c r="B685" s="288"/>
      <c r="C685" s="288"/>
      <c r="D685" s="328"/>
    </row>
    <row r="686" spans="1:4">
      <c r="A686" s="288"/>
      <c r="B686" s="288"/>
      <c r="C686" s="288"/>
      <c r="D686" s="328"/>
    </row>
    <row r="687" spans="1:4">
      <c r="A687" s="288"/>
      <c r="B687" s="288"/>
      <c r="C687" s="288"/>
      <c r="D687" s="328"/>
    </row>
    <row r="688" spans="1:4">
      <c r="A688" s="288"/>
      <c r="B688" s="288"/>
      <c r="C688" s="288"/>
      <c r="D688" s="328"/>
    </row>
    <row r="689" spans="1:4">
      <c r="A689" s="288"/>
      <c r="B689" s="288"/>
      <c r="C689" s="288"/>
      <c r="D689" s="328"/>
    </row>
    <row r="690" spans="1:4">
      <c r="A690" s="288"/>
      <c r="B690" s="288"/>
      <c r="C690" s="288"/>
      <c r="D690" s="328"/>
    </row>
    <row r="691" spans="1:4">
      <c r="A691" s="288"/>
      <c r="B691" s="288"/>
      <c r="C691" s="288"/>
      <c r="D691" s="328"/>
    </row>
    <row r="692" spans="1:4">
      <c r="A692" s="288"/>
      <c r="B692" s="288"/>
      <c r="C692" s="288"/>
      <c r="D692" s="328"/>
    </row>
    <row r="693" spans="1:4">
      <c r="A693" s="288"/>
      <c r="B693" s="288"/>
      <c r="C693" s="288"/>
      <c r="D693" s="328"/>
    </row>
    <row r="694" spans="1:4">
      <c r="A694" s="288"/>
      <c r="B694" s="288"/>
      <c r="C694" s="288"/>
      <c r="D694" s="328"/>
    </row>
    <row r="695" spans="1:4">
      <c r="A695" s="288"/>
      <c r="B695" s="288"/>
      <c r="C695" s="288"/>
      <c r="D695" s="328"/>
    </row>
    <row r="696" spans="1:4">
      <c r="A696" s="288"/>
      <c r="B696" s="288"/>
      <c r="C696" s="288"/>
      <c r="D696" s="328"/>
    </row>
    <row r="697" spans="1:4">
      <c r="A697" s="288"/>
      <c r="B697" s="288"/>
      <c r="C697" s="288"/>
      <c r="D697" s="328"/>
    </row>
    <row r="698" spans="1:4">
      <c r="A698" s="288"/>
      <c r="B698" s="288"/>
      <c r="C698" s="288"/>
      <c r="D698" s="328"/>
    </row>
    <row r="699" spans="1:4">
      <c r="A699" s="288"/>
      <c r="B699" s="288"/>
      <c r="C699" s="288"/>
      <c r="D699" s="328"/>
    </row>
    <row r="700" spans="1:4">
      <c r="A700" s="288"/>
      <c r="B700" s="288"/>
      <c r="C700" s="288"/>
      <c r="D700" s="328"/>
    </row>
    <row r="701" spans="1:4">
      <c r="A701" s="288"/>
      <c r="B701" s="288"/>
      <c r="C701" s="288"/>
      <c r="D701" s="328"/>
    </row>
    <row r="702" spans="1:4">
      <c r="A702" s="288"/>
      <c r="B702" s="288"/>
      <c r="C702" s="288"/>
      <c r="D702" s="328"/>
    </row>
    <row r="703" spans="1:4">
      <c r="A703" s="288"/>
      <c r="B703" s="288"/>
      <c r="C703" s="288"/>
      <c r="D703" s="328"/>
    </row>
    <row r="704" spans="1:4">
      <c r="A704" s="288"/>
      <c r="B704" s="288"/>
      <c r="C704" s="288"/>
      <c r="D704" s="328"/>
    </row>
    <row r="705" spans="1:4">
      <c r="A705" s="288"/>
      <c r="B705" s="288"/>
      <c r="C705" s="288"/>
      <c r="D705" s="328"/>
    </row>
    <row r="706" spans="1:4">
      <c r="A706" s="288"/>
      <c r="B706" s="288"/>
      <c r="C706" s="288"/>
      <c r="D706" s="328"/>
    </row>
    <row r="707" spans="1:4">
      <c r="A707" s="288"/>
      <c r="B707" s="288"/>
      <c r="C707" s="288"/>
      <c r="D707" s="328"/>
    </row>
    <row r="708" spans="1:4">
      <c r="A708" s="288"/>
      <c r="B708" s="288"/>
      <c r="C708" s="288"/>
      <c r="D708" s="328"/>
    </row>
    <row r="709" spans="1:4">
      <c r="A709" s="288"/>
      <c r="B709" s="288"/>
      <c r="C709" s="288"/>
      <c r="D709" s="328"/>
    </row>
    <row r="710" spans="1:4">
      <c r="A710" s="288"/>
      <c r="B710" s="288"/>
      <c r="C710" s="288"/>
      <c r="D710" s="328"/>
    </row>
    <row r="711" spans="1:4">
      <c r="A711" s="288"/>
      <c r="B711" s="288"/>
      <c r="C711" s="288"/>
      <c r="D711" s="328"/>
    </row>
    <row r="712" spans="1:4">
      <c r="A712" s="288"/>
      <c r="B712" s="288"/>
      <c r="C712" s="288"/>
      <c r="D712" s="328"/>
    </row>
    <row r="713" spans="1:4">
      <c r="A713" s="288"/>
      <c r="B713" s="288"/>
      <c r="C713" s="288"/>
      <c r="D713" s="328"/>
    </row>
    <row r="714" spans="1:4">
      <c r="A714" s="288"/>
      <c r="B714" s="288"/>
      <c r="C714" s="288"/>
      <c r="D714" s="328"/>
    </row>
    <row r="715" spans="1:4">
      <c r="A715" s="288"/>
      <c r="B715" s="288"/>
      <c r="C715" s="288"/>
      <c r="D715" s="328"/>
    </row>
    <row r="716" spans="1:4">
      <c r="A716" s="288"/>
      <c r="B716" s="288"/>
      <c r="C716" s="288"/>
      <c r="D716" s="328"/>
    </row>
    <row r="717" spans="1:4">
      <c r="A717" s="288"/>
      <c r="B717" s="288"/>
      <c r="C717" s="288"/>
      <c r="D717" s="328"/>
    </row>
    <row r="718" spans="1:4">
      <c r="A718" s="288"/>
      <c r="B718" s="288"/>
      <c r="C718" s="288"/>
      <c r="D718" s="328"/>
    </row>
    <row r="719" spans="1:4">
      <c r="A719" s="288"/>
      <c r="B719" s="288"/>
      <c r="C719" s="288"/>
      <c r="D719" s="328"/>
    </row>
    <row r="720" spans="1:4">
      <c r="A720" s="288"/>
      <c r="B720" s="288"/>
      <c r="C720" s="288"/>
      <c r="D720" s="328"/>
    </row>
    <row r="721" spans="1:4">
      <c r="A721" s="288"/>
      <c r="B721" s="288"/>
      <c r="C721" s="288"/>
      <c r="D721" s="328"/>
    </row>
    <row r="722" spans="1:4">
      <c r="A722" s="288"/>
      <c r="B722" s="288"/>
      <c r="C722" s="288"/>
      <c r="D722" s="328"/>
    </row>
    <row r="723" spans="1:4">
      <c r="A723" s="288"/>
      <c r="B723" s="288"/>
      <c r="C723" s="288"/>
      <c r="D723" s="328"/>
    </row>
    <row r="724" spans="1:4">
      <c r="A724" s="288"/>
      <c r="B724" s="288"/>
      <c r="C724" s="288"/>
      <c r="D724" s="328"/>
    </row>
    <row r="725" spans="1:4">
      <c r="A725" s="288"/>
      <c r="B725" s="288"/>
      <c r="C725" s="288"/>
      <c r="D725" s="328"/>
    </row>
    <row r="726" spans="1:4">
      <c r="A726" s="288"/>
      <c r="B726" s="288"/>
      <c r="C726" s="288"/>
      <c r="D726" s="328"/>
    </row>
    <row r="727" spans="1:4">
      <c r="A727" s="288"/>
      <c r="B727" s="288"/>
      <c r="C727" s="288"/>
      <c r="D727" s="328"/>
    </row>
    <row r="728" spans="1:4">
      <c r="A728" s="288"/>
      <c r="B728" s="288"/>
      <c r="C728" s="288"/>
      <c r="D728" s="328"/>
    </row>
    <row r="729" spans="1:4">
      <c r="A729" s="288"/>
      <c r="B729" s="288"/>
      <c r="C729" s="288"/>
      <c r="D729" s="328"/>
    </row>
    <row r="730" spans="1:4">
      <c r="A730" s="288"/>
      <c r="B730" s="288"/>
      <c r="C730" s="288"/>
      <c r="D730" s="328"/>
    </row>
    <row r="731" spans="1:4">
      <c r="A731" s="288"/>
      <c r="B731" s="288"/>
      <c r="C731" s="288"/>
      <c r="D731" s="328"/>
    </row>
    <row r="732" spans="1:4">
      <c r="A732" s="288"/>
      <c r="B732" s="288"/>
      <c r="C732" s="288"/>
      <c r="D732" s="328"/>
    </row>
    <row r="733" spans="1:4">
      <c r="A733" s="288"/>
      <c r="B733" s="288"/>
      <c r="C733" s="288"/>
      <c r="D733" s="328"/>
    </row>
    <row r="734" spans="1:4">
      <c r="A734" s="288"/>
      <c r="B734" s="288"/>
      <c r="C734" s="288"/>
      <c r="D734" s="328"/>
    </row>
    <row r="735" spans="1:4">
      <c r="A735" s="288"/>
      <c r="B735" s="288"/>
      <c r="C735" s="288"/>
      <c r="D735" s="328"/>
    </row>
    <row r="736" spans="1:4">
      <c r="A736" s="288"/>
      <c r="B736" s="288"/>
      <c r="C736" s="288"/>
      <c r="D736" s="328"/>
    </row>
    <row r="737" spans="1:4">
      <c r="A737" s="288"/>
      <c r="B737" s="288"/>
      <c r="C737" s="288"/>
      <c r="D737" s="328"/>
    </row>
    <row r="738" spans="1:4">
      <c r="A738" s="288"/>
      <c r="B738" s="288"/>
      <c r="C738" s="288"/>
      <c r="D738" s="328"/>
    </row>
    <row r="739" spans="1:4">
      <c r="A739" s="288"/>
      <c r="B739" s="288"/>
      <c r="C739" s="288"/>
      <c r="D739" s="328"/>
    </row>
    <row r="740" spans="1:4">
      <c r="A740" s="288"/>
      <c r="B740" s="288"/>
      <c r="C740" s="288"/>
      <c r="D740" s="328"/>
    </row>
    <row r="741" spans="1:4">
      <c r="A741" s="288"/>
      <c r="B741" s="288"/>
      <c r="C741" s="288"/>
      <c r="D741" s="328"/>
    </row>
    <row r="742" spans="1:4">
      <c r="A742" s="288"/>
      <c r="B742" s="288"/>
      <c r="C742" s="288"/>
      <c r="D742" s="328"/>
    </row>
    <row r="743" spans="1:4">
      <c r="A743" s="288"/>
      <c r="B743" s="288"/>
      <c r="C743" s="288"/>
      <c r="D743" s="328"/>
    </row>
    <row r="744" spans="1:4">
      <c r="A744" s="288"/>
      <c r="B744" s="288"/>
      <c r="C744" s="288"/>
      <c r="D744" s="328"/>
    </row>
    <row r="745" spans="1:4">
      <c r="A745" s="288"/>
      <c r="B745" s="288"/>
      <c r="C745" s="288"/>
      <c r="D745" s="328"/>
    </row>
    <row r="746" spans="1:4">
      <c r="A746" s="288"/>
      <c r="B746" s="288"/>
      <c r="C746" s="288"/>
      <c r="D746" s="328"/>
    </row>
    <row r="747" spans="1:4">
      <c r="A747" s="288"/>
      <c r="B747" s="288"/>
      <c r="C747" s="288"/>
      <c r="D747" s="328"/>
    </row>
    <row r="748" spans="1:4">
      <c r="A748" s="288"/>
      <c r="B748" s="288"/>
      <c r="C748" s="288"/>
      <c r="D748" s="328"/>
    </row>
    <row r="749" spans="1:4">
      <c r="A749" s="288"/>
      <c r="B749" s="288"/>
      <c r="C749" s="288"/>
      <c r="D749" s="328"/>
    </row>
    <row r="750" spans="1:4">
      <c r="A750" s="288"/>
      <c r="B750" s="288"/>
      <c r="C750" s="288"/>
      <c r="D750" s="328"/>
    </row>
    <row r="751" spans="1:4">
      <c r="A751" s="288"/>
      <c r="B751" s="288"/>
      <c r="C751" s="288"/>
      <c r="D751" s="328"/>
    </row>
    <row r="752" spans="1:4">
      <c r="A752" s="288"/>
      <c r="B752" s="288"/>
      <c r="C752" s="288"/>
      <c r="D752" s="328"/>
    </row>
    <row r="753" spans="1:4">
      <c r="A753" s="288"/>
      <c r="B753" s="288"/>
      <c r="C753" s="288"/>
      <c r="D753" s="328"/>
    </row>
    <row r="754" spans="1:4">
      <c r="A754" s="288"/>
      <c r="B754" s="288"/>
      <c r="C754" s="288"/>
      <c r="D754" s="328"/>
    </row>
    <row r="755" spans="1:4">
      <c r="A755" s="288"/>
      <c r="B755" s="288"/>
      <c r="C755" s="288"/>
      <c r="D755" s="328"/>
    </row>
    <row r="756" spans="1:4">
      <c r="A756" s="288"/>
      <c r="B756" s="288"/>
      <c r="C756" s="288"/>
      <c r="D756" s="328"/>
    </row>
    <row r="757" spans="1:4">
      <c r="A757" s="288"/>
      <c r="B757" s="288"/>
      <c r="C757" s="288"/>
      <c r="D757" s="328"/>
    </row>
    <row r="758" spans="1:4">
      <c r="A758" s="288"/>
      <c r="B758" s="288"/>
      <c r="C758" s="288"/>
      <c r="D758" s="328"/>
    </row>
    <row r="759" spans="1:4">
      <c r="A759" s="288"/>
      <c r="B759" s="288"/>
      <c r="C759" s="288"/>
      <c r="D759" s="328"/>
    </row>
    <row r="760" spans="1:4">
      <c r="A760" s="288"/>
      <c r="B760" s="288"/>
      <c r="C760" s="288"/>
      <c r="D760" s="328"/>
    </row>
    <row r="761" spans="1:4">
      <c r="A761" s="288"/>
      <c r="B761" s="288"/>
      <c r="C761" s="288"/>
      <c r="D761" s="328"/>
    </row>
    <row r="762" spans="1:4">
      <c r="A762" s="288"/>
      <c r="B762" s="288"/>
      <c r="C762" s="288"/>
      <c r="D762" s="328"/>
    </row>
    <row r="763" spans="1:4">
      <c r="A763" s="288"/>
      <c r="B763" s="288"/>
      <c r="C763" s="288"/>
      <c r="D763" s="328"/>
    </row>
    <row r="764" spans="1:4">
      <c r="A764" s="288"/>
      <c r="B764" s="288"/>
      <c r="C764" s="288"/>
      <c r="D764" s="328"/>
    </row>
    <row r="765" spans="1:4">
      <c r="A765" s="288"/>
      <c r="B765" s="288"/>
      <c r="C765" s="288"/>
      <c r="D765" s="328"/>
    </row>
    <row r="766" spans="1:4">
      <c r="A766" s="288"/>
      <c r="B766" s="288"/>
      <c r="C766" s="288"/>
      <c r="D766" s="328"/>
    </row>
    <row r="767" spans="1:4">
      <c r="A767" s="288"/>
      <c r="B767" s="288"/>
      <c r="C767" s="288"/>
      <c r="D767" s="328"/>
    </row>
    <row r="768" spans="1:4">
      <c r="A768" s="288"/>
      <c r="B768" s="288"/>
      <c r="C768" s="288"/>
      <c r="D768" s="328"/>
    </row>
    <row r="769" spans="1:4">
      <c r="A769" s="288"/>
      <c r="B769" s="288"/>
      <c r="C769" s="288"/>
      <c r="D769" s="328"/>
    </row>
    <row r="770" spans="1:4">
      <c r="A770" s="288"/>
      <c r="B770" s="288"/>
      <c r="C770" s="288"/>
      <c r="D770" s="328"/>
    </row>
    <row r="771" spans="1:4">
      <c r="A771" s="288"/>
      <c r="B771" s="288"/>
      <c r="C771" s="288"/>
      <c r="D771" s="328"/>
    </row>
    <row r="772" spans="1:4">
      <c r="A772" s="288"/>
      <c r="B772" s="288"/>
      <c r="C772" s="288"/>
      <c r="D772" s="328"/>
    </row>
    <row r="773" spans="1:4">
      <c r="A773" s="288"/>
      <c r="B773" s="288"/>
      <c r="C773" s="288"/>
      <c r="D773" s="328"/>
    </row>
    <row r="774" spans="1:4">
      <c r="A774" s="288"/>
      <c r="B774" s="288"/>
      <c r="C774" s="288"/>
      <c r="D774" s="328"/>
    </row>
    <row r="775" spans="1:4">
      <c r="A775" s="288"/>
      <c r="B775" s="288"/>
      <c r="C775" s="288"/>
      <c r="D775" s="328"/>
    </row>
    <row r="776" spans="1:4">
      <c r="A776" s="288"/>
      <c r="B776" s="288"/>
      <c r="C776" s="288"/>
      <c r="D776" s="328"/>
    </row>
    <row r="777" spans="1:4">
      <c r="A777" s="288"/>
      <c r="B777" s="288"/>
      <c r="C777" s="288"/>
      <c r="D777" s="328"/>
    </row>
    <row r="778" spans="1:4">
      <c r="A778" s="288"/>
      <c r="B778" s="288"/>
      <c r="C778" s="288"/>
      <c r="D778" s="328"/>
    </row>
    <row r="779" spans="1:4">
      <c r="A779" s="288"/>
      <c r="B779" s="288"/>
      <c r="C779" s="288"/>
      <c r="D779" s="328"/>
    </row>
    <row r="780" spans="1:4">
      <c r="A780" s="288"/>
      <c r="B780" s="288"/>
      <c r="C780" s="288"/>
      <c r="D780" s="328"/>
    </row>
    <row r="781" spans="1:4">
      <c r="A781" s="288"/>
      <c r="B781" s="288"/>
      <c r="C781" s="288"/>
      <c r="D781" s="328"/>
    </row>
    <row r="782" spans="1:4">
      <c r="A782" s="288"/>
      <c r="B782" s="288"/>
      <c r="C782" s="288"/>
      <c r="D782" s="328"/>
    </row>
    <row r="783" spans="1:4">
      <c r="A783" s="288"/>
      <c r="B783" s="288"/>
      <c r="C783" s="288"/>
      <c r="D783" s="328"/>
    </row>
    <row r="784" spans="1:4">
      <c r="A784" s="288"/>
      <c r="B784" s="288"/>
      <c r="C784" s="288"/>
      <c r="D784" s="328"/>
    </row>
    <row r="785" spans="1:4">
      <c r="A785" s="288"/>
      <c r="B785" s="288"/>
      <c r="C785" s="288"/>
      <c r="D785" s="328"/>
    </row>
    <row r="786" spans="1:4">
      <c r="A786" s="288"/>
      <c r="B786" s="288"/>
      <c r="C786" s="288"/>
      <c r="D786" s="328"/>
    </row>
    <row r="787" spans="1:4">
      <c r="A787" s="288"/>
      <c r="B787" s="288"/>
      <c r="C787" s="288"/>
      <c r="D787" s="328"/>
    </row>
    <row r="788" spans="1:4">
      <c r="A788" s="288"/>
      <c r="B788" s="288"/>
      <c r="C788" s="288"/>
      <c r="D788" s="328"/>
    </row>
    <row r="789" spans="1:4">
      <c r="A789" s="288"/>
      <c r="B789" s="288"/>
      <c r="C789" s="288"/>
      <c r="D789" s="328"/>
    </row>
    <row r="790" spans="1:4">
      <c r="A790" s="288"/>
      <c r="B790" s="288"/>
      <c r="C790" s="288"/>
      <c r="D790" s="328"/>
    </row>
    <row r="791" spans="1:4">
      <c r="A791" s="288"/>
      <c r="B791" s="288"/>
      <c r="C791" s="288"/>
      <c r="D791" s="328"/>
    </row>
    <row r="792" spans="1:4">
      <c r="A792" s="288"/>
      <c r="B792" s="288"/>
      <c r="C792" s="288"/>
      <c r="D792" s="328"/>
    </row>
    <row r="793" spans="1:4">
      <c r="A793" s="288"/>
      <c r="B793" s="288"/>
      <c r="C793" s="288"/>
      <c r="D793" s="328"/>
    </row>
    <row r="794" spans="1:4">
      <c r="A794" s="288"/>
      <c r="B794" s="288"/>
      <c r="C794" s="288"/>
      <c r="D794" s="328"/>
    </row>
    <row r="795" spans="1:4">
      <c r="A795" s="288"/>
      <c r="B795" s="288"/>
      <c r="C795" s="288"/>
      <c r="D795" s="328"/>
    </row>
    <row r="796" spans="1:4">
      <c r="A796" s="288"/>
      <c r="B796" s="288"/>
      <c r="C796" s="288"/>
      <c r="D796" s="328"/>
    </row>
    <row r="797" spans="1:4">
      <c r="A797" s="288"/>
      <c r="B797" s="288"/>
      <c r="C797" s="288"/>
      <c r="D797" s="328"/>
    </row>
    <row r="798" spans="1:4">
      <c r="A798" s="288"/>
      <c r="B798" s="288"/>
      <c r="C798" s="288"/>
      <c r="D798" s="328"/>
    </row>
    <row r="799" spans="1:4">
      <c r="A799" s="288"/>
      <c r="B799" s="288"/>
      <c r="C799" s="288"/>
      <c r="D799" s="328"/>
    </row>
    <row r="800" spans="1:4">
      <c r="A800" s="288"/>
      <c r="B800" s="288"/>
      <c r="C800" s="288"/>
      <c r="D800" s="328"/>
    </row>
    <row r="801" spans="1:4">
      <c r="A801" s="288"/>
      <c r="B801" s="288"/>
      <c r="C801" s="288"/>
      <c r="D801" s="328"/>
    </row>
    <row r="802" spans="1:4">
      <c r="A802" s="288"/>
      <c r="B802" s="288"/>
      <c r="C802" s="288"/>
      <c r="D802" s="328"/>
    </row>
    <row r="803" spans="1:4">
      <c r="A803" s="288"/>
      <c r="B803" s="288"/>
      <c r="C803" s="288"/>
      <c r="D803" s="328"/>
    </row>
    <row r="804" spans="1:4">
      <c r="A804" s="288"/>
      <c r="B804" s="288"/>
      <c r="C804" s="288"/>
      <c r="D804" s="328"/>
    </row>
    <row r="805" spans="1:4">
      <c r="A805" s="288"/>
      <c r="B805" s="288"/>
      <c r="C805" s="288"/>
      <c r="D805" s="328"/>
    </row>
    <row r="806" spans="1:4">
      <c r="A806" s="288"/>
      <c r="B806" s="288"/>
      <c r="C806" s="288"/>
      <c r="D806" s="328"/>
    </row>
    <row r="807" spans="1:4">
      <c r="A807" s="288"/>
      <c r="B807" s="288"/>
      <c r="C807" s="288"/>
      <c r="D807" s="328"/>
    </row>
    <row r="808" spans="1:4">
      <c r="A808" s="288"/>
      <c r="B808" s="288"/>
      <c r="C808" s="288"/>
      <c r="D808" s="328"/>
    </row>
    <row r="809" spans="1:4">
      <c r="A809" s="288"/>
      <c r="B809" s="288"/>
      <c r="C809" s="288"/>
      <c r="D809" s="328"/>
    </row>
    <row r="810" spans="1:4">
      <c r="A810" s="288"/>
      <c r="B810" s="288"/>
      <c r="C810" s="288"/>
      <c r="D810" s="328"/>
    </row>
    <row r="811" spans="1:4">
      <c r="A811" s="288"/>
      <c r="B811" s="288"/>
      <c r="C811" s="288"/>
      <c r="D811" s="328"/>
    </row>
    <row r="812" spans="1:4">
      <c r="A812" s="288"/>
      <c r="B812" s="288"/>
      <c r="C812" s="288"/>
      <c r="D812" s="328"/>
    </row>
    <row r="813" spans="1:4">
      <c r="A813" s="288"/>
      <c r="B813" s="288"/>
      <c r="C813" s="288"/>
      <c r="D813" s="328"/>
    </row>
    <row r="814" spans="1:4">
      <c r="A814" s="288"/>
      <c r="B814" s="288"/>
      <c r="C814" s="288"/>
      <c r="D814" s="328"/>
    </row>
    <row r="815" spans="1:4">
      <c r="A815" s="288"/>
      <c r="B815" s="288"/>
      <c r="C815" s="288"/>
      <c r="D815" s="328"/>
    </row>
    <row r="816" spans="1:4">
      <c r="A816" s="288"/>
      <c r="B816" s="288"/>
      <c r="C816" s="288"/>
      <c r="D816" s="328"/>
    </row>
    <row r="817" spans="1:4">
      <c r="A817" s="288"/>
      <c r="B817" s="288"/>
      <c r="C817" s="288"/>
      <c r="D817" s="328"/>
    </row>
    <row r="818" spans="1:4">
      <c r="A818" s="288"/>
      <c r="B818" s="288"/>
      <c r="C818" s="288"/>
      <c r="D818" s="328"/>
    </row>
    <row r="819" spans="1:4">
      <c r="A819" s="288"/>
      <c r="B819" s="288"/>
      <c r="C819" s="288"/>
      <c r="D819" s="328"/>
    </row>
    <row r="820" spans="1:4">
      <c r="A820" s="288"/>
      <c r="B820" s="288"/>
      <c r="C820" s="288"/>
      <c r="D820" s="328"/>
    </row>
    <row r="821" spans="1:4">
      <c r="A821" s="288"/>
      <c r="B821" s="288"/>
      <c r="C821" s="288"/>
      <c r="D821" s="328"/>
    </row>
    <row r="822" spans="1:4">
      <c r="A822" s="288"/>
      <c r="B822" s="288"/>
      <c r="C822" s="288"/>
      <c r="D822" s="328"/>
    </row>
    <row r="823" spans="1:4">
      <c r="A823" s="288"/>
      <c r="B823" s="288"/>
      <c r="C823" s="288"/>
      <c r="D823" s="328"/>
    </row>
    <row r="824" spans="1:4">
      <c r="A824" s="288"/>
      <c r="B824" s="288"/>
      <c r="C824" s="288"/>
      <c r="D824" s="328"/>
    </row>
    <row r="825" spans="1:4">
      <c r="A825" s="288"/>
      <c r="B825" s="288"/>
      <c r="C825" s="288"/>
      <c r="D825" s="328"/>
    </row>
    <row r="826" spans="1:4">
      <c r="A826" s="288"/>
      <c r="B826" s="288"/>
      <c r="C826" s="288"/>
      <c r="D826" s="328"/>
    </row>
    <row r="827" spans="1:4">
      <c r="A827" s="288"/>
      <c r="B827" s="288"/>
      <c r="C827" s="288"/>
      <c r="D827" s="328"/>
    </row>
    <row r="828" spans="1:4">
      <c r="A828" s="288"/>
      <c r="B828" s="288"/>
      <c r="C828" s="288"/>
      <c r="D828" s="328"/>
    </row>
    <row r="829" spans="1:4">
      <c r="A829" s="288"/>
      <c r="B829" s="288"/>
      <c r="C829" s="288"/>
      <c r="D829" s="328"/>
    </row>
    <row r="830" spans="1:4">
      <c r="A830" s="288"/>
      <c r="B830" s="288"/>
      <c r="C830" s="288"/>
      <c r="D830" s="328"/>
    </row>
    <row r="831" spans="1:4">
      <c r="A831" s="288"/>
      <c r="B831" s="288"/>
      <c r="C831" s="288"/>
      <c r="D831" s="328"/>
    </row>
    <row r="832" spans="1:4">
      <c r="A832" s="288"/>
      <c r="B832" s="288"/>
      <c r="C832" s="288"/>
      <c r="D832" s="328"/>
    </row>
    <row r="833" spans="1:4">
      <c r="A833" s="288"/>
      <c r="B833" s="288"/>
      <c r="C833" s="288"/>
      <c r="D833" s="328"/>
    </row>
    <row r="834" spans="1:4">
      <c r="A834" s="288"/>
      <c r="B834" s="288"/>
      <c r="C834" s="288"/>
      <c r="D834" s="328"/>
    </row>
    <row r="835" spans="1:4">
      <c r="A835" s="288"/>
      <c r="B835" s="288"/>
      <c r="C835" s="288"/>
      <c r="D835" s="328"/>
    </row>
    <row r="836" spans="1:4">
      <c r="A836" s="288"/>
      <c r="B836" s="288"/>
      <c r="C836" s="288"/>
      <c r="D836" s="328"/>
    </row>
    <row r="837" spans="1:4">
      <c r="A837" s="288"/>
      <c r="B837" s="288"/>
      <c r="C837" s="288"/>
      <c r="D837" s="328"/>
    </row>
    <row r="838" spans="1:4">
      <c r="A838" s="288"/>
      <c r="B838" s="288"/>
      <c r="C838" s="288"/>
      <c r="D838" s="328"/>
    </row>
    <row r="839" spans="1:4">
      <c r="A839" s="288"/>
      <c r="B839" s="288"/>
      <c r="C839" s="288"/>
      <c r="D839" s="328"/>
    </row>
    <row r="840" spans="1:4">
      <c r="A840" s="288"/>
      <c r="B840" s="288"/>
      <c r="C840" s="288"/>
      <c r="D840" s="328"/>
    </row>
    <row r="841" spans="1:4">
      <c r="A841" s="288"/>
      <c r="B841" s="288"/>
      <c r="C841" s="288"/>
      <c r="D841" s="328"/>
    </row>
    <row r="842" spans="1:4">
      <c r="A842" s="288"/>
      <c r="B842" s="288"/>
      <c r="C842" s="288"/>
      <c r="D842" s="328"/>
    </row>
    <row r="843" spans="1:4">
      <c r="A843" s="288"/>
      <c r="B843" s="288"/>
      <c r="C843" s="288"/>
      <c r="D843" s="328"/>
    </row>
    <row r="844" spans="1:4">
      <c r="A844" s="288"/>
      <c r="B844" s="288"/>
      <c r="C844" s="288"/>
      <c r="D844" s="328"/>
    </row>
    <row r="845" spans="1:4">
      <c r="A845" s="288"/>
      <c r="B845" s="288"/>
      <c r="C845" s="288"/>
      <c r="D845" s="328"/>
    </row>
    <row r="846" spans="1:4">
      <c r="A846" s="288"/>
      <c r="B846" s="288"/>
      <c r="C846" s="288"/>
      <c r="D846" s="328"/>
    </row>
    <row r="847" spans="1:4">
      <c r="A847" s="288"/>
      <c r="B847" s="288"/>
      <c r="C847" s="288"/>
      <c r="D847" s="328"/>
    </row>
    <row r="848" spans="1:4">
      <c r="A848" s="288"/>
      <c r="B848" s="288"/>
      <c r="C848" s="288"/>
      <c r="D848" s="328"/>
    </row>
    <row r="849" spans="1:4">
      <c r="A849" s="288"/>
      <c r="B849" s="288"/>
      <c r="C849" s="288"/>
      <c r="D849" s="328"/>
    </row>
    <row r="850" spans="1:4">
      <c r="A850" s="288"/>
      <c r="B850" s="288"/>
      <c r="C850" s="288"/>
      <c r="D850" s="328"/>
    </row>
    <row r="851" spans="1:4">
      <c r="A851" s="288"/>
      <c r="B851" s="288"/>
      <c r="C851" s="288"/>
      <c r="D851" s="328"/>
    </row>
    <row r="852" spans="1:4">
      <c r="A852" s="288"/>
      <c r="B852" s="288"/>
      <c r="C852" s="288"/>
      <c r="D852" s="328"/>
    </row>
    <row r="853" spans="1:4">
      <c r="A853" s="288"/>
      <c r="B853" s="288"/>
      <c r="C853" s="288"/>
      <c r="D853" s="328"/>
    </row>
    <row r="854" spans="1:4">
      <c r="A854" s="288"/>
      <c r="B854" s="288"/>
      <c r="C854" s="288"/>
      <c r="D854" s="328"/>
    </row>
    <row r="855" spans="1:4">
      <c r="A855" s="288"/>
      <c r="B855" s="288"/>
      <c r="C855" s="288"/>
      <c r="D855" s="328"/>
    </row>
    <row r="856" spans="1:4">
      <c r="A856" s="288"/>
      <c r="B856" s="288"/>
      <c r="C856" s="288"/>
      <c r="D856" s="328"/>
    </row>
    <row r="857" spans="1:4">
      <c r="A857" s="288"/>
      <c r="B857" s="288"/>
      <c r="C857" s="288"/>
      <c r="D857" s="328"/>
    </row>
    <row r="858" spans="1:4">
      <c r="A858" s="288"/>
      <c r="B858" s="288"/>
      <c r="C858" s="288"/>
      <c r="D858" s="328"/>
    </row>
    <row r="859" spans="1:4">
      <c r="A859" s="288"/>
      <c r="B859" s="288"/>
      <c r="C859" s="288"/>
      <c r="D859" s="328"/>
    </row>
    <row r="860" spans="1:4">
      <c r="A860" s="288"/>
      <c r="B860" s="288"/>
      <c r="C860" s="288"/>
      <c r="D860" s="328"/>
    </row>
    <row r="861" spans="1:4">
      <c r="A861" s="288"/>
      <c r="B861" s="288"/>
      <c r="C861" s="288"/>
      <c r="D861" s="328"/>
    </row>
    <row r="862" spans="1:4">
      <c r="A862" s="288"/>
      <c r="B862" s="288"/>
      <c r="C862" s="288"/>
      <c r="D862" s="328"/>
    </row>
    <row r="863" spans="1:4">
      <c r="A863" s="288"/>
      <c r="B863" s="288"/>
      <c r="C863" s="288"/>
      <c r="D863" s="328"/>
    </row>
    <row r="864" spans="1:4">
      <c r="A864" s="288"/>
      <c r="B864" s="288"/>
      <c r="C864" s="288"/>
      <c r="D864" s="328"/>
    </row>
    <row r="865" spans="1:4">
      <c r="A865" s="288"/>
      <c r="B865" s="288"/>
      <c r="C865" s="288"/>
      <c r="D865" s="328"/>
    </row>
    <row r="866" spans="1:4">
      <c r="A866" s="288"/>
      <c r="B866" s="288"/>
      <c r="C866" s="288"/>
      <c r="D866" s="328"/>
    </row>
    <row r="867" spans="1:4">
      <c r="A867" s="288"/>
      <c r="B867" s="288"/>
      <c r="C867" s="288"/>
      <c r="D867" s="328"/>
    </row>
    <row r="868" spans="1:4">
      <c r="A868" s="288"/>
      <c r="B868" s="288"/>
      <c r="C868" s="288"/>
      <c r="D868" s="328"/>
    </row>
    <row r="869" spans="1:4">
      <c r="A869" s="288"/>
      <c r="B869" s="288"/>
      <c r="C869" s="288"/>
      <c r="D869" s="328"/>
    </row>
    <row r="870" spans="1:4">
      <c r="A870" s="288"/>
      <c r="B870" s="288"/>
      <c r="C870" s="288"/>
      <c r="D870" s="328"/>
    </row>
    <row r="871" spans="1:4">
      <c r="A871" s="288"/>
      <c r="B871" s="288"/>
      <c r="C871" s="288"/>
      <c r="D871" s="328"/>
    </row>
    <row r="872" spans="1:4">
      <c r="A872" s="288"/>
      <c r="B872" s="288"/>
      <c r="C872" s="288"/>
      <c r="D872" s="328"/>
    </row>
    <row r="873" spans="1:4">
      <c r="A873" s="288"/>
      <c r="B873" s="288"/>
      <c r="C873" s="288"/>
      <c r="D873" s="328"/>
    </row>
    <row r="874" spans="1:4">
      <c r="A874" s="288"/>
      <c r="B874" s="288"/>
      <c r="C874" s="288"/>
      <c r="D874" s="328"/>
    </row>
    <row r="875" spans="1:4">
      <c r="A875" s="288"/>
      <c r="B875" s="288"/>
      <c r="C875" s="288"/>
      <c r="D875" s="328"/>
    </row>
    <row r="876" spans="1:4">
      <c r="A876" s="288"/>
      <c r="B876" s="288"/>
      <c r="C876" s="288"/>
      <c r="D876" s="328"/>
    </row>
    <row r="877" spans="1:4">
      <c r="A877" s="288"/>
      <c r="B877" s="288"/>
      <c r="C877" s="288"/>
      <c r="D877" s="328"/>
    </row>
    <row r="878" spans="1:4">
      <c r="A878" s="288"/>
      <c r="B878" s="288"/>
      <c r="C878" s="288"/>
      <c r="D878" s="328"/>
    </row>
    <row r="879" spans="1:4">
      <c r="A879" s="288"/>
      <c r="B879" s="288"/>
      <c r="C879" s="288"/>
      <c r="D879" s="328"/>
    </row>
    <row r="880" spans="1:4">
      <c r="A880" s="288"/>
      <c r="B880" s="288"/>
      <c r="C880" s="288"/>
      <c r="D880" s="328"/>
    </row>
    <row r="881" spans="1:4">
      <c r="A881" s="288"/>
      <c r="B881" s="288"/>
      <c r="C881" s="288"/>
      <c r="D881" s="328"/>
    </row>
    <row r="882" spans="1:4">
      <c r="A882" s="288"/>
      <c r="B882" s="288"/>
      <c r="C882" s="288"/>
      <c r="D882" s="328"/>
    </row>
    <row r="883" spans="1:4">
      <c r="A883" s="288"/>
      <c r="B883" s="288"/>
      <c r="C883" s="288"/>
      <c r="D883" s="328"/>
    </row>
    <row r="884" spans="1:4">
      <c r="A884" s="288"/>
      <c r="B884" s="288"/>
      <c r="C884" s="288"/>
      <c r="D884" s="328"/>
    </row>
    <row r="885" spans="1:4">
      <c r="A885" s="288"/>
      <c r="B885" s="288"/>
      <c r="C885" s="288"/>
      <c r="D885" s="328"/>
    </row>
    <row r="886" spans="1:4">
      <c r="A886" s="288"/>
      <c r="B886" s="288"/>
      <c r="C886" s="288"/>
      <c r="D886" s="328"/>
    </row>
    <row r="887" spans="1:4">
      <c r="A887" s="288"/>
      <c r="B887" s="288"/>
      <c r="C887" s="288"/>
      <c r="D887" s="328"/>
    </row>
    <row r="888" spans="1:4">
      <c r="A888" s="288"/>
      <c r="B888" s="288"/>
      <c r="C888" s="288"/>
      <c r="D888" s="328"/>
    </row>
    <row r="889" spans="1:4">
      <c r="A889" s="288"/>
      <c r="B889" s="288"/>
      <c r="C889" s="288"/>
      <c r="D889" s="328"/>
    </row>
    <row r="890" spans="1:4">
      <c r="A890" s="288"/>
      <c r="B890" s="288"/>
      <c r="C890" s="288"/>
      <c r="D890" s="328"/>
    </row>
    <row r="891" spans="1:4">
      <c r="A891" s="288"/>
      <c r="B891" s="288"/>
      <c r="C891" s="288"/>
      <c r="D891" s="328"/>
    </row>
    <row r="892" spans="1:4">
      <c r="A892" s="288"/>
      <c r="B892" s="288"/>
      <c r="C892" s="288"/>
      <c r="D892" s="328"/>
    </row>
    <row r="893" spans="1:4">
      <c r="A893" s="288"/>
      <c r="B893" s="288"/>
      <c r="C893" s="288"/>
      <c r="D893" s="328"/>
    </row>
    <row r="894" spans="1:4">
      <c r="A894" s="288"/>
      <c r="B894" s="288"/>
      <c r="C894" s="288"/>
      <c r="D894" s="328"/>
    </row>
    <row r="895" spans="1:4">
      <c r="A895" s="288"/>
      <c r="B895" s="288"/>
      <c r="C895" s="288"/>
      <c r="D895" s="328"/>
    </row>
    <row r="896" spans="1:4">
      <c r="A896" s="288"/>
      <c r="B896" s="288"/>
      <c r="C896" s="288"/>
      <c r="D896" s="328"/>
    </row>
    <row r="897" spans="1:4">
      <c r="A897" s="288"/>
      <c r="B897" s="288"/>
      <c r="C897" s="288"/>
      <c r="D897" s="328"/>
    </row>
    <row r="898" spans="1:4">
      <c r="A898" s="288"/>
      <c r="B898" s="288"/>
      <c r="C898" s="288"/>
      <c r="D898" s="328"/>
    </row>
    <row r="899" spans="1:4">
      <c r="A899" s="288"/>
      <c r="B899" s="288"/>
      <c r="C899" s="288"/>
      <c r="D899" s="328"/>
    </row>
    <row r="900" spans="1:4">
      <c r="A900" s="288"/>
      <c r="B900" s="288"/>
      <c r="C900" s="288"/>
      <c r="D900" s="328"/>
    </row>
    <row r="901" spans="1:4">
      <c r="A901" s="288"/>
      <c r="B901" s="288"/>
      <c r="C901" s="288"/>
      <c r="D901" s="328"/>
    </row>
    <row r="902" spans="1:4">
      <c r="A902" s="288"/>
      <c r="B902" s="288"/>
      <c r="C902" s="288"/>
      <c r="D902" s="328"/>
    </row>
    <row r="903" spans="1:4">
      <c r="A903" s="288"/>
      <c r="B903" s="288"/>
      <c r="C903" s="288"/>
      <c r="D903" s="328"/>
    </row>
    <row r="904" spans="1:4">
      <c r="A904" s="288"/>
      <c r="B904" s="288"/>
      <c r="C904" s="288"/>
      <c r="D904" s="328"/>
    </row>
    <row r="905" spans="1:4">
      <c r="A905" s="288"/>
      <c r="B905" s="288"/>
      <c r="C905" s="288"/>
      <c r="D905" s="328"/>
    </row>
    <row r="906" spans="1:4">
      <c r="A906" s="288"/>
      <c r="B906" s="288"/>
      <c r="C906" s="288"/>
      <c r="D906" s="328"/>
    </row>
    <row r="907" spans="1:4">
      <c r="A907" s="288"/>
      <c r="B907" s="288"/>
      <c r="C907" s="288"/>
      <c r="D907" s="328"/>
    </row>
    <row r="908" spans="1:4">
      <c r="A908" s="288"/>
      <c r="B908" s="288"/>
      <c r="C908" s="288"/>
      <c r="D908" s="328"/>
    </row>
    <row r="909" spans="1:4">
      <c r="A909" s="288"/>
      <c r="B909" s="288"/>
      <c r="C909" s="288"/>
      <c r="D909" s="328"/>
    </row>
    <row r="910" spans="1:4">
      <c r="A910" s="288"/>
      <c r="B910" s="288"/>
      <c r="C910" s="288"/>
      <c r="D910" s="328"/>
    </row>
    <row r="911" spans="1:4">
      <c r="A911" s="288"/>
      <c r="B911" s="288"/>
      <c r="C911" s="288"/>
      <c r="D911" s="328"/>
    </row>
    <row r="912" spans="1:4">
      <c r="A912" s="288"/>
      <c r="B912" s="288"/>
      <c r="C912" s="288"/>
      <c r="D912" s="328"/>
    </row>
    <row r="913" spans="1:4">
      <c r="A913" s="288"/>
      <c r="B913" s="288"/>
      <c r="C913" s="288"/>
      <c r="D913" s="328"/>
    </row>
    <row r="914" spans="1:4">
      <c r="A914" s="288"/>
      <c r="B914" s="288"/>
      <c r="C914" s="288"/>
      <c r="D914" s="328"/>
    </row>
    <row r="915" spans="1:4">
      <c r="A915" s="288"/>
      <c r="B915" s="288"/>
      <c r="C915" s="288"/>
      <c r="D915" s="328"/>
    </row>
    <row r="916" spans="1:4">
      <c r="A916" s="288"/>
      <c r="B916" s="288"/>
      <c r="C916" s="288"/>
      <c r="D916" s="328"/>
    </row>
    <row r="917" spans="1:4">
      <c r="A917" s="288"/>
      <c r="B917" s="288"/>
      <c r="C917" s="288"/>
      <c r="D917" s="328"/>
    </row>
    <row r="918" spans="1:4">
      <c r="A918" s="288"/>
      <c r="B918" s="288"/>
      <c r="C918" s="288"/>
      <c r="D918" s="328"/>
    </row>
    <row r="919" spans="1:4">
      <c r="A919" s="288"/>
      <c r="B919" s="288"/>
      <c r="C919" s="288"/>
      <c r="D919" s="328"/>
    </row>
    <row r="920" spans="1:4">
      <c r="A920" s="288"/>
      <c r="B920" s="288"/>
      <c r="C920" s="288"/>
      <c r="D920" s="328"/>
    </row>
    <row r="921" spans="1:4">
      <c r="A921" s="288"/>
      <c r="B921" s="288"/>
      <c r="C921" s="288"/>
      <c r="D921" s="328"/>
    </row>
    <row r="922" spans="1:4">
      <c r="A922" s="288"/>
      <c r="B922" s="288"/>
      <c r="C922" s="288"/>
      <c r="D922" s="328"/>
    </row>
    <row r="923" spans="1:4">
      <c r="A923" s="288"/>
      <c r="B923" s="288"/>
      <c r="C923" s="288"/>
      <c r="D923" s="328"/>
    </row>
    <row r="924" spans="1:4">
      <c r="A924" s="288"/>
      <c r="B924" s="288"/>
      <c r="C924" s="288"/>
      <c r="D924" s="328"/>
    </row>
    <row r="925" spans="1:4">
      <c r="A925" s="288"/>
      <c r="B925" s="288"/>
      <c r="C925" s="288"/>
      <c r="D925" s="328"/>
    </row>
    <row r="926" spans="1:4">
      <c r="A926" s="288"/>
      <c r="B926" s="288"/>
      <c r="C926" s="288"/>
      <c r="D926" s="328"/>
    </row>
    <row r="927" spans="1:4">
      <c r="A927" s="288"/>
      <c r="B927" s="288"/>
      <c r="C927" s="288"/>
      <c r="D927" s="328"/>
    </row>
    <row r="928" spans="1:4">
      <c r="A928" s="288"/>
      <c r="B928" s="288"/>
      <c r="C928" s="288"/>
      <c r="D928" s="328"/>
    </row>
    <row r="929" spans="1:4">
      <c r="A929" s="288"/>
      <c r="B929" s="288"/>
      <c r="C929" s="288"/>
      <c r="D929" s="328"/>
    </row>
    <row r="930" spans="1:4">
      <c r="A930" s="288"/>
      <c r="B930" s="288"/>
      <c r="C930" s="288"/>
      <c r="D930" s="328"/>
    </row>
    <row r="931" spans="1:4">
      <c r="A931" s="288"/>
      <c r="B931" s="288"/>
      <c r="C931" s="288"/>
      <c r="D931" s="328"/>
    </row>
    <row r="932" spans="1:4">
      <c r="A932" s="288"/>
      <c r="B932" s="288"/>
      <c r="C932" s="288"/>
      <c r="D932" s="328"/>
    </row>
    <row r="933" spans="1:4">
      <c r="A933" s="288"/>
      <c r="B933" s="288"/>
      <c r="C933" s="288"/>
      <c r="D933" s="328"/>
    </row>
    <row r="934" spans="1:4">
      <c r="A934" s="288"/>
      <c r="B934" s="288"/>
      <c r="C934" s="288"/>
      <c r="D934" s="328"/>
    </row>
    <row r="935" spans="1:4">
      <c r="A935" s="288"/>
      <c r="B935" s="288"/>
      <c r="C935" s="288"/>
      <c r="D935" s="328"/>
    </row>
    <row r="936" spans="1:4">
      <c r="A936" s="288"/>
      <c r="B936" s="288"/>
      <c r="C936" s="288"/>
      <c r="D936" s="328"/>
    </row>
    <row r="937" spans="1:4">
      <c r="A937" s="288"/>
      <c r="B937" s="288"/>
      <c r="C937" s="288"/>
      <c r="D937" s="328"/>
    </row>
    <row r="938" spans="1:4">
      <c r="A938" s="288"/>
      <c r="B938" s="288"/>
      <c r="C938" s="288"/>
      <c r="D938" s="328"/>
    </row>
    <row r="939" spans="1:4">
      <c r="A939" s="288"/>
      <c r="B939" s="288"/>
      <c r="C939" s="288"/>
      <c r="D939" s="328"/>
    </row>
    <row r="940" spans="1:4">
      <c r="A940" s="288"/>
      <c r="B940" s="288"/>
      <c r="C940" s="288"/>
      <c r="D940" s="328"/>
    </row>
    <row r="941" spans="1:4">
      <c r="A941" s="288"/>
      <c r="B941" s="288"/>
      <c r="C941" s="288"/>
      <c r="D941" s="328"/>
    </row>
    <row r="942" spans="1:4">
      <c r="A942" s="288"/>
      <c r="B942" s="288"/>
      <c r="C942" s="288"/>
      <c r="D942" s="328"/>
    </row>
    <row r="943" spans="1:4">
      <c r="A943" s="288"/>
      <c r="B943" s="288"/>
      <c r="C943" s="288"/>
      <c r="D943" s="328"/>
    </row>
    <row r="944" spans="1:4">
      <c r="A944" s="288"/>
      <c r="B944" s="288"/>
      <c r="C944" s="288"/>
      <c r="D944" s="328"/>
    </row>
    <row r="945" spans="1:4">
      <c r="A945" s="288"/>
      <c r="B945" s="288"/>
      <c r="C945" s="288"/>
      <c r="D945" s="328"/>
    </row>
    <row r="946" spans="1:4">
      <c r="A946" s="288"/>
      <c r="B946" s="288"/>
      <c r="C946" s="288"/>
      <c r="D946" s="328"/>
    </row>
    <row r="947" spans="1:4">
      <c r="A947" s="288"/>
      <c r="B947" s="288"/>
      <c r="C947" s="288"/>
      <c r="D947" s="328"/>
    </row>
    <row r="948" spans="1:4">
      <c r="A948" s="288"/>
      <c r="B948" s="288"/>
      <c r="C948" s="288"/>
      <c r="D948" s="328"/>
    </row>
    <row r="949" spans="1:4">
      <c r="A949" s="288"/>
      <c r="B949" s="288"/>
      <c r="C949" s="288"/>
      <c r="D949" s="328"/>
    </row>
    <row r="950" spans="1:4">
      <c r="A950" s="288"/>
      <c r="B950" s="288"/>
      <c r="C950" s="288"/>
      <c r="D950" s="328"/>
    </row>
    <row r="951" spans="1:4">
      <c r="A951" s="288"/>
      <c r="B951" s="288"/>
      <c r="C951" s="288"/>
      <c r="D951" s="328"/>
    </row>
    <row r="952" spans="1:4">
      <c r="A952" s="288"/>
      <c r="B952" s="288"/>
      <c r="C952" s="288"/>
      <c r="D952" s="328"/>
    </row>
    <row r="953" spans="1:4">
      <c r="A953" s="288"/>
      <c r="B953" s="288"/>
      <c r="C953" s="288"/>
      <c r="D953" s="328"/>
    </row>
    <row r="954" spans="1:4">
      <c r="A954" s="288"/>
      <c r="B954" s="288"/>
      <c r="C954" s="288"/>
      <c r="D954" s="328"/>
    </row>
    <row r="955" spans="1:4">
      <c r="A955" s="288"/>
      <c r="B955" s="288"/>
      <c r="C955" s="288"/>
      <c r="D955" s="328"/>
    </row>
    <row r="956" spans="1:4">
      <c r="A956" s="288"/>
      <c r="B956" s="288"/>
      <c r="C956" s="288"/>
      <c r="D956" s="328"/>
    </row>
    <row r="957" spans="1:4">
      <c r="A957" s="288"/>
      <c r="B957" s="288"/>
      <c r="C957" s="288"/>
      <c r="D957" s="328"/>
    </row>
    <row r="958" spans="1:4">
      <c r="A958" s="288"/>
      <c r="B958" s="288"/>
      <c r="C958" s="288"/>
      <c r="D958" s="328"/>
    </row>
    <row r="959" spans="1:4">
      <c r="A959" s="288"/>
      <c r="B959" s="288"/>
      <c r="C959" s="288"/>
      <c r="D959" s="328"/>
    </row>
    <row r="960" spans="1:4">
      <c r="A960" s="288"/>
      <c r="B960" s="288"/>
      <c r="C960" s="288"/>
      <c r="D960" s="328"/>
    </row>
    <row r="961" spans="1:4">
      <c r="A961" s="288"/>
      <c r="B961" s="288"/>
      <c r="C961" s="288"/>
      <c r="D961" s="328"/>
    </row>
    <row r="962" spans="1:4">
      <c r="A962" s="288"/>
      <c r="B962" s="288"/>
      <c r="C962" s="288"/>
      <c r="D962" s="328"/>
    </row>
    <row r="963" spans="1:4">
      <c r="A963" s="288"/>
      <c r="B963" s="288"/>
      <c r="C963" s="288"/>
      <c r="D963" s="328"/>
    </row>
    <row r="964" spans="1:4">
      <c r="A964" s="288"/>
      <c r="B964" s="288"/>
      <c r="C964" s="288"/>
      <c r="D964" s="328"/>
    </row>
    <row r="965" spans="1:4">
      <c r="A965" s="288"/>
      <c r="B965" s="288"/>
      <c r="C965" s="288"/>
      <c r="D965" s="328"/>
    </row>
    <row r="966" spans="1:4">
      <c r="A966" s="288"/>
      <c r="B966" s="288"/>
      <c r="C966" s="288"/>
      <c r="D966" s="328"/>
    </row>
    <row r="967" spans="1:4">
      <c r="A967" s="288"/>
      <c r="B967" s="288"/>
      <c r="C967" s="288"/>
      <c r="D967" s="328"/>
    </row>
    <row r="968" spans="1:4">
      <c r="A968" s="288"/>
      <c r="B968" s="288"/>
      <c r="C968" s="288"/>
      <c r="D968" s="328"/>
    </row>
    <row r="969" spans="1:4">
      <c r="A969" s="288"/>
      <c r="B969" s="288"/>
      <c r="C969" s="288"/>
      <c r="D969" s="328"/>
    </row>
    <row r="970" spans="1:4">
      <c r="A970" s="288"/>
      <c r="B970" s="288"/>
      <c r="C970" s="288"/>
      <c r="D970" s="328"/>
    </row>
    <row r="971" spans="1:4">
      <c r="A971" s="288"/>
      <c r="B971" s="288"/>
      <c r="C971" s="288"/>
      <c r="D971" s="328"/>
    </row>
    <row r="972" spans="1:4">
      <c r="A972" s="288"/>
      <c r="B972" s="288"/>
      <c r="C972" s="288"/>
      <c r="D972" s="328"/>
    </row>
    <row r="973" spans="1:4">
      <c r="A973" s="288"/>
      <c r="B973" s="288"/>
      <c r="C973" s="288"/>
      <c r="D973" s="328"/>
    </row>
    <row r="974" spans="1:4">
      <c r="A974" s="288"/>
      <c r="B974" s="288"/>
      <c r="C974" s="288"/>
      <c r="D974" s="328"/>
    </row>
    <row r="975" spans="1:4">
      <c r="A975" s="288"/>
      <c r="B975" s="288"/>
      <c r="C975" s="288"/>
      <c r="D975" s="328"/>
    </row>
    <row r="976" spans="1:4">
      <c r="A976" s="288"/>
      <c r="B976" s="288"/>
      <c r="C976" s="288"/>
      <c r="D976" s="328"/>
    </row>
    <row r="977" spans="1:4">
      <c r="A977" s="288"/>
      <c r="B977" s="288"/>
      <c r="C977" s="288"/>
      <c r="D977" s="328"/>
    </row>
    <row r="978" spans="1:4">
      <c r="A978" s="288"/>
      <c r="B978" s="288"/>
      <c r="C978" s="288"/>
      <c r="D978" s="328"/>
    </row>
    <row r="979" spans="1:4">
      <c r="A979" s="288"/>
      <c r="B979" s="288"/>
      <c r="C979" s="288"/>
      <c r="D979" s="328"/>
    </row>
    <row r="980" spans="1:4">
      <c r="A980" s="288"/>
      <c r="B980" s="288"/>
      <c r="C980" s="288"/>
      <c r="D980" s="328"/>
    </row>
    <row r="981" spans="1:4">
      <c r="A981" s="288"/>
      <c r="B981" s="288"/>
      <c r="C981" s="288"/>
      <c r="D981" s="328"/>
    </row>
    <row r="982" spans="1:4">
      <c r="A982" s="288"/>
      <c r="B982" s="288"/>
      <c r="C982" s="288"/>
      <c r="D982" s="328"/>
    </row>
    <row r="983" spans="1:4">
      <c r="A983" s="288"/>
      <c r="B983" s="288"/>
      <c r="C983" s="288"/>
      <c r="D983" s="328"/>
    </row>
    <row r="984" spans="1:4">
      <c r="A984" s="288"/>
      <c r="B984" s="288"/>
      <c r="C984" s="288"/>
      <c r="D984" s="328"/>
    </row>
    <row r="985" spans="1:4">
      <c r="A985" s="288"/>
      <c r="B985" s="288"/>
      <c r="C985" s="288"/>
      <c r="D985" s="328"/>
    </row>
    <row r="986" spans="1:4">
      <c r="A986" s="288"/>
      <c r="B986" s="288"/>
      <c r="C986" s="288"/>
      <c r="D986" s="328"/>
    </row>
    <row r="987" spans="1:4">
      <c r="A987" s="288"/>
      <c r="B987" s="288"/>
      <c r="C987" s="288"/>
      <c r="D987" s="328"/>
    </row>
    <row r="988" spans="1:4">
      <c r="A988" s="288"/>
      <c r="B988" s="288"/>
      <c r="C988" s="288"/>
      <c r="D988" s="328"/>
    </row>
    <row r="989" spans="1:4">
      <c r="A989" s="288"/>
      <c r="B989" s="288"/>
      <c r="C989" s="288"/>
      <c r="D989" s="328"/>
    </row>
    <row r="990" spans="1:4">
      <c r="A990" s="288"/>
      <c r="B990" s="288"/>
      <c r="C990" s="288"/>
      <c r="D990" s="328"/>
    </row>
    <row r="991" spans="1:4">
      <c r="A991" s="288"/>
      <c r="B991" s="288"/>
      <c r="C991" s="288"/>
      <c r="D991" s="328"/>
    </row>
    <row r="992" spans="1:4">
      <c r="A992" s="288"/>
      <c r="B992" s="288"/>
      <c r="C992" s="288"/>
      <c r="D992" s="328"/>
    </row>
    <row r="993" spans="1:4">
      <c r="A993" s="288"/>
      <c r="B993" s="288"/>
      <c r="C993" s="288"/>
      <c r="D993" s="328"/>
    </row>
    <row r="994" spans="1:4">
      <c r="A994" s="288"/>
      <c r="B994" s="288"/>
      <c r="C994" s="288"/>
      <c r="D994" s="328"/>
    </row>
    <row r="995" spans="1:4">
      <c r="A995" s="288"/>
      <c r="B995" s="288"/>
      <c r="C995" s="288"/>
      <c r="D995" s="328"/>
    </row>
    <row r="996" spans="1:4">
      <c r="A996" s="288"/>
      <c r="B996" s="288"/>
      <c r="C996" s="288"/>
      <c r="D996" s="328"/>
    </row>
    <row r="997" spans="1:4">
      <c r="A997" s="288"/>
      <c r="B997" s="288"/>
      <c r="C997" s="288"/>
      <c r="D997" s="328"/>
    </row>
    <row r="998" spans="1:4">
      <c r="A998" s="288"/>
      <c r="B998" s="288"/>
      <c r="C998" s="288"/>
      <c r="D998" s="328"/>
    </row>
    <row r="999" spans="1:4">
      <c r="A999" s="288"/>
      <c r="B999" s="288"/>
      <c r="C999" s="288"/>
      <c r="D999" s="328"/>
    </row>
    <row r="1000" spans="1:4">
      <c r="A1000" s="288"/>
      <c r="B1000" s="288"/>
      <c r="C1000" s="288"/>
      <c r="D1000" s="328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6"/>
  <sheetViews>
    <sheetView workbookViewId="0"/>
  </sheetViews>
  <sheetFormatPr defaultColWidth="11.25" defaultRowHeight="15" customHeight="1"/>
  <cols>
    <col min="1" max="1" width="14.875" customWidth="1"/>
    <col min="3" max="3" width="12.75" customWidth="1"/>
  </cols>
  <sheetData>
    <row r="1" spans="1:13">
      <c r="A1" s="336" t="s">
        <v>0</v>
      </c>
      <c r="B1" s="336" t="s">
        <v>834</v>
      </c>
      <c r="C1" s="336" t="s">
        <v>835</v>
      </c>
      <c r="D1" s="336" t="s">
        <v>836</v>
      </c>
      <c r="E1" s="337" t="s">
        <v>837</v>
      </c>
      <c r="F1" s="337"/>
      <c r="G1" s="336"/>
      <c r="H1" s="338" t="s">
        <v>838</v>
      </c>
      <c r="I1" s="336" t="s">
        <v>839</v>
      </c>
      <c r="J1" s="338" t="s">
        <v>840</v>
      </c>
      <c r="K1" s="331" t="s">
        <v>841</v>
      </c>
      <c r="L1" s="331" t="s">
        <v>842</v>
      </c>
      <c r="M1" s="339" t="s">
        <v>843</v>
      </c>
    </row>
    <row r="2" spans="1:13">
      <c r="A2" s="331" t="s">
        <v>844</v>
      </c>
      <c r="B2" s="331">
        <v>1</v>
      </c>
      <c r="C2" s="331">
        <v>921</v>
      </c>
      <c r="D2" s="331" t="s">
        <v>845</v>
      </c>
      <c r="E2" s="331">
        <v>0</v>
      </c>
      <c r="F2" s="331">
        <v>0</v>
      </c>
      <c r="G2" s="331">
        <v>0</v>
      </c>
      <c r="H2" s="340">
        <v>45421.583298611113</v>
      </c>
      <c r="I2" s="331">
        <v>2.1070000000000002</v>
      </c>
      <c r="J2" s="331">
        <v>110.41</v>
      </c>
      <c r="K2" s="331">
        <v>1</v>
      </c>
      <c r="L2" s="331">
        <v>2.1070000000000002</v>
      </c>
      <c r="M2" s="341">
        <v>2.1070000000000002</v>
      </c>
    </row>
    <row r="3" spans="1:13">
      <c r="A3" s="331" t="s">
        <v>846</v>
      </c>
      <c r="B3" s="331">
        <v>2</v>
      </c>
      <c r="C3" s="331">
        <v>921</v>
      </c>
      <c r="D3" s="331" t="s">
        <v>847</v>
      </c>
      <c r="E3" s="331">
        <v>0</v>
      </c>
      <c r="F3" s="331">
        <v>0</v>
      </c>
      <c r="G3" s="331">
        <v>0</v>
      </c>
      <c r="H3" s="340">
        <v>45421.584224537037</v>
      </c>
      <c r="I3" s="331">
        <v>2.0819999999999999</v>
      </c>
      <c r="J3" s="331">
        <v>109.18</v>
      </c>
      <c r="K3" s="331">
        <v>1</v>
      </c>
      <c r="L3" s="331">
        <v>2.0819999999999999</v>
      </c>
      <c r="M3" s="341">
        <v>2.0819999999999999</v>
      </c>
    </row>
    <row r="4" spans="1:13">
      <c r="A4" s="331">
        <v>2.2200000000000002</v>
      </c>
      <c r="B4" s="331">
        <v>3</v>
      </c>
      <c r="C4" s="331">
        <v>921</v>
      </c>
      <c r="D4" s="331" t="s">
        <v>848</v>
      </c>
      <c r="E4" s="331">
        <v>0</v>
      </c>
      <c r="F4" s="331">
        <v>0</v>
      </c>
      <c r="G4" s="331">
        <v>0</v>
      </c>
      <c r="H4" s="340">
        <v>45421.585150462961</v>
      </c>
      <c r="I4" s="331">
        <v>2.0880000000000001</v>
      </c>
      <c r="J4" s="331">
        <v>109.5</v>
      </c>
      <c r="K4" s="331">
        <v>1</v>
      </c>
      <c r="L4" s="331">
        <v>2.0880000000000001</v>
      </c>
      <c r="M4" s="341">
        <v>2.0880000000000001</v>
      </c>
    </row>
    <row r="5" spans="1:13">
      <c r="A5" s="331">
        <v>1.66</v>
      </c>
      <c r="B5" s="331">
        <v>4</v>
      </c>
      <c r="C5" s="331">
        <v>901</v>
      </c>
      <c r="D5" s="331" t="s">
        <v>848</v>
      </c>
      <c r="E5" s="331">
        <v>0</v>
      </c>
      <c r="F5" s="331">
        <v>0</v>
      </c>
      <c r="G5" s="331">
        <v>0</v>
      </c>
      <c r="H5" s="340">
        <v>45421.586076388892</v>
      </c>
      <c r="I5" s="331">
        <v>1.841</v>
      </c>
      <c r="J5" s="331">
        <v>97.6</v>
      </c>
      <c r="K5" s="331">
        <v>1</v>
      </c>
      <c r="L5" s="331">
        <v>1.841</v>
      </c>
      <c r="M5" s="341">
        <v>1.841</v>
      </c>
    </row>
    <row r="6" spans="1:13">
      <c r="A6" s="331">
        <v>1.1100000000000001</v>
      </c>
      <c r="B6" s="331">
        <v>5</v>
      </c>
      <c r="C6" s="331">
        <v>902</v>
      </c>
      <c r="D6" s="331" t="s">
        <v>848</v>
      </c>
      <c r="E6" s="331">
        <v>0</v>
      </c>
      <c r="F6" s="331">
        <v>0</v>
      </c>
      <c r="G6" s="331">
        <v>0</v>
      </c>
      <c r="H6" s="340">
        <v>45421.587002314816</v>
      </c>
      <c r="I6" s="331">
        <v>1.1100000000000001</v>
      </c>
      <c r="J6" s="331">
        <v>62.42</v>
      </c>
      <c r="K6" s="331">
        <v>1</v>
      </c>
      <c r="L6" s="331">
        <v>1.1100000000000001</v>
      </c>
      <c r="M6" s="341">
        <v>1.1100000000000001</v>
      </c>
    </row>
    <row r="7" spans="1:13">
      <c r="A7" s="331">
        <v>0.55000000000000004</v>
      </c>
      <c r="B7" s="331">
        <v>6</v>
      </c>
      <c r="C7" s="331">
        <v>903</v>
      </c>
      <c r="D7" s="331" t="s">
        <v>848</v>
      </c>
      <c r="E7" s="331">
        <v>0</v>
      </c>
      <c r="F7" s="331">
        <v>0</v>
      </c>
      <c r="G7" s="331">
        <v>0</v>
      </c>
      <c r="H7" s="340">
        <v>45421.58792824074</v>
      </c>
      <c r="I7" s="331">
        <v>0.53700000000000003</v>
      </c>
      <c r="J7" s="331">
        <v>34.86</v>
      </c>
      <c r="K7" s="331">
        <v>1</v>
      </c>
      <c r="L7" s="331">
        <v>0.53700000000000003</v>
      </c>
      <c r="M7" s="341">
        <v>0.53700000000000003</v>
      </c>
    </row>
    <row r="8" spans="1:13">
      <c r="A8" s="331">
        <v>0.22</v>
      </c>
      <c r="B8" s="331">
        <v>7</v>
      </c>
      <c r="C8" s="331">
        <v>904</v>
      </c>
      <c r="D8" s="331" t="s">
        <v>848</v>
      </c>
      <c r="E8" s="331">
        <v>0</v>
      </c>
      <c r="F8" s="331">
        <v>0</v>
      </c>
      <c r="G8" s="331">
        <v>0</v>
      </c>
      <c r="H8" s="340">
        <v>45421.588854166665</v>
      </c>
      <c r="I8" s="331">
        <v>0.218</v>
      </c>
      <c r="J8" s="331">
        <v>19.52</v>
      </c>
      <c r="K8" s="331">
        <v>1</v>
      </c>
      <c r="L8" s="331">
        <v>0.218</v>
      </c>
      <c r="M8" s="341">
        <v>0.218</v>
      </c>
    </row>
    <row r="9" spans="1:13">
      <c r="A9" s="331" t="s">
        <v>81</v>
      </c>
      <c r="B9" s="331">
        <v>8</v>
      </c>
      <c r="C9" s="331">
        <v>905</v>
      </c>
      <c r="D9" s="331" t="s">
        <v>848</v>
      </c>
      <c r="E9" s="331">
        <v>0</v>
      </c>
      <c r="F9" s="331">
        <v>0</v>
      </c>
      <c r="G9" s="331">
        <v>0</v>
      </c>
      <c r="H9" s="340">
        <v>45421.589780092596</v>
      </c>
      <c r="I9" s="331">
        <v>-3.3000000000000002E-2</v>
      </c>
      <c r="J9" s="331">
        <v>7.45</v>
      </c>
      <c r="K9" s="331">
        <v>1</v>
      </c>
      <c r="L9" s="331">
        <v>-3.3000000000000002E-2</v>
      </c>
      <c r="M9" s="341" t="s">
        <v>849</v>
      </c>
    </row>
    <row r="10" spans="1:13">
      <c r="A10" s="331" t="s">
        <v>850</v>
      </c>
      <c r="B10" s="331">
        <v>9</v>
      </c>
      <c r="C10" s="331">
        <v>0</v>
      </c>
      <c r="D10" s="331" t="s">
        <v>851</v>
      </c>
      <c r="E10" s="331">
        <v>0</v>
      </c>
      <c r="F10" s="331">
        <v>0</v>
      </c>
      <c r="G10" s="331">
        <v>0</v>
      </c>
      <c r="H10" s="340">
        <v>45421.59070601852</v>
      </c>
      <c r="I10" s="331">
        <v>-0.188</v>
      </c>
      <c r="J10" s="331">
        <v>0</v>
      </c>
      <c r="K10" s="331">
        <v>1</v>
      </c>
      <c r="L10" s="331">
        <v>-0.188</v>
      </c>
      <c r="M10" s="341" t="s">
        <v>849</v>
      </c>
    </row>
    <row r="11" spans="1:13">
      <c r="A11" s="331" t="s">
        <v>852</v>
      </c>
      <c r="B11" s="331">
        <v>10</v>
      </c>
      <c r="C11" s="331">
        <v>921</v>
      </c>
      <c r="D11" s="331" t="s">
        <v>853</v>
      </c>
      <c r="E11" s="331">
        <v>0</v>
      </c>
      <c r="F11" s="331">
        <v>1</v>
      </c>
      <c r="G11" s="331">
        <v>1</v>
      </c>
      <c r="H11" s="340">
        <v>45421.5934837963</v>
      </c>
      <c r="I11" s="331">
        <v>2.0830000000000002</v>
      </c>
      <c r="J11" s="331">
        <v>109.26</v>
      </c>
      <c r="K11" s="331">
        <v>1</v>
      </c>
      <c r="L11" s="331">
        <v>2.0830000000000002</v>
      </c>
      <c r="M11" s="341">
        <v>2.0830000000000002</v>
      </c>
    </row>
    <row r="12" spans="1:13">
      <c r="A12" s="331" t="s">
        <v>854</v>
      </c>
      <c r="B12" s="331">
        <v>11</v>
      </c>
      <c r="C12" s="331">
        <v>904</v>
      </c>
      <c r="D12" s="331" t="s">
        <v>855</v>
      </c>
      <c r="E12" s="331">
        <v>0</v>
      </c>
      <c r="F12" s="331">
        <v>1</v>
      </c>
      <c r="G12" s="331">
        <v>2</v>
      </c>
      <c r="H12" s="340">
        <v>45421.594409722224</v>
      </c>
      <c r="I12" s="331">
        <v>0.24299999999999999</v>
      </c>
      <c r="J12" s="331">
        <v>20.74</v>
      </c>
      <c r="K12" s="331">
        <v>1</v>
      </c>
      <c r="L12" s="331">
        <v>0.24299999999999999</v>
      </c>
      <c r="M12" s="341">
        <v>0.24299999999999999</v>
      </c>
    </row>
    <row r="13" spans="1:13">
      <c r="A13" s="331" t="s">
        <v>854</v>
      </c>
      <c r="B13" s="331">
        <v>12</v>
      </c>
      <c r="C13" s="331">
        <v>904</v>
      </c>
      <c r="D13" s="331" t="s">
        <v>855</v>
      </c>
      <c r="E13" s="331">
        <v>0</v>
      </c>
      <c r="F13" s="331">
        <v>1</v>
      </c>
      <c r="G13" s="331">
        <v>3</v>
      </c>
      <c r="H13" s="340">
        <v>45421.595335648148</v>
      </c>
      <c r="I13" s="331">
        <v>0.24299999999999999</v>
      </c>
      <c r="J13" s="331">
        <v>20.75</v>
      </c>
      <c r="K13" s="331">
        <v>1</v>
      </c>
      <c r="L13" s="331">
        <v>0.24299999999999999</v>
      </c>
      <c r="M13" s="341">
        <v>0.24299999999999999</v>
      </c>
    </row>
    <row r="14" spans="1:13">
      <c r="A14" s="331" t="s">
        <v>81</v>
      </c>
      <c r="B14" s="331">
        <v>13</v>
      </c>
      <c r="C14" s="331">
        <v>905</v>
      </c>
      <c r="D14" s="331" t="s">
        <v>856</v>
      </c>
      <c r="E14" s="331">
        <v>0</v>
      </c>
      <c r="F14" s="331">
        <v>0</v>
      </c>
      <c r="G14" s="331">
        <v>1</v>
      </c>
      <c r="H14" s="340">
        <v>45421.596261574072</v>
      </c>
      <c r="I14" s="331">
        <v>-2.8000000000000001E-2</v>
      </c>
      <c r="J14" s="331">
        <v>7.7</v>
      </c>
      <c r="K14" s="331">
        <v>1</v>
      </c>
      <c r="L14" s="331">
        <v>-2.8000000000000001E-2</v>
      </c>
      <c r="M14" s="341" t="s">
        <v>849</v>
      </c>
    </row>
    <row r="15" spans="1:13">
      <c r="A15" s="331" t="s">
        <v>857</v>
      </c>
      <c r="B15" s="331">
        <v>14</v>
      </c>
      <c r="C15" s="331">
        <v>906</v>
      </c>
      <c r="D15" s="331" t="s">
        <v>858</v>
      </c>
      <c r="E15" s="331">
        <v>0</v>
      </c>
      <c r="F15" s="331">
        <v>0</v>
      </c>
      <c r="G15" s="331">
        <v>2</v>
      </c>
      <c r="H15" s="340">
        <v>45421.597187500003</v>
      </c>
      <c r="I15" s="331">
        <v>1.0089999999999999</v>
      </c>
      <c r="J15" s="331">
        <v>57.58</v>
      </c>
      <c r="K15" s="331">
        <v>1</v>
      </c>
      <c r="L15" s="331">
        <v>1.0089999999999999</v>
      </c>
      <c r="M15" s="341">
        <v>1.0089999999999999</v>
      </c>
    </row>
    <row r="16" spans="1:13">
      <c r="A16" s="331" t="s">
        <v>859</v>
      </c>
      <c r="B16" s="331">
        <v>15</v>
      </c>
      <c r="C16" s="331">
        <v>907</v>
      </c>
      <c r="D16" s="331" t="s">
        <v>860</v>
      </c>
      <c r="E16" s="331">
        <v>0</v>
      </c>
      <c r="F16" s="331">
        <v>0</v>
      </c>
      <c r="G16" s="331">
        <v>0</v>
      </c>
      <c r="H16" s="340">
        <v>45421.598113425927</v>
      </c>
      <c r="I16" s="331">
        <v>1.6379999999999999</v>
      </c>
      <c r="J16" s="331">
        <v>87.85</v>
      </c>
      <c r="K16" s="331">
        <v>1</v>
      </c>
      <c r="L16" s="331">
        <v>1.6379999999999999</v>
      </c>
      <c r="M16" s="341">
        <v>1.6379999999999999</v>
      </c>
    </row>
    <row r="17" spans="1:13">
      <c r="A17" s="331">
        <v>387</v>
      </c>
      <c r="B17" s="331">
        <v>16</v>
      </c>
      <c r="C17" s="331">
        <v>1</v>
      </c>
      <c r="D17" s="331" t="s">
        <v>856</v>
      </c>
      <c r="E17" s="331">
        <v>0</v>
      </c>
      <c r="F17" s="331">
        <v>0</v>
      </c>
      <c r="G17" s="331">
        <v>0</v>
      </c>
      <c r="H17" s="340">
        <v>45421.599039351851</v>
      </c>
      <c r="I17" s="331">
        <v>9.8000000000000004E-2</v>
      </c>
      <c r="J17" s="331">
        <v>13.76</v>
      </c>
      <c r="K17" s="331">
        <v>1</v>
      </c>
      <c r="L17" s="331">
        <v>9.8000000000000004E-2</v>
      </c>
      <c r="M17" s="341">
        <v>9.8000000000000004E-2</v>
      </c>
    </row>
    <row r="18" spans="1:13">
      <c r="A18" s="331">
        <v>530</v>
      </c>
      <c r="B18" s="331">
        <v>17</v>
      </c>
      <c r="C18" s="331">
        <v>2</v>
      </c>
      <c r="D18" s="331" t="s">
        <v>856</v>
      </c>
      <c r="E18" s="331">
        <v>0</v>
      </c>
      <c r="F18" s="331">
        <v>0</v>
      </c>
      <c r="G18" s="331">
        <v>0</v>
      </c>
      <c r="H18" s="340">
        <v>45421.599965277775</v>
      </c>
      <c r="I18" s="331">
        <v>0.107</v>
      </c>
      <c r="J18" s="331">
        <v>14.21</v>
      </c>
      <c r="K18" s="331">
        <v>1</v>
      </c>
      <c r="L18" s="331">
        <v>0.107</v>
      </c>
      <c r="M18" s="341">
        <v>0.107</v>
      </c>
    </row>
    <row r="19" spans="1:13">
      <c r="A19" s="331">
        <v>608</v>
      </c>
      <c r="B19" s="331">
        <v>18</v>
      </c>
      <c r="C19" s="331">
        <v>3</v>
      </c>
      <c r="D19" s="331" t="s">
        <v>856</v>
      </c>
      <c r="E19" s="331">
        <v>0</v>
      </c>
      <c r="F19" s="331">
        <v>0</v>
      </c>
      <c r="G19" s="331">
        <v>0</v>
      </c>
      <c r="H19" s="340">
        <v>45421.600891203707</v>
      </c>
      <c r="I19" s="331">
        <v>4.1000000000000002E-2</v>
      </c>
      <c r="J19" s="331">
        <v>11.02</v>
      </c>
      <c r="K19" s="331">
        <v>1</v>
      </c>
      <c r="L19" s="331">
        <v>4.1000000000000002E-2</v>
      </c>
      <c r="M19" s="341" t="s">
        <v>849</v>
      </c>
    </row>
    <row r="20" spans="1:13">
      <c r="A20" s="331">
        <v>426</v>
      </c>
      <c r="B20" s="331">
        <v>19</v>
      </c>
      <c r="C20" s="331">
        <v>4</v>
      </c>
      <c r="D20" s="331" t="s">
        <v>856</v>
      </c>
      <c r="E20" s="331">
        <v>0</v>
      </c>
      <c r="F20" s="331">
        <v>0</v>
      </c>
      <c r="G20" s="331">
        <v>0</v>
      </c>
      <c r="H20" s="340">
        <v>45421.601817129631</v>
      </c>
      <c r="I20" s="331">
        <v>0.128</v>
      </c>
      <c r="J20" s="331">
        <v>15.2</v>
      </c>
      <c r="K20" s="331">
        <v>1</v>
      </c>
      <c r="L20" s="331">
        <v>0.128</v>
      </c>
      <c r="M20" s="341">
        <v>0.128</v>
      </c>
    </row>
    <row r="21" spans="1:13">
      <c r="A21" s="342">
        <v>517</v>
      </c>
      <c r="B21" s="342">
        <v>20</v>
      </c>
      <c r="C21" s="343">
        <v>5</v>
      </c>
      <c r="D21" s="342" t="s">
        <v>856</v>
      </c>
      <c r="E21" s="342">
        <v>0</v>
      </c>
      <c r="F21" s="342">
        <v>0</v>
      </c>
      <c r="G21" s="344">
        <v>1</v>
      </c>
      <c r="H21" s="345">
        <v>45421.602743055555</v>
      </c>
      <c r="I21" s="342">
        <v>-6.4000000000000001E-2</v>
      </c>
      <c r="J21" s="343">
        <v>5.98</v>
      </c>
      <c r="K21" s="331">
        <v>1</v>
      </c>
      <c r="L21" s="331">
        <v>-6.4000000000000001E-2</v>
      </c>
      <c r="M21" s="341" t="s">
        <v>849</v>
      </c>
    </row>
    <row r="22" spans="1:13">
      <c r="A22" s="342" t="s">
        <v>861</v>
      </c>
      <c r="B22" s="342">
        <v>21</v>
      </c>
      <c r="C22" s="343">
        <v>6</v>
      </c>
      <c r="D22" s="342" t="s">
        <v>858</v>
      </c>
      <c r="E22" s="342">
        <v>0</v>
      </c>
      <c r="F22" s="342">
        <v>0</v>
      </c>
      <c r="G22" s="344">
        <v>2</v>
      </c>
      <c r="H22" s="345">
        <v>45421.603668981479</v>
      </c>
      <c r="I22" s="342">
        <v>1.117</v>
      </c>
      <c r="J22" s="343">
        <v>62.75</v>
      </c>
      <c r="K22" s="331">
        <v>1</v>
      </c>
      <c r="L22" s="331">
        <v>1.117</v>
      </c>
      <c r="M22" s="341">
        <v>1.117</v>
      </c>
    </row>
    <row r="23" spans="1:13">
      <c r="A23" s="342">
        <v>621</v>
      </c>
      <c r="B23" s="342">
        <v>22</v>
      </c>
      <c r="C23" s="343">
        <v>7</v>
      </c>
      <c r="D23" s="342" t="s">
        <v>856</v>
      </c>
      <c r="E23" s="342">
        <v>0</v>
      </c>
      <c r="F23" s="342">
        <v>0</v>
      </c>
      <c r="G23" s="344">
        <v>0</v>
      </c>
      <c r="H23" s="345">
        <v>45421.604594907411</v>
      </c>
      <c r="I23" s="342">
        <v>-1.2E-2</v>
      </c>
      <c r="J23" s="343">
        <v>8.49</v>
      </c>
      <c r="K23" s="331">
        <v>1</v>
      </c>
      <c r="L23" s="331">
        <v>-1.2E-2</v>
      </c>
      <c r="M23" s="341" t="s">
        <v>849</v>
      </c>
    </row>
    <row r="24" spans="1:13">
      <c r="A24" s="342">
        <v>634</v>
      </c>
      <c r="B24" s="342">
        <v>23</v>
      </c>
      <c r="C24" s="343">
        <v>8</v>
      </c>
      <c r="D24" s="342" t="s">
        <v>856</v>
      </c>
      <c r="E24" s="342">
        <v>0</v>
      </c>
      <c r="F24" s="342">
        <v>0</v>
      </c>
      <c r="G24" s="344">
        <v>0</v>
      </c>
      <c r="H24" s="345">
        <v>45421.605520833335</v>
      </c>
      <c r="I24" s="342">
        <v>6.7000000000000004E-2</v>
      </c>
      <c r="J24" s="343">
        <v>12.27</v>
      </c>
      <c r="K24" s="331">
        <v>1</v>
      </c>
      <c r="L24" s="331">
        <v>6.7000000000000004E-2</v>
      </c>
      <c r="M24" s="341" t="s">
        <v>849</v>
      </c>
    </row>
    <row r="25" spans="1:13">
      <c r="A25" s="342">
        <v>582</v>
      </c>
      <c r="B25" s="342">
        <v>24</v>
      </c>
      <c r="C25" s="343">
        <v>9</v>
      </c>
      <c r="D25" s="342" t="s">
        <v>856</v>
      </c>
      <c r="E25" s="342">
        <v>0</v>
      </c>
      <c r="F25" s="342">
        <v>0</v>
      </c>
      <c r="G25" s="344">
        <v>0</v>
      </c>
      <c r="H25" s="346">
        <v>45421.606446759259</v>
      </c>
      <c r="I25" s="342">
        <v>0.36699999999999999</v>
      </c>
      <c r="J25" s="342">
        <v>26.72</v>
      </c>
      <c r="K25" s="331">
        <v>1</v>
      </c>
      <c r="L25" s="331">
        <v>0.36699999999999999</v>
      </c>
      <c r="M25" s="341">
        <v>0.36699999999999999</v>
      </c>
    </row>
    <row r="26" spans="1:13">
      <c r="A26" s="342">
        <v>595</v>
      </c>
      <c r="B26" s="342">
        <v>25</v>
      </c>
      <c r="C26" s="343">
        <v>10</v>
      </c>
      <c r="D26" s="342" t="s">
        <v>856</v>
      </c>
      <c r="E26" s="342">
        <v>0</v>
      </c>
      <c r="F26" s="342">
        <v>0</v>
      </c>
      <c r="G26" s="344">
        <v>0</v>
      </c>
      <c r="H26" s="346">
        <v>45421.607372685183</v>
      </c>
      <c r="I26" s="342">
        <v>-0.104</v>
      </c>
      <c r="J26" s="342">
        <v>4.03</v>
      </c>
      <c r="K26" s="331">
        <v>1</v>
      </c>
      <c r="L26" s="331">
        <v>-0.104</v>
      </c>
      <c r="M26" s="341" t="s">
        <v>849</v>
      </c>
    </row>
    <row r="27" spans="1:13">
      <c r="A27" s="342">
        <v>413</v>
      </c>
      <c r="B27" s="342">
        <v>26</v>
      </c>
      <c r="C27" s="343">
        <v>11</v>
      </c>
      <c r="D27" s="342" t="s">
        <v>856</v>
      </c>
      <c r="E27" s="342">
        <v>0</v>
      </c>
      <c r="F27" s="342">
        <v>0</v>
      </c>
      <c r="G27" s="344">
        <v>1</v>
      </c>
      <c r="H27" s="345">
        <v>45421.608298611114</v>
      </c>
      <c r="I27" s="342">
        <v>2.4E-2</v>
      </c>
      <c r="J27" s="343">
        <v>10.19</v>
      </c>
      <c r="K27" s="331">
        <v>1</v>
      </c>
      <c r="L27" s="331">
        <v>2.4E-2</v>
      </c>
      <c r="M27" s="341" t="s">
        <v>849</v>
      </c>
    </row>
    <row r="28" spans="1:13">
      <c r="A28" s="342" t="s">
        <v>862</v>
      </c>
      <c r="B28" s="342">
        <v>27</v>
      </c>
      <c r="C28" s="343">
        <v>12</v>
      </c>
      <c r="D28" s="342" t="s">
        <v>858</v>
      </c>
      <c r="E28" s="342">
        <v>0</v>
      </c>
      <c r="F28" s="342">
        <v>0</v>
      </c>
      <c r="G28" s="344">
        <v>2</v>
      </c>
      <c r="H28" s="346">
        <v>45421.609224537038</v>
      </c>
      <c r="I28" s="342">
        <v>1.1479999999999999</v>
      </c>
      <c r="J28" s="342">
        <v>64.27</v>
      </c>
      <c r="K28" s="331">
        <v>1</v>
      </c>
      <c r="L28" s="331">
        <v>1.1479999999999999</v>
      </c>
      <c r="M28" s="341">
        <v>1.1479999999999999</v>
      </c>
    </row>
    <row r="29" spans="1:13">
      <c r="A29" s="342" t="s">
        <v>859</v>
      </c>
      <c r="B29" s="342">
        <v>28</v>
      </c>
      <c r="C29" s="343">
        <v>907</v>
      </c>
      <c r="D29" s="342" t="s">
        <v>860</v>
      </c>
      <c r="E29" s="342">
        <v>0</v>
      </c>
      <c r="F29" s="342">
        <v>0</v>
      </c>
      <c r="G29" s="344">
        <v>0</v>
      </c>
      <c r="H29" s="346">
        <v>45421.610150462962</v>
      </c>
      <c r="I29" s="342">
        <v>1.619</v>
      </c>
      <c r="J29" s="342">
        <v>86.93</v>
      </c>
      <c r="K29" s="331">
        <v>1</v>
      </c>
      <c r="L29" s="331">
        <v>1.619</v>
      </c>
      <c r="M29" s="341">
        <v>1.619</v>
      </c>
    </row>
    <row r="30" spans="1:13">
      <c r="A30" s="342" t="s">
        <v>850</v>
      </c>
      <c r="B30" s="342">
        <v>29</v>
      </c>
      <c r="C30" s="343">
        <v>0</v>
      </c>
      <c r="D30" s="342" t="s">
        <v>851</v>
      </c>
      <c r="E30" s="342">
        <v>0</v>
      </c>
      <c r="F30" s="342">
        <v>0</v>
      </c>
      <c r="G30" s="344">
        <v>0</v>
      </c>
      <c r="H30" s="346">
        <v>45421.611076388886</v>
      </c>
      <c r="I30" s="342">
        <v>-0.188</v>
      </c>
      <c r="J30" s="342">
        <v>0</v>
      </c>
      <c r="K30" s="331">
        <v>1</v>
      </c>
      <c r="L30" s="331">
        <v>-0.188</v>
      </c>
      <c r="M30" s="341" t="s">
        <v>849</v>
      </c>
    </row>
    <row r="31" spans="1:13">
      <c r="A31" s="342">
        <v>439</v>
      </c>
      <c r="B31" s="342">
        <v>30</v>
      </c>
      <c r="C31" s="343">
        <v>13</v>
      </c>
      <c r="D31" s="342" t="s">
        <v>856</v>
      </c>
      <c r="E31" s="342">
        <v>0</v>
      </c>
      <c r="F31" s="342">
        <v>0</v>
      </c>
      <c r="G31" s="344">
        <v>0</v>
      </c>
      <c r="H31" s="345">
        <v>45421.613854166666</v>
      </c>
      <c r="I31" s="342">
        <v>-0.06</v>
      </c>
      <c r="J31" s="343">
        <v>6.19</v>
      </c>
      <c r="K31" s="331">
        <v>1</v>
      </c>
      <c r="L31" s="331">
        <v>-0.06</v>
      </c>
      <c r="M31" s="341" t="s">
        <v>849</v>
      </c>
    </row>
    <row r="32" spans="1:13">
      <c r="A32" s="342">
        <v>543</v>
      </c>
      <c r="B32" s="342">
        <v>31</v>
      </c>
      <c r="C32" s="343">
        <v>14</v>
      </c>
      <c r="D32" s="342" t="s">
        <v>856</v>
      </c>
      <c r="E32" s="342">
        <v>0</v>
      </c>
      <c r="F32" s="342">
        <v>0</v>
      </c>
      <c r="G32" s="344">
        <v>0</v>
      </c>
      <c r="H32" s="345">
        <v>45421.61478009259</v>
      </c>
      <c r="I32" s="342">
        <v>0.42199999999999999</v>
      </c>
      <c r="J32" s="343">
        <v>29.36</v>
      </c>
      <c r="K32" s="331">
        <v>1</v>
      </c>
      <c r="L32" s="331">
        <v>0.42199999999999999</v>
      </c>
      <c r="M32" s="341">
        <v>0.42199999999999999</v>
      </c>
    </row>
    <row r="33" spans="1:13">
      <c r="A33" s="342">
        <v>504</v>
      </c>
      <c r="B33" s="342">
        <v>32</v>
      </c>
      <c r="C33" s="343">
        <v>15</v>
      </c>
      <c r="D33" s="342" t="s">
        <v>856</v>
      </c>
      <c r="E33" s="342">
        <v>0</v>
      </c>
      <c r="F33" s="342">
        <v>0</v>
      </c>
      <c r="G33" s="344">
        <v>0</v>
      </c>
      <c r="H33" s="345">
        <v>45421.615706018521</v>
      </c>
      <c r="I33" s="342">
        <v>6.4000000000000001E-2</v>
      </c>
      <c r="J33" s="343">
        <v>12.13</v>
      </c>
      <c r="K33" s="331">
        <v>1</v>
      </c>
      <c r="L33" s="331">
        <v>6.4000000000000001E-2</v>
      </c>
      <c r="M33" s="341" t="s">
        <v>849</v>
      </c>
    </row>
    <row r="34" spans="1:13">
      <c r="A34" s="342">
        <v>400</v>
      </c>
      <c r="B34" s="342">
        <v>33</v>
      </c>
      <c r="C34" s="343">
        <v>16</v>
      </c>
      <c r="D34" s="342" t="s">
        <v>856</v>
      </c>
      <c r="E34" s="342">
        <v>0</v>
      </c>
      <c r="F34" s="342">
        <v>0</v>
      </c>
      <c r="G34" s="344">
        <v>0</v>
      </c>
      <c r="H34" s="345">
        <v>45421.616631944446</v>
      </c>
      <c r="I34" s="342">
        <v>3.0000000000000001E-3</v>
      </c>
      <c r="J34" s="343">
        <v>9.19</v>
      </c>
      <c r="K34" s="331">
        <v>1</v>
      </c>
      <c r="L34" s="331">
        <v>3.0000000000000001E-3</v>
      </c>
      <c r="M34" s="341" t="s">
        <v>849</v>
      </c>
    </row>
    <row r="35" spans="1:13">
      <c r="A35" s="342">
        <v>569</v>
      </c>
      <c r="B35" s="342">
        <v>34</v>
      </c>
      <c r="C35" s="343">
        <v>17</v>
      </c>
      <c r="D35" s="342" t="s">
        <v>856</v>
      </c>
      <c r="E35" s="342">
        <v>0</v>
      </c>
      <c r="F35" s="342">
        <v>0</v>
      </c>
      <c r="G35" s="344">
        <v>1</v>
      </c>
      <c r="H35" s="346">
        <v>45421.61755787037</v>
      </c>
      <c r="I35" s="342">
        <v>5.0999999999999997E-2</v>
      </c>
      <c r="J35" s="342">
        <v>11.5</v>
      </c>
      <c r="K35" s="331">
        <v>1</v>
      </c>
      <c r="L35" s="331">
        <v>5.0999999999999997E-2</v>
      </c>
      <c r="M35" s="341" t="s">
        <v>849</v>
      </c>
    </row>
    <row r="36" spans="1:13">
      <c r="A36" s="342" t="s">
        <v>863</v>
      </c>
      <c r="B36" s="342">
        <v>35</v>
      </c>
      <c r="C36" s="343">
        <v>18</v>
      </c>
      <c r="D36" s="342" t="s">
        <v>858</v>
      </c>
      <c r="E36" s="342">
        <v>0</v>
      </c>
      <c r="F36" s="342">
        <v>0</v>
      </c>
      <c r="G36" s="344">
        <v>2</v>
      </c>
      <c r="H36" s="345">
        <v>45421.618483796294</v>
      </c>
      <c r="I36" s="342">
        <v>1.1739999999999999</v>
      </c>
      <c r="J36" s="343">
        <v>65.52</v>
      </c>
      <c r="K36" s="331">
        <v>1</v>
      </c>
      <c r="L36" s="331">
        <v>1.1739999999999999</v>
      </c>
      <c r="M36" s="341">
        <v>1.1739999999999999</v>
      </c>
    </row>
    <row r="37" spans="1:13">
      <c r="A37" s="342" t="s">
        <v>859</v>
      </c>
      <c r="B37" s="342">
        <v>36</v>
      </c>
      <c r="C37" s="343">
        <v>907</v>
      </c>
      <c r="D37" s="342" t="s">
        <v>860</v>
      </c>
      <c r="E37" s="342">
        <v>0</v>
      </c>
      <c r="F37" s="342">
        <v>0</v>
      </c>
      <c r="G37" s="344">
        <v>0</v>
      </c>
      <c r="H37" s="345">
        <v>45421.619409722225</v>
      </c>
      <c r="I37" s="342">
        <v>1.631</v>
      </c>
      <c r="J37" s="343">
        <v>87.5</v>
      </c>
      <c r="K37" s="331">
        <v>1</v>
      </c>
      <c r="L37" s="331">
        <v>1.631</v>
      </c>
      <c r="M37" s="341">
        <v>1.631</v>
      </c>
    </row>
    <row r="38" spans="1:13">
      <c r="A38" s="342" t="s">
        <v>864</v>
      </c>
      <c r="B38" s="342">
        <v>37</v>
      </c>
      <c r="C38" s="343">
        <v>19</v>
      </c>
      <c r="D38" s="342" t="s">
        <v>856</v>
      </c>
      <c r="E38" s="342">
        <v>0</v>
      </c>
      <c r="F38" s="342">
        <v>0</v>
      </c>
      <c r="G38" s="344">
        <v>0</v>
      </c>
      <c r="H38" s="345">
        <v>45421.620335648149</v>
      </c>
      <c r="I38" s="342">
        <v>2.68</v>
      </c>
      <c r="J38" s="343">
        <v>137.97</v>
      </c>
      <c r="K38" s="331">
        <v>1</v>
      </c>
      <c r="L38" s="331">
        <v>2.68</v>
      </c>
      <c r="M38" s="341">
        <v>2.68</v>
      </c>
    </row>
    <row r="39" spans="1:13">
      <c r="A39" s="342" t="s">
        <v>865</v>
      </c>
      <c r="B39" s="342">
        <v>38</v>
      </c>
      <c r="C39" s="343">
        <v>20</v>
      </c>
      <c r="D39" s="342" t="s">
        <v>856</v>
      </c>
      <c r="E39" s="342">
        <v>0</v>
      </c>
      <c r="F39" s="342">
        <v>0</v>
      </c>
      <c r="G39" s="344">
        <v>0</v>
      </c>
      <c r="H39" s="345">
        <v>45421.621261574073</v>
      </c>
      <c r="I39" s="342">
        <v>1.6579999999999999</v>
      </c>
      <c r="J39" s="343">
        <v>88.78</v>
      </c>
      <c r="K39" s="331">
        <v>1</v>
      </c>
      <c r="L39" s="331">
        <v>1.6579999999999999</v>
      </c>
      <c r="M39" s="341">
        <v>1.6579999999999999</v>
      </c>
    </row>
    <row r="40" spans="1:13">
      <c r="A40" s="342" t="s">
        <v>866</v>
      </c>
      <c r="B40" s="342">
        <v>39</v>
      </c>
      <c r="C40" s="343">
        <v>21</v>
      </c>
      <c r="D40" s="342" t="s">
        <v>856</v>
      </c>
      <c r="E40" s="342">
        <v>0</v>
      </c>
      <c r="F40" s="342">
        <v>0</v>
      </c>
      <c r="G40" s="344">
        <v>0</v>
      </c>
      <c r="H40" s="345">
        <v>45421.622187499997</v>
      </c>
      <c r="I40" s="342">
        <v>1.052</v>
      </c>
      <c r="J40" s="343">
        <v>59.64</v>
      </c>
      <c r="K40" s="331">
        <v>1</v>
      </c>
      <c r="L40" s="331">
        <v>1.052</v>
      </c>
      <c r="M40" s="341">
        <v>1.052</v>
      </c>
    </row>
    <row r="41" spans="1:13">
      <c r="A41" s="342" t="s">
        <v>867</v>
      </c>
      <c r="B41" s="342">
        <v>40</v>
      </c>
      <c r="C41" s="343">
        <v>22</v>
      </c>
      <c r="D41" s="342" t="s">
        <v>856</v>
      </c>
      <c r="E41" s="342">
        <v>0</v>
      </c>
      <c r="F41" s="342">
        <v>0</v>
      </c>
      <c r="G41" s="344">
        <v>0</v>
      </c>
      <c r="H41" s="345">
        <v>45421.623113425929</v>
      </c>
      <c r="I41" s="342">
        <v>0.84499999999999997</v>
      </c>
      <c r="J41" s="343">
        <v>49.69</v>
      </c>
      <c r="K41" s="331">
        <v>1</v>
      </c>
      <c r="L41" s="331">
        <v>0.84499999999999997</v>
      </c>
      <c r="M41" s="341">
        <v>0.84499999999999997</v>
      </c>
    </row>
    <row r="42" spans="1:13">
      <c r="A42" s="342" t="s">
        <v>868</v>
      </c>
      <c r="B42" s="342">
        <v>41</v>
      </c>
      <c r="C42" s="343">
        <v>23</v>
      </c>
      <c r="D42" s="342" t="s">
        <v>856</v>
      </c>
      <c r="E42" s="342">
        <v>0</v>
      </c>
      <c r="F42" s="342">
        <v>0</v>
      </c>
      <c r="G42" s="344">
        <v>0</v>
      </c>
      <c r="H42" s="346">
        <v>45421.624039351853</v>
      </c>
      <c r="I42" s="342">
        <v>0.39700000000000002</v>
      </c>
      <c r="J42" s="342">
        <v>28.13</v>
      </c>
      <c r="K42" s="331">
        <v>1</v>
      </c>
      <c r="L42" s="331">
        <v>0.39700000000000002</v>
      </c>
      <c r="M42" s="341">
        <v>0.39700000000000002</v>
      </c>
    </row>
    <row r="43" spans="1:13">
      <c r="A43" s="342" t="s">
        <v>869</v>
      </c>
      <c r="B43" s="342">
        <v>42</v>
      </c>
      <c r="C43" s="343">
        <v>24</v>
      </c>
      <c r="D43" s="342" t="s">
        <v>856</v>
      </c>
      <c r="E43" s="342">
        <v>0</v>
      </c>
      <c r="F43" s="342">
        <v>0</v>
      </c>
      <c r="G43" s="344">
        <v>0</v>
      </c>
      <c r="H43" s="346">
        <v>45421.624965277777</v>
      </c>
      <c r="I43" s="342">
        <v>1.026</v>
      </c>
      <c r="J43" s="342">
        <v>58.41</v>
      </c>
      <c r="K43" s="331">
        <v>1</v>
      </c>
      <c r="L43" s="331">
        <v>1.026</v>
      </c>
      <c r="M43" s="341">
        <v>1.026</v>
      </c>
    </row>
    <row r="44" spans="1:13">
      <c r="A44" s="342" t="s">
        <v>859</v>
      </c>
      <c r="B44" s="342">
        <v>43</v>
      </c>
      <c r="C44" s="343">
        <v>907</v>
      </c>
      <c r="D44" s="342" t="s">
        <v>860</v>
      </c>
      <c r="E44" s="342">
        <v>0</v>
      </c>
      <c r="F44" s="342">
        <v>0</v>
      </c>
      <c r="G44" s="344">
        <v>0</v>
      </c>
      <c r="H44" s="345">
        <v>45421.625891203701</v>
      </c>
      <c r="I44" s="342">
        <v>1.633</v>
      </c>
      <c r="J44" s="343">
        <v>87.58</v>
      </c>
      <c r="K44" s="331">
        <v>1</v>
      </c>
      <c r="L44" s="331">
        <v>1.633</v>
      </c>
      <c r="M44" s="341">
        <v>1.633</v>
      </c>
    </row>
    <row r="45" spans="1:13">
      <c r="A45" s="342" t="s">
        <v>850</v>
      </c>
      <c r="B45" s="342">
        <v>44</v>
      </c>
      <c r="C45" s="343">
        <v>0</v>
      </c>
      <c r="D45" s="342" t="s">
        <v>851</v>
      </c>
      <c r="E45" s="342">
        <v>0</v>
      </c>
      <c r="F45" s="342">
        <v>0</v>
      </c>
      <c r="G45" s="344">
        <v>0</v>
      </c>
      <c r="H45" s="345">
        <v>45421.626817129632</v>
      </c>
      <c r="I45" s="342">
        <v>-0.188</v>
      </c>
      <c r="J45" s="343">
        <v>0</v>
      </c>
      <c r="K45" s="331">
        <v>1</v>
      </c>
      <c r="L45" s="331">
        <v>-0.188</v>
      </c>
      <c r="M45" s="341" t="s">
        <v>849</v>
      </c>
    </row>
    <row r="46" spans="1:13">
      <c r="A46" s="342">
        <v>218</v>
      </c>
      <c r="B46" s="342">
        <v>45</v>
      </c>
      <c r="C46" s="343">
        <v>25</v>
      </c>
      <c r="D46" s="342" t="s">
        <v>856</v>
      </c>
      <c r="E46" s="342">
        <v>0</v>
      </c>
      <c r="F46" s="342">
        <v>0</v>
      </c>
      <c r="G46" s="344">
        <v>0</v>
      </c>
      <c r="H46" s="345">
        <v>45421.629594907405</v>
      </c>
      <c r="I46" s="342">
        <v>7.5999999999999998E-2</v>
      </c>
      <c r="J46" s="343">
        <v>12.69</v>
      </c>
      <c r="K46" s="331">
        <v>1</v>
      </c>
      <c r="L46" s="331">
        <v>7.5999999999999998E-2</v>
      </c>
      <c r="M46" s="341" t="s">
        <v>849</v>
      </c>
    </row>
    <row r="47" spans="1:13">
      <c r="A47" s="342">
        <v>452</v>
      </c>
      <c r="B47" s="342">
        <v>46</v>
      </c>
      <c r="C47" s="343">
        <v>26</v>
      </c>
      <c r="D47" s="342" t="s">
        <v>856</v>
      </c>
      <c r="E47" s="342">
        <v>0</v>
      </c>
      <c r="F47" s="342">
        <v>0</v>
      </c>
      <c r="G47" s="344">
        <v>0</v>
      </c>
      <c r="H47" s="345">
        <v>45421.630520833336</v>
      </c>
      <c r="I47" s="342">
        <v>0.19600000000000001</v>
      </c>
      <c r="J47" s="343">
        <v>18.5</v>
      </c>
      <c r="K47" s="331">
        <v>1</v>
      </c>
      <c r="L47" s="331">
        <v>0.19600000000000001</v>
      </c>
      <c r="M47" s="341">
        <v>0.19600000000000001</v>
      </c>
    </row>
    <row r="48" spans="1:13">
      <c r="A48" s="342">
        <v>257</v>
      </c>
      <c r="B48" s="342">
        <v>47</v>
      </c>
      <c r="C48" s="343">
        <v>27</v>
      </c>
      <c r="D48" s="342" t="s">
        <v>856</v>
      </c>
      <c r="E48" s="342">
        <v>0</v>
      </c>
      <c r="F48" s="342">
        <v>0</v>
      </c>
      <c r="G48" s="344">
        <v>0</v>
      </c>
      <c r="H48" s="345">
        <v>45421.63144675926</v>
      </c>
      <c r="I48" s="342">
        <v>7.5999999999999998E-2</v>
      </c>
      <c r="J48" s="343">
        <v>12.71</v>
      </c>
      <c r="K48" s="331">
        <v>1</v>
      </c>
      <c r="L48" s="331">
        <v>7.5999999999999998E-2</v>
      </c>
      <c r="M48" s="341" t="s">
        <v>849</v>
      </c>
    </row>
    <row r="49" spans="1:13">
      <c r="A49" s="342">
        <v>374</v>
      </c>
      <c r="B49" s="342">
        <v>48</v>
      </c>
      <c r="C49" s="343">
        <v>28</v>
      </c>
      <c r="D49" s="342" t="s">
        <v>856</v>
      </c>
      <c r="E49" s="342">
        <v>0</v>
      </c>
      <c r="F49" s="342">
        <v>0</v>
      </c>
      <c r="G49" s="344">
        <v>0</v>
      </c>
      <c r="H49" s="345">
        <v>45421.632372685184</v>
      </c>
      <c r="I49" s="342">
        <v>0.19700000000000001</v>
      </c>
      <c r="J49" s="343">
        <v>18.53</v>
      </c>
      <c r="K49" s="331">
        <v>1</v>
      </c>
      <c r="L49" s="331">
        <v>0.19700000000000001</v>
      </c>
      <c r="M49" s="341">
        <v>0.19700000000000001</v>
      </c>
    </row>
    <row r="50" spans="1:13">
      <c r="A50" s="342">
        <v>166</v>
      </c>
      <c r="B50" s="342">
        <v>49</v>
      </c>
      <c r="C50" s="343">
        <v>29</v>
      </c>
      <c r="D50" s="342" t="s">
        <v>856</v>
      </c>
      <c r="E50" s="342">
        <v>0</v>
      </c>
      <c r="F50" s="342">
        <v>0</v>
      </c>
      <c r="G50" s="344">
        <v>0</v>
      </c>
      <c r="H50" s="345">
        <v>45421.633298611108</v>
      </c>
      <c r="I50" s="342">
        <v>-6.2E-2</v>
      </c>
      <c r="J50" s="343">
        <v>6.08</v>
      </c>
      <c r="K50" s="331">
        <v>1</v>
      </c>
      <c r="L50" s="331">
        <v>-6.2E-2</v>
      </c>
      <c r="M50" s="341" t="s">
        <v>849</v>
      </c>
    </row>
    <row r="51" spans="1:13">
      <c r="A51" s="342">
        <v>10</v>
      </c>
      <c r="B51" s="342">
        <v>50</v>
      </c>
      <c r="C51" s="343">
        <v>30</v>
      </c>
      <c r="D51" s="342" t="s">
        <v>856</v>
      </c>
      <c r="E51" s="342">
        <v>0</v>
      </c>
      <c r="F51" s="342">
        <v>0</v>
      </c>
      <c r="G51" s="344">
        <v>0</v>
      </c>
      <c r="H51" s="345">
        <v>45421.63422453704</v>
      </c>
      <c r="I51" s="342">
        <v>4.1000000000000002E-2</v>
      </c>
      <c r="J51" s="343">
        <v>11.03</v>
      </c>
      <c r="K51" s="331">
        <v>1</v>
      </c>
      <c r="L51" s="331">
        <v>4.1000000000000002E-2</v>
      </c>
      <c r="M51" s="341" t="s">
        <v>849</v>
      </c>
    </row>
    <row r="52" spans="1:13">
      <c r="A52" s="342">
        <v>101</v>
      </c>
      <c r="B52" s="342">
        <v>51</v>
      </c>
      <c r="C52" s="343">
        <v>31</v>
      </c>
      <c r="D52" s="342" t="s">
        <v>856</v>
      </c>
      <c r="E52" s="342">
        <v>0</v>
      </c>
      <c r="F52" s="342">
        <v>0</v>
      </c>
      <c r="G52" s="344">
        <v>0</v>
      </c>
      <c r="H52" s="346">
        <v>45421.635150462964</v>
      </c>
      <c r="I52" s="342">
        <v>0.13700000000000001</v>
      </c>
      <c r="J52" s="342">
        <v>15.65</v>
      </c>
      <c r="K52" s="331">
        <v>1</v>
      </c>
      <c r="L52" s="331">
        <v>0.13700000000000001</v>
      </c>
      <c r="M52" s="341">
        <v>0.13700000000000001</v>
      </c>
    </row>
    <row r="53" spans="1:13">
      <c r="A53" s="342">
        <v>322</v>
      </c>
      <c r="B53" s="342">
        <v>52</v>
      </c>
      <c r="C53" s="343">
        <v>32</v>
      </c>
      <c r="D53" s="342" t="s">
        <v>856</v>
      </c>
      <c r="E53" s="342">
        <v>0</v>
      </c>
      <c r="F53" s="342">
        <v>0</v>
      </c>
      <c r="G53" s="344">
        <v>0</v>
      </c>
      <c r="H53" s="345">
        <v>45421.636076388888</v>
      </c>
      <c r="I53" s="342">
        <v>7.5999999999999998E-2</v>
      </c>
      <c r="J53" s="343">
        <v>12.73</v>
      </c>
      <c r="K53" s="331">
        <v>1</v>
      </c>
      <c r="L53" s="331">
        <v>7.5999999999999998E-2</v>
      </c>
      <c r="M53" s="341" t="s">
        <v>849</v>
      </c>
    </row>
    <row r="54" spans="1:13">
      <c r="A54" s="342">
        <v>62</v>
      </c>
      <c r="B54" s="342">
        <v>53</v>
      </c>
      <c r="C54" s="343">
        <v>33</v>
      </c>
      <c r="D54" s="342" t="s">
        <v>856</v>
      </c>
      <c r="E54" s="342">
        <v>0</v>
      </c>
      <c r="F54" s="342">
        <v>0</v>
      </c>
      <c r="G54" s="344">
        <v>0</v>
      </c>
      <c r="H54" s="345">
        <v>45421.637002314812</v>
      </c>
      <c r="I54" s="342">
        <v>1.0609999999999999</v>
      </c>
      <c r="J54" s="343">
        <v>60.08</v>
      </c>
      <c r="K54" s="331">
        <v>1</v>
      </c>
      <c r="L54" s="331">
        <v>1.0609999999999999</v>
      </c>
      <c r="M54" s="341">
        <v>1.0609999999999999</v>
      </c>
    </row>
    <row r="55" spans="1:13">
      <c r="A55" s="342" t="s">
        <v>870</v>
      </c>
      <c r="B55" s="342">
        <v>54</v>
      </c>
      <c r="C55" s="343">
        <v>34</v>
      </c>
      <c r="D55" s="342" t="s">
        <v>856</v>
      </c>
      <c r="E55" s="342">
        <v>0</v>
      </c>
      <c r="F55" s="342">
        <v>0</v>
      </c>
      <c r="G55" s="344">
        <v>0</v>
      </c>
      <c r="H55" s="346">
        <v>45421.637928240743</v>
      </c>
      <c r="I55" s="342">
        <v>1.1379999999999999</v>
      </c>
      <c r="J55" s="342">
        <v>63.79</v>
      </c>
      <c r="K55" s="331">
        <v>1</v>
      </c>
      <c r="L55" s="331">
        <v>1.1379999999999999</v>
      </c>
      <c r="M55" s="341">
        <v>1.1379999999999999</v>
      </c>
    </row>
    <row r="56" spans="1:13">
      <c r="A56" s="342" t="s">
        <v>871</v>
      </c>
      <c r="B56" s="342">
        <v>55</v>
      </c>
      <c r="C56" s="343">
        <v>35</v>
      </c>
      <c r="D56" s="342" t="s">
        <v>856</v>
      </c>
      <c r="E56" s="342">
        <v>0</v>
      </c>
      <c r="F56" s="342">
        <v>0</v>
      </c>
      <c r="G56" s="344">
        <v>0</v>
      </c>
      <c r="H56" s="346">
        <v>45421.638854166667</v>
      </c>
      <c r="I56" s="342">
        <v>1.1459999999999999</v>
      </c>
      <c r="J56" s="342">
        <v>64.180000000000007</v>
      </c>
      <c r="K56" s="331">
        <v>1</v>
      </c>
      <c r="L56" s="331">
        <v>1.1459999999999999</v>
      </c>
      <c r="M56" s="341">
        <v>1.1459999999999999</v>
      </c>
    </row>
    <row r="57" spans="1:13">
      <c r="A57" s="342">
        <v>36</v>
      </c>
      <c r="B57" s="342">
        <v>56</v>
      </c>
      <c r="C57" s="343">
        <v>36</v>
      </c>
      <c r="D57" s="342" t="s">
        <v>856</v>
      </c>
      <c r="E57" s="342">
        <v>0</v>
      </c>
      <c r="F57" s="342">
        <v>0</v>
      </c>
      <c r="G57" s="344">
        <v>1</v>
      </c>
      <c r="H57" s="345">
        <v>45421.639780092592</v>
      </c>
      <c r="I57" s="342">
        <v>7.9000000000000001E-2</v>
      </c>
      <c r="J57" s="343">
        <v>12.86</v>
      </c>
      <c r="K57" s="331">
        <v>1</v>
      </c>
      <c r="L57" s="331">
        <v>7.9000000000000001E-2</v>
      </c>
      <c r="M57" s="341" t="s">
        <v>849</v>
      </c>
    </row>
    <row r="58" spans="1:13">
      <c r="A58" s="342" t="s">
        <v>872</v>
      </c>
      <c r="B58" s="342">
        <v>57</v>
      </c>
      <c r="C58" s="343">
        <v>37</v>
      </c>
      <c r="D58" s="342" t="s">
        <v>858</v>
      </c>
      <c r="E58" s="342">
        <v>0</v>
      </c>
      <c r="F58" s="342">
        <v>0</v>
      </c>
      <c r="G58" s="344">
        <v>2</v>
      </c>
      <c r="H58" s="346">
        <v>45421.640706018516</v>
      </c>
      <c r="I58" s="342">
        <v>0.98899999999999999</v>
      </c>
      <c r="J58" s="342">
        <v>56.64</v>
      </c>
      <c r="K58" s="331">
        <v>1</v>
      </c>
      <c r="L58" s="331">
        <v>0.98899999999999999</v>
      </c>
      <c r="M58" s="341">
        <v>0.98899999999999999</v>
      </c>
    </row>
    <row r="59" spans="1:13">
      <c r="A59" s="342" t="s">
        <v>859</v>
      </c>
      <c r="B59" s="342">
        <v>58</v>
      </c>
      <c r="C59" s="343">
        <v>907</v>
      </c>
      <c r="D59" s="342" t="s">
        <v>860</v>
      </c>
      <c r="E59" s="342">
        <v>0</v>
      </c>
      <c r="F59" s="342">
        <v>0</v>
      </c>
      <c r="G59" s="344">
        <v>0</v>
      </c>
      <c r="H59" s="346">
        <v>45421.641631944447</v>
      </c>
      <c r="I59" s="342">
        <v>1.6180000000000001</v>
      </c>
      <c r="J59" s="342">
        <v>86.89</v>
      </c>
      <c r="K59" s="331">
        <v>1</v>
      </c>
      <c r="L59" s="331">
        <v>1.6180000000000001</v>
      </c>
      <c r="M59" s="341">
        <v>1.6180000000000001</v>
      </c>
    </row>
    <row r="60" spans="1:13">
      <c r="A60" s="342" t="s">
        <v>850</v>
      </c>
      <c r="B60" s="342">
        <v>59</v>
      </c>
      <c r="C60" s="343">
        <v>0</v>
      </c>
      <c r="D60" s="342" t="s">
        <v>851</v>
      </c>
      <c r="E60" s="342">
        <v>0</v>
      </c>
      <c r="F60" s="342">
        <v>0</v>
      </c>
      <c r="G60" s="344">
        <v>0</v>
      </c>
      <c r="H60" s="346">
        <v>45421.642557870371</v>
      </c>
      <c r="I60" s="342">
        <v>-0.188</v>
      </c>
      <c r="J60" s="342">
        <v>0</v>
      </c>
      <c r="K60" s="331">
        <v>1</v>
      </c>
      <c r="L60" s="331">
        <v>-0.188</v>
      </c>
      <c r="M60" s="341" t="s">
        <v>849</v>
      </c>
    </row>
    <row r="61" spans="1:13">
      <c r="A61" s="342">
        <v>127</v>
      </c>
      <c r="B61" s="342">
        <v>60</v>
      </c>
      <c r="C61" s="343">
        <v>38</v>
      </c>
      <c r="D61" s="342" t="s">
        <v>856</v>
      </c>
      <c r="E61" s="342">
        <v>0</v>
      </c>
      <c r="F61" s="342">
        <v>0</v>
      </c>
      <c r="G61" s="344">
        <v>0</v>
      </c>
      <c r="H61" s="346">
        <v>45421.645335648151</v>
      </c>
      <c r="I61" s="342">
        <v>2.5000000000000001E-2</v>
      </c>
      <c r="J61" s="342">
        <v>10.25</v>
      </c>
      <c r="K61" s="331">
        <v>1</v>
      </c>
      <c r="L61" s="331">
        <v>2.5000000000000001E-2</v>
      </c>
      <c r="M61" s="341" t="s">
        <v>849</v>
      </c>
    </row>
    <row r="62" spans="1:13">
      <c r="A62" s="342">
        <v>140</v>
      </c>
      <c r="B62" s="342">
        <v>61</v>
      </c>
      <c r="C62" s="343">
        <v>39</v>
      </c>
      <c r="D62" s="342" t="s">
        <v>856</v>
      </c>
      <c r="E62" s="342">
        <v>0</v>
      </c>
      <c r="F62" s="342">
        <v>0</v>
      </c>
      <c r="G62" s="344">
        <v>0</v>
      </c>
      <c r="H62" s="346">
        <v>45421.646261574075</v>
      </c>
      <c r="I62" s="342">
        <v>0.90600000000000003</v>
      </c>
      <c r="J62" s="342">
        <v>52.63</v>
      </c>
      <c r="K62" s="331">
        <v>1</v>
      </c>
      <c r="L62" s="331">
        <v>0.90600000000000003</v>
      </c>
      <c r="M62" s="341">
        <v>0.90600000000000003</v>
      </c>
    </row>
    <row r="63" spans="1:13">
      <c r="A63" s="342">
        <v>335</v>
      </c>
      <c r="B63" s="342">
        <v>62</v>
      </c>
      <c r="C63" s="343">
        <v>40</v>
      </c>
      <c r="D63" s="342" t="s">
        <v>856</v>
      </c>
      <c r="E63" s="342">
        <v>0</v>
      </c>
      <c r="F63" s="342">
        <v>0</v>
      </c>
      <c r="G63" s="344">
        <v>0</v>
      </c>
      <c r="H63" s="346">
        <v>45421.647187499999</v>
      </c>
      <c r="I63" s="342">
        <v>0.46400000000000002</v>
      </c>
      <c r="J63" s="342">
        <v>31.38</v>
      </c>
      <c r="K63" s="331">
        <v>1</v>
      </c>
      <c r="L63" s="331">
        <v>0.46400000000000002</v>
      </c>
      <c r="M63" s="341">
        <v>0.46400000000000002</v>
      </c>
    </row>
    <row r="64" spans="1:13">
      <c r="A64" s="342">
        <v>75</v>
      </c>
      <c r="B64" s="342">
        <v>63</v>
      </c>
      <c r="C64" s="343">
        <v>41</v>
      </c>
      <c r="D64" s="342" t="s">
        <v>856</v>
      </c>
      <c r="E64" s="342">
        <v>0</v>
      </c>
      <c r="F64" s="342">
        <v>0</v>
      </c>
      <c r="G64" s="344">
        <v>0</v>
      </c>
      <c r="H64" s="345">
        <v>45421.648113425923</v>
      </c>
      <c r="I64" s="342">
        <v>0.22800000000000001</v>
      </c>
      <c r="J64" s="343">
        <v>20</v>
      </c>
      <c r="K64" s="331">
        <v>1</v>
      </c>
      <c r="L64" s="331">
        <v>0.22800000000000001</v>
      </c>
      <c r="M64" s="341">
        <v>0.22800000000000001</v>
      </c>
    </row>
    <row r="65" spans="1:13">
      <c r="A65" s="342">
        <v>244</v>
      </c>
      <c r="B65" s="342">
        <v>64</v>
      </c>
      <c r="C65" s="343">
        <v>42</v>
      </c>
      <c r="D65" s="342" t="s">
        <v>856</v>
      </c>
      <c r="E65" s="342">
        <v>0</v>
      </c>
      <c r="F65" s="342">
        <v>0</v>
      </c>
      <c r="G65" s="344">
        <v>0</v>
      </c>
      <c r="H65" s="346">
        <v>45421.649039351854</v>
      </c>
      <c r="I65" s="342">
        <v>0.23100000000000001</v>
      </c>
      <c r="J65" s="342">
        <v>20.170000000000002</v>
      </c>
      <c r="K65" s="331">
        <v>1</v>
      </c>
      <c r="L65" s="331">
        <v>0.23100000000000001</v>
      </c>
      <c r="M65" s="341">
        <v>0.23100000000000001</v>
      </c>
    </row>
    <row r="66" spans="1:13">
      <c r="A66" s="342">
        <v>205</v>
      </c>
      <c r="B66" s="342">
        <v>65</v>
      </c>
      <c r="C66" s="343">
        <v>43</v>
      </c>
      <c r="D66" s="342" t="s">
        <v>856</v>
      </c>
      <c r="E66" s="342">
        <v>0</v>
      </c>
      <c r="F66" s="342">
        <v>0</v>
      </c>
      <c r="G66" s="344">
        <v>0</v>
      </c>
      <c r="H66" s="345">
        <v>45421.649965277778</v>
      </c>
      <c r="I66" s="342">
        <v>0.375</v>
      </c>
      <c r="J66" s="343">
        <v>27.07</v>
      </c>
      <c r="K66" s="331">
        <v>1</v>
      </c>
      <c r="L66" s="331">
        <v>0.375</v>
      </c>
      <c r="M66" s="341">
        <v>0.375</v>
      </c>
    </row>
    <row r="67" spans="1:13">
      <c r="A67" s="342">
        <v>296</v>
      </c>
      <c r="B67" s="342">
        <v>66</v>
      </c>
      <c r="C67" s="343">
        <v>44</v>
      </c>
      <c r="D67" s="342" t="s">
        <v>856</v>
      </c>
      <c r="E67" s="342">
        <v>0</v>
      </c>
      <c r="F67" s="342">
        <v>0</v>
      </c>
      <c r="G67" s="344">
        <v>0</v>
      </c>
      <c r="H67" s="346">
        <v>45421.650891203702</v>
      </c>
      <c r="I67" s="342">
        <v>0.251</v>
      </c>
      <c r="J67" s="342">
        <v>21.15</v>
      </c>
      <c r="K67" s="331">
        <v>1</v>
      </c>
      <c r="L67" s="331">
        <v>0.251</v>
      </c>
      <c r="M67" s="341">
        <v>0.251</v>
      </c>
    </row>
    <row r="68" spans="1:13">
      <c r="A68" s="342">
        <v>49</v>
      </c>
      <c r="B68" s="342">
        <v>67</v>
      </c>
      <c r="C68" s="343">
        <v>45</v>
      </c>
      <c r="D68" s="342" t="s">
        <v>856</v>
      </c>
      <c r="E68" s="342">
        <v>0</v>
      </c>
      <c r="F68" s="342">
        <v>0</v>
      </c>
      <c r="G68" s="344">
        <v>0</v>
      </c>
      <c r="H68" s="346">
        <v>45421.651817129627</v>
      </c>
      <c r="I68" s="342">
        <v>0.45200000000000001</v>
      </c>
      <c r="J68" s="342">
        <v>30.8</v>
      </c>
      <c r="K68" s="331">
        <v>1</v>
      </c>
      <c r="L68" s="331">
        <v>0.45200000000000001</v>
      </c>
      <c r="M68" s="341">
        <v>0.45200000000000001</v>
      </c>
    </row>
    <row r="69" spans="1:13">
      <c r="A69" s="342">
        <v>192</v>
      </c>
      <c r="B69" s="342">
        <v>68</v>
      </c>
      <c r="C69" s="343">
        <v>46</v>
      </c>
      <c r="D69" s="342" t="s">
        <v>856</v>
      </c>
      <c r="E69" s="342">
        <v>0</v>
      </c>
      <c r="F69" s="342">
        <v>0</v>
      </c>
      <c r="G69" s="344">
        <v>0</v>
      </c>
      <c r="H69" s="346">
        <v>45421.652743055558</v>
      </c>
      <c r="I69" s="342">
        <v>0.317</v>
      </c>
      <c r="J69" s="342">
        <v>24.28</v>
      </c>
      <c r="K69" s="331">
        <v>1</v>
      </c>
      <c r="L69" s="331">
        <v>0.317</v>
      </c>
      <c r="M69" s="341">
        <v>0.317</v>
      </c>
    </row>
    <row r="70" spans="1:13">
      <c r="A70" s="342" t="s">
        <v>873</v>
      </c>
      <c r="B70" s="342">
        <v>69</v>
      </c>
      <c r="C70" s="343">
        <v>47</v>
      </c>
      <c r="D70" s="342" t="s">
        <v>856</v>
      </c>
      <c r="E70" s="342">
        <v>0</v>
      </c>
      <c r="F70" s="342">
        <v>0</v>
      </c>
      <c r="G70" s="344">
        <v>0</v>
      </c>
      <c r="H70" s="345">
        <v>45421.653668981482</v>
      </c>
      <c r="I70" s="342">
        <v>1.2490000000000001</v>
      </c>
      <c r="J70" s="343">
        <v>69.150000000000006</v>
      </c>
      <c r="K70" s="331">
        <v>1</v>
      </c>
      <c r="L70" s="331">
        <v>1.2490000000000001</v>
      </c>
      <c r="M70" s="341">
        <v>1.2490000000000001</v>
      </c>
    </row>
    <row r="71" spans="1:13">
      <c r="A71" s="342" t="s">
        <v>874</v>
      </c>
      <c r="B71" s="342">
        <v>70</v>
      </c>
      <c r="C71" s="343">
        <v>48</v>
      </c>
      <c r="D71" s="342" t="s">
        <v>856</v>
      </c>
      <c r="E71" s="342">
        <v>0</v>
      </c>
      <c r="F71" s="342">
        <v>0</v>
      </c>
      <c r="G71" s="344">
        <v>0</v>
      </c>
      <c r="H71" s="346">
        <v>45421.654594907406</v>
      </c>
      <c r="I71" s="342">
        <v>1.181</v>
      </c>
      <c r="J71" s="342">
        <v>65.84</v>
      </c>
      <c r="K71" s="331">
        <v>1</v>
      </c>
      <c r="L71" s="331">
        <v>1.181</v>
      </c>
      <c r="M71" s="341">
        <v>1.181</v>
      </c>
    </row>
    <row r="72" spans="1:13">
      <c r="A72" s="342">
        <v>114</v>
      </c>
      <c r="B72" s="342">
        <v>71</v>
      </c>
      <c r="C72" s="343">
        <v>49</v>
      </c>
      <c r="D72" s="342" t="s">
        <v>856</v>
      </c>
      <c r="E72" s="342">
        <v>0</v>
      </c>
      <c r="F72" s="342">
        <v>0</v>
      </c>
      <c r="G72" s="344">
        <v>1</v>
      </c>
      <c r="H72" s="345">
        <v>45421.65552083333</v>
      </c>
      <c r="I72" s="342">
        <v>0.108</v>
      </c>
      <c r="J72" s="343">
        <v>14.23</v>
      </c>
      <c r="K72" s="331">
        <v>1</v>
      </c>
      <c r="L72" s="331">
        <v>0.108</v>
      </c>
      <c r="M72" s="341">
        <v>0.108</v>
      </c>
    </row>
    <row r="73" spans="1:13">
      <c r="A73" s="342" t="s">
        <v>875</v>
      </c>
      <c r="B73" s="342">
        <v>72</v>
      </c>
      <c r="C73" s="343">
        <v>50</v>
      </c>
      <c r="D73" s="342" t="s">
        <v>858</v>
      </c>
      <c r="E73" s="342">
        <v>0</v>
      </c>
      <c r="F73" s="342">
        <v>0</v>
      </c>
      <c r="G73" s="344">
        <v>2</v>
      </c>
      <c r="H73" s="346">
        <v>45421.656446759262</v>
      </c>
      <c r="I73" s="342">
        <v>1.179</v>
      </c>
      <c r="J73" s="342">
        <v>65.78</v>
      </c>
      <c r="K73" s="331">
        <v>1</v>
      </c>
      <c r="L73" s="331">
        <v>1.179</v>
      </c>
      <c r="M73" s="341">
        <v>1.179</v>
      </c>
    </row>
    <row r="74" spans="1:13">
      <c r="A74" s="342" t="s">
        <v>859</v>
      </c>
      <c r="B74" s="342">
        <v>73</v>
      </c>
      <c r="C74" s="343">
        <v>907</v>
      </c>
      <c r="D74" s="342" t="s">
        <v>860</v>
      </c>
      <c r="E74" s="342">
        <v>0</v>
      </c>
      <c r="F74" s="342">
        <v>0</v>
      </c>
      <c r="G74" s="344">
        <v>0</v>
      </c>
      <c r="H74" s="345">
        <v>45421.657372685186</v>
      </c>
      <c r="I74" s="342">
        <v>1.6559999999999999</v>
      </c>
      <c r="J74" s="343">
        <v>88.69</v>
      </c>
      <c r="K74" s="331">
        <v>1</v>
      </c>
      <c r="L74" s="331">
        <v>1.6559999999999999</v>
      </c>
      <c r="M74" s="341">
        <v>1.6559999999999999</v>
      </c>
    </row>
    <row r="75" spans="1:13">
      <c r="A75" s="342" t="s">
        <v>850</v>
      </c>
      <c r="B75" s="342">
        <v>74</v>
      </c>
      <c r="C75" s="343">
        <v>0</v>
      </c>
      <c r="D75" s="342" t="s">
        <v>851</v>
      </c>
      <c r="E75" s="342">
        <v>0</v>
      </c>
      <c r="F75" s="342">
        <v>0</v>
      </c>
      <c r="G75" s="344">
        <v>0</v>
      </c>
      <c r="H75" s="345">
        <v>45421.65829861111</v>
      </c>
      <c r="I75" s="342">
        <v>-0.188</v>
      </c>
      <c r="J75" s="343">
        <v>0</v>
      </c>
      <c r="K75" s="331">
        <v>1</v>
      </c>
      <c r="L75" s="331">
        <v>-0.188</v>
      </c>
      <c r="M75" s="341" t="s">
        <v>849</v>
      </c>
    </row>
    <row r="76" spans="1:13">
      <c r="A76" s="342">
        <v>361</v>
      </c>
      <c r="B76" s="342">
        <v>75</v>
      </c>
      <c r="C76" s="343">
        <v>51</v>
      </c>
      <c r="D76" s="342" t="s">
        <v>856</v>
      </c>
      <c r="E76" s="342">
        <v>0</v>
      </c>
      <c r="F76" s="342">
        <v>0</v>
      </c>
      <c r="G76" s="344">
        <v>0</v>
      </c>
      <c r="H76" s="346">
        <v>45421.661076388889</v>
      </c>
      <c r="I76" s="342">
        <v>0.28299999999999997</v>
      </c>
      <c r="J76" s="342">
        <v>22.67</v>
      </c>
      <c r="K76" s="331">
        <v>1</v>
      </c>
      <c r="L76" s="331">
        <v>0.28299999999999997</v>
      </c>
      <c r="M76" s="341">
        <v>0.28299999999999997</v>
      </c>
    </row>
    <row r="77" spans="1:13">
      <c r="A77" s="342">
        <v>153</v>
      </c>
      <c r="B77" s="342">
        <v>76</v>
      </c>
      <c r="C77" s="343">
        <v>52</v>
      </c>
      <c r="D77" s="342" t="s">
        <v>856</v>
      </c>
      <c r="E77" s="342">
        <v>0</v>
      </c>
      <c r="F77" s="342">
        <v>0</v>
      </c>
      <c r="G77" s="344">
        <v>0</v>
      </c>
      <c r="H77" s="345">
        <v>45421.662002314813</v>
      </c>
      <c r="I77" s="342">
        <v>0.441</v>
      </c>
      <c r="J77" s="343">
        <v>30.28</v>
      </c>
      <c r="K77" s="331">
        <v>1</v>
      </c>
      <c r="L77" s="331">
        <v>0.441</v>
      </c>
      <c r="M77" s="341">
        <v>0.441</v>
      </c>
    </row>
    <row r="78" spans="1:13">
      <c r="A78" s="342">
        <v>179</v>
      </c>
      <c r="B78" s="342">
        <v>77</v>
      </c>
      <c r="C78" s="343">
        <v>53</v>
      </c>
      <c r="D78" s="342" t="s">
        <v>856</v>
      </c>
      <c r="E78" s="342">
        <v>0</v>
      </c>
      <c r="F78" s="342">
        <v>0</v>
      </c>
      <c r="G78" s="344">
        <v>0</v>
      </c>
      <c r="H78" s="346">
        <v>45421.662928240738</v>
      </c>
      <c r="I78" s="342">
        <v>-0.08</v>
      </c>
      <c r="J78" s="342">
        <v>5.19</v>
      </c>
      <c r="K78" s="331">
        <v>1</v>
      </c>
      <c r="L78" s="331">
        <v>-0.08</v>
      </c>
      <c r="M78" s="341" t="s">
        <v>849</v>
      </c>
    </row>
    <row r="79" spans="1:13">
      <c r="A79" s="342">
        <v>23</v>
      </c>
      <c r="B79" s="342">
        <v>78</v>
      </c>
      <c r="C79" s="343">
        <v>54</v>
      </c>
      <c r="D79" s="342" t="s">
        <v>856</v>
      </c>
      <c r="E79" s="342">
        <v>0</v>
      </c>
      <c r="F79" s="342">
        <v>0</v>
      </c>
      <c r="G79" s="344">
        <v>0</v>
      </c>
      <c r="H79" s="346">
        <v>45421.663854166669</v>
      </c>
      <c r="I79" s="342">
        <v>0.106</v>
      </c>
      <c r="J79" s="342">
        <v>14.13</v>
      </c>
      <c r="K79" s="331">
        <v>1</v>
      </c>
      <c r="L79" s="331">
        <v>0.106</v>
      </c>
      <c r="M79" s="341">
        <v>0.106</v>
      </c>
    </row>
    <row r="80" spans="1:13">
      <c r="A80" s="342">
        <v>478</v>
      </c>
      <c r="B80" s="342">
        <v>79</v>
      </c>
      <c r="C80" s="343">
        <v>55</v>
      </c>
      <c r="D80" s="342" t="s">
        <v>856</v>
      </c>
      <c r="E80" s="342">
        <v>0</v>
      </c>
      <c r="F80" s="342">
        <v>0</v>
      </c>
      <c r="G80" s="344">
        <v>0</v>
      </c>
      <c r="H80" s="345">
        <v>45421.664780092593</v>
      </c>
      <c r="I80" s="342">
        <v>0.22900000000000001</v>
      </c>
      <c r="J80" s="343">
        <v>20.079999999999998</v>
      </c>
      <c r="K80" s="331">
        <v>1</v>
      </c>
      <c r="L80" s="331">
        <v>0.22900000000000001</v>
      </c>
      <c r="M80" s="341">
        <v>0.22900000000000001</v>
      </c>
    </row>
    <row r="81" spans="1:13">
      <c r="A81" s="342">
        <v>88</v>
      </c>
      <c r="B81" s="342">
        <v>80</v>
      </c>
      <c r="C81" s="343">
        <v>56</v>
      </c>
      <c r="D81" s="342" t="s">
        <v>856</v>
      </c>
      <c r="E81" s="342">
        <v>0</v>
      </c>
      <c r="F81" s="342">
        <v>0</v>
      </c>
      <c r="G81" s="344">
        <v>0</v>
      </c>
      <c r="H81" s="345">
        <v>45421.665706018517</v>
      </c>
      <c r="I81" s="342">
        <v>0.42299999999999999</v>
      </c>
      <c r="J81" s="343">
        <v>29.41</v>
      </c>
      <c r="K81" s="331">
        <v>1</v>
      </c>
      <c r="L81" s="331">
        <v>0.42299999999999999</v>
      </c>
      <c r="M81" s="341">
        <v>0.42299999999999999</v>
      </c>
    </row>
    <row r="82" spans="1:13">
      <c r="A82" s="342">
        <v>309</v>
      </c>
      <c r="B82" s="342">
        <v>81</v>
      </c>
      <c r="C82" s="343">
        <v>57</v>
      </c>
      <c r="D82" s="342" t="s">
        <v>856</v>
      </c>
      <c r="E82" s="342">
        <v>0</v>
      </c>
      <c r="F82" s="342">
        <v>0</v>
      </c>
      <c r="G82" s="344">
        <v>0</v>
      </c>
      <c r="H82" s="345">
        <v>45421.666631944441</v>
      </c>
      <c r="I82" s="342">
        <v>9.4E-2</v>
      </c>
      <c r="J82" s="343">
        <v>13.58</v>
      </c>
      <c r="K82" s="331">
        <v>1</v>
      </c>
      <c r="L82" s="331">
        <v>9.4E-2</v>
      </c>
      <c r="M82" s="341">
        <v>9.4E-2</v>
      </c>
    </row>
    <row r="83" spans="1:13">
      <c r="A83" s="342">
        <v>270</v>
      </c>
      <c r="B83" s="342">
        <v>82</v>
      </c>
      <c r="C83" s="343">
        <v>58</v>
      </c>
      <c r="D83" s="342" t="s">
        <v>856</v>
      </c>
      <c r="E83" s="342">
        <v>0</v>
      </c>
      <c r="F83" s="342">
        <v>0</v>
      </c>
      <c r="G83" s="344">
        <v>0</v>
      </c>
      <c r="H83" s="345">
        <v>45421.667557870373</v>
      </c>
      <c r="I83" s="342">
        <v>6.0999999999999999E-2</v>
      </c>
      <c r="J83" s="343">
        <v>11.97</v>
      </c>
      <c r="K83" s="331">
        <v>1</v>
      </c>
      <c r="L83" s="331">
        <v>6.0999999999999999E-2</v>
      </c>
      <c r="M83" s="341" t="s">
        <v>849</v>
      </c>
    </row>
    <row r="84" spans="1:13">
      <c r="A84" s="342">
        <v>348</v>
      </c>
      <c r="B84" s="342">
        <v>83</v>
      </c>
      <c r="C84" s="343">
        <v>59</v>
      </c>
      <c r="D84" s="342" t="s">
        <v>856</v>
      </c>
      <c r="E84" s="342">
        <v>0</v>
      </c>
      <c r="F84" s="342">
        <v>0</v>
      </c>
      <c r="G84" s="344">
        <v>0</v>
      </c>
      <c r="H84" s="345">
        <v>45421.668483796297</v>
      </c>
      <c r="I84" s="342">
        <v>0.156</v>
      </c>
      <c r="J84" s="343">
        <v>16.57</v>
      </c>
      <c r="K84" s="331">
        <v>1</v>
      </c>
      <c r="L84" s="331">
        <v>0.156</v>
      </c>
      <c r="M84" s="341">
        <v>0.156</v>
      </c>
    </row>
    <row r="85" spans="1:13">
      <c r="A85" s="342">
        <v>465</v>
      </c>
      <c r="B85" s="342">
        <v>84</v>
      </c>
      <c r="C85" s="343">
        <v>60</v>
      </c>
      <c r="D85" s="342" t="s">
        <v>856</v>
      </c>
      <c r="E85" s="342">
        <v>0</v>
      </c>
      <c r="F85" s="342">
        <v>0</v>
      </c>
      <c r="G85" s="344">
        <v>0</v>
      </c>
      <c r="H85" s="345">
        <v>45421.669409722221</v>
      </c>
      <c r="I85" s="342">
        <v>0.16</v>
      </c>
      <c r="J85" s="343">
        <v>16.760000000000002</v>
      </c>
      <c r="K85" s="331">
        <v>1</v>
      </c>
      <c r="L85" s="331">
        <v>0.16</v>
      </c>
      <c r="M85" s="341">
        <v>0.16</v>
      </c>
    </row>
    <row r="86" spans="1:13">
      <c r="A86" s="342">
        <v>283</v>
      </c>
      <c r="B86" s="342">
        <v>85</v>
      </c>
      <c r="C86" s="343">
        <v>911</v>
      </c>
      <c r="D86" s="342" t="s">
        <v>856</v>
      </c>
      <c r="E86" s="342">
        <v>0</v>
      </c>
      <c r="F86" s="342">
        <v>0</v>
      </c>
      <c r="G86" s="344">
        <v>0</v>
      </c>
      <c r="H86" s="345">
        <v>45421.670335648145</v>
      </c>
      <c r="I86" s="342">
        <v>0.33700000000000002</v>
      </c>
      <c r="J86" s="343">
        <v>25.27</v>
      </c>
      <c r="K86" s="331">
        <v>1</v>
      </c>
      <c r="L86" s="331">
        <v>0.33700000000000002</v>
      </c>
      <c r="M86" s="341">
        <v>0.33700000000000002</v>
      </c>
    </row>
    <row r="87" spans="1:13">
      <c r="A87" s="342" t="s">
        <v>876</v>
      </c>
      <c r="B87" s="342">
        <v>86</v>
      </c>
      <c r="C87" s="343">
        <v>912</v>
      </c>
      <c r="D87" s="342" t="s">
        <v>856</v>
      </c>
      <c r="E87" s="342">
        <v>0</v>
      </c>
      <c r="F87" s="342">
        <v>0</v>
      </c>
      <c r="G87" s="344">
        <v>0</v>
      </c>
      <c r="H87" s="345">
        <v>45421.671261574076</v>
      </c>
      <c r="I87" s="342">
        <v>1.2090000000000001</v>
      </c>
      <c r="J87" s="343">
        <v>67.22</v>
      </c>
      <c r="K87" s="331">
        <v>1</v>
      </c>
      <c r="L87" s="331">
        <v>1.2090000000000001</v>
      </c>
      <c r="M87" s="341">
        <v>1.2090000000000001</v>
      </c>
    </row>
    <row r="88" spans="1:13">
      <c r="A88" s="342" t="s">
        <v>877</v>
      </c>
      <c r="B88" s="342">
        <v>87</v>
      </c>
      <c r="C88" s="343">
        <v>913</v>
      </c>
      <c r="D88" s="342" t="s">
        <v>856</v>
      </c>
      <c r="E88" s="342">
        <v>0</v>
      </c>
      <c r="F88" s="342">
        <v>0</v>
      </c>
      <c r="G88" s="344">
        <v>0</v>
      </c>
      <c r="H88" s="345">
        <v>45421.6721875</v>
      </c>
      <c r="I88" s="342">
        <v>1.131</v>
      </c>
      <c r="J88" s="343">
        <v>63.47</v>
      </c>
      <c r="K88" s="331">
        <v>1</v>
      </c>
      <c r="L88" s="331">
        <v>1.131</v>
      </c>
      <c r="M88" s="341">
        <v>1.131</v>
      </c>
    </row>
    <row r="89" spans="1:13">
      <c r="A89" s="347" t="s">
        <v>878</v>
      </c>
      <c r="B89" s="342">
        <v>88</v>
      </c>
      <c r="C89" s="343">
        <v>914</v>
      </c>
      <c r="D89" s="342" t="s">
        <v>856</v>
      </c>
      <c r="E89" s="342">
        <v>0</v>
      </c>
      <c r="F89" s="342">
        <v>0</v>
      </c>
      <c r="G89" s="344">
        <v>1</v>
      </c>
      <c r="H89" s="345">
        <v>45421.673113425924</v>
      </c>
      <c r="I89" s="342">
        <v>0.92500000000000004</v>
      </c>
      <c r="J89" s="343">
        <v>53.52</v>
      </c>
      <c r="K89" s="331">
        <v>1</v>
      </c>
      <c r="L89" s="331">
        <v>0.92500000000000004</v>
      </c>
      <c r="M89" s="341">
        <v>0.92500000000000004</v>
      </c>
    </row>
    <row r="90" spans="1:13">
      <c r="A90" s="347">
        <v>231</v>
      </c>
      <c r="B90" s="342">
        <v>89</v>
      </c>
      <c r="C90" s="343">
        <v>915</v>
      </c>
      <c r="D90" s="342" t="s">
        <v>858</v>
      </c>
      <c r="E90" s="342">
        <v>0</v>
      </c>
      <c r="F90" s="342">
        <v>0</v>
      </c>
      <c r="G90" s="344">
        <v>2</v>
      </c>
      <c r="H90" s="345">
        <v>45421.674039351848</v>
      </c>
      <c r="I90" s="347" t="s">
        <v>230</v>
      </c>
      <c r="J90" s="348" t="s">
        <v>230</v>
      </c>
      <c r="K90" s="331">
        <v>1</v>
      </c>
      <c r="L90" s="331" t="s">
        <v>230</v>
      </c>
      <c r="M90" s="341" t="s">
        <v>230</v>
      </c>
    </row>
    <row r="91" spans="1:13">
      <c r="A91" s="342" t="s">
        <v>859</v>
      </c>
      <c r="B91" s="342">
        <v>90</v>
      </c>
      <c r="C91" s="343">
        <v>907</v>
      </c>
      <c r="D91" s="342" t="s">
        <v>860</v>
      </c>
      <c r="E91" s="342">
        <v>0</v>
      </c>
      <c r="F91" s="342">
        <v>0</v>
      </c>
      <c r="G91" s="344">
        <v>0</v>
      </c>
      <c r="H91" s="346">
        <v>45421.67496527778</v>
      </c>
      <c r="I91" s="342">
        <v>1.639</v>
      </c>
      <c r="J91" s="342">
        <v>87.89</v>
      </c>
      <c r="K91" s="331">
        <v>1</v>
      </c>
      <c r="L91" s="331">
        <v>1.639</v>
      </c>
      <c r="M91" s="341">
        <v>1.639</v>
      </c>
    </row>
    <row r="92" spans="1:13">
      <c r="A92" s="342" t="s">
        <v>850</v>
      </c>
      <c r="B92" s="342">
        <v>91</v>
      </c>
      <c r="C92" s="343">
        <v>0</v>
      </c>
      <c r="D92" s="342" t="s">
        <v>851</v>
      </c>
      <c r="E92" s="342">
        <v>0</v>
      </c>
      <c r="F92" s="342">
        <v>0</v>
      </c>
      <c r="G92" s="344">
        <v>0</v>
      </c>
      <c r="H92" s="345">
        <v>45421.675891203704</v>
      </c>
      <c r="I92" s="342">
        <v>-0.188</v>
      </c>
      <c r="J92" s="343">
        <v>0</v>
      </c>
      <c r="K92" s="331">
        <v>1</v>
      </c>
      <c r="L92" s="331">
        <v>-0.188</v>
      </c>
      <c r="M92" s="341" t="s">
        <v>849</v>
      </c>
    </row>
    <row r="93" spans="1:13">
      <c r="A93" s="342" t="s">
        <v>81</v>
      </c>
      <c r="B93" s="342">
        <v>92</v>
      </c>
      <c r="C93" s="343">
        <v>905</v>
      </c>
      <c r="D93" s="342" t="s">
        <v>856</v>
      </c>
      <c r="E93" s="342">
        <v>0</v>
      </c>
      <c r="F93" s="342">
        <v>0</v>
      </c>
      <c r="G93" s="344">
        <v>0</v>
      </c>
      <c r="H93" s="346">
        <v>45421.678668981483</v>
      </c>
      <c r="I93" s="342">
        <v>-1.9E-2</v>
      </c>
      <c r="J93" s="342">
        <v>8.14</v>
      </c>
      <c r="K93" s="331">
        <v>1</v>
      </c>
      <c r="L93" s="331">
        <v>-1.9E-2</v>
      </c>
      <c r="M93" s="341" t="s">
        <v>849</v>
      </c>
    </row>
    <row r="94" spans="1:13">
      <c r="A94" s="342" t="s">
        <v>81</v>
      </c>
      <c r="B94" s="342">
        <v>93</v>
      </c>
      <c r="C94" s="343">
        <v>905</v>
      </c>
      <c r="D94" s="342" t="s">
        <v>856</v>
      </c>
      <c r="E94" s="342">
        <v>0</v>
      </c>
      <c r="F94" s="342">
        <v>0</v>
      </c>
      <c r="G94" s="344">
        <v>0</v>
      </c>
      <c r="H94" s="345">
        <v>45421.679594907408</v>
      </c>
      <c r="I94" s="342">
        <v>-3.4000000000000002E-2</v>
      </c>
      <c r="J94" s="343">
        <v>7.43</v>
      </c>
      <c r="K94" s="331">
        <v>1</v>
      </c>
      <c r="L94" s="331">
        <v>-3.4000000000000002E-2</v>
      </c>
      <c r="M94" s="341" t="s">
        <v>849</v>
      </c>
    </row>
    <row r="95" spans="1:13">
      <c r="A95" s="52" t="s">
        <v>81</v>
      </c>
      <c r="B95" s="52">
        <v>94</v>
      </c>
      <c r="C95" s="52">
        <v>905</v>
      </c>
      <c r="D95" s="52" t="s">
        <v>856</v>
      </c>
      <c r="E95" s="52">
        <v>0</v>
      </c>
      <c r="F95" s="52">
        <v>0</v>
      </c>
      <c r="G95" s="52">
        <v>0</v>
      </c>
      <c r="H95" s="349">
        <v>45421.680520833332</v>
      </c>
      <c r="I95" s="52">
        <v>7.0000000000000001E-3</v>
      </c>
      <c r="J95" s="52">
        <v>9.41</v>
      </c>
      <c r="K95" s="331">
        <v>1</v>
      </c>
      <c r="L95" s="331">
        <v>7.0000000000000001E-3</v>
      </c>
      <c r="M95" s="341" t="s">
        <v>849</v>
      </c>
    </row>
    <row r="96" spans="1:13">
      <c r="A96" s="52" t="s">
        <v>81</v>
      </c>
      <c r="B96" s="52">
        <v>95</v>
      </c>
      <c r="C96" s="52">
        <v>905</v>
      </c>
      <c r="D96" s="52" t="s">
        <v>856</v>
      </c>
      <c r="E96" s="52">
        <v>0</v>
      </c>
      <c r="F96" s="52">
        <v>0</v>
      </c>
      <c r="G96" s="52">
        <v>0</v>
      </c>
      <c r="H96" s="349">
        <v>45421.681446759256</v>
      </c>
      <c r="I96" s="52">
        <v>2E-3</v>
      </c>
      <c r="J96" s="52">
        <v>9.16</v>
      </c>
      <c r="K96" s="331">
        <v>1</v>
      </c>
      <c r="L96" s="331">
        <v>2E-3</v>
      </c>
      <c r="M96" s="341" t="s">
        <v>849</v>
      </c>
    </row>
    <row r="97" spans="1:13">
      <c r="A97" s="52" t="s">
        <v>81</v>
      </c>
      <c r="B97" s="52">
        <v>96</v>
      </c>
      <c r="C97" s="52">
        <v>905</v>
      </c>
      <c r="D97" s="52" t="s">
        <v>856</v>
      </c>
      <c r="E97" s="52">
        <v>0</v>
      </c>
      <c r="F97" s="52">
        <v>0</v>
      </c>
      <c r="G97" s="52">
        <v>0</v>
      </c>
      <c r="H97" s="349">
        <v>45421.682372685187</v>
      </c>
      <c r="I97" s="52">
        <v>4.8000000000000001E-2</v>
      </c>
      <c r="J97" s="52">
        <v>11.36</v>
      </c>
      <c r="K97" s="331">
        <v>1</v>
      </c>
      <c r="L97" s="331">
        <v>4.8000000000000001E-2</v>
      </c>
      <c r="M97" s="341" t="s">
        <v>849</v>
      </c>
    </row>
    <row r="98" spans="1:13">
      <c r="A98" s="52" t="s">
        <v>81</v>
      </c>
      <c r="B98" s="52">
        <v>97</v>
      </c>
      <c r="C98" s="52">
        <v>905</v>
      </c>
      <c r="D98" s="52" t="s">
        <v>856</v>
      </c>
      <c r="E98" s="52">
        <v>0</v>
      </c>
      <c r="F98" s="52">
        <v>0</v>
      </c>
      <c r="G98" s="52">
        <v>0</v>
      </c>
      <c r="H98" s="349">
        <v>45421.683298611111</v>
      </c>
      <c r="I98" s="52">
        <v>2.7E-2</v>
      </c>
      <c r="J98" s="52">
        <v>10.36</v>
      </c>
      <c r="K98" s="331">
        <v>1</v>
      </c>
      <c r="L98" s="331">
        <v>2.7E-2</v>
      </c>
      <c r="M98" s="341" t="s">
        <v>849</v>
      </c>
    </row>
    <row r="99" spans="1:13">
      <c r="A99" s="52" t="s">
        <v>81</v>
      </c>
      <c r="B99" s="52">
        <v>98</v>
      </c>
      <c r="C99" s="52">
        <v>905</v>
      </c>
      <c r="D99" s="52" t="s">
        <v>856</v>
      </c>
      <c r="E99" s="52">
        <v>0</v>
      </c>
      <c r="F99" s="52">
        <v>0</v>
      </c>
      <c r="G99" s="52">
        <v>0</v>
      </c>
      <c r="H99" s="349">
        <v>45421.684224537035</v>
      </c>
      <c r="I99" s="52">
        <v>1.7000000000000001E-2</v>
      </c>
      <c r="J99" s="52">
        <v>9.85</v>
      </c>
      <c r="K99" s="331">
        <v>1</v>
      </c>
      <c r="L99" s="331">
        <v>1.7000000000000001E-2</v>
      </c>
      <c r="M99" s="341" t="s">
        <v>849</v>
      </c>
    </row>
    <row r="100" spans="1:13">
      <c r="A100" s="52" t="s">
        <v>81</v>
      </c>
      <c r="B100" s="52">
        <v>99</v>
      </c>
      <c r="C100" s="52">
        <v>905</v>
      </c>
      <c r="D100" s="52" t="s">
        <v>856</v>
      </c>
      <c r="E100" s="52">
        <v>0</v>
      </c>
      <c r="F100" s="52">
        <v>0</v>
      </c>
      <c r="G100" s="52">
        <v>0</v>
      </c>
      <c r="H100" s="349">
        <v>45421.685150462959</v>
      </c>
      <c r="I100" s="52">
        <v>-1.2E-2</v>
      </c>
      <c r="J100" s="52">
        <v>8.4499999999999993</v>
      </c>
      <c r="K100" s="331">
        <v>1</v>
      </c>
      <c r="L100" s="331">
        <v>-1.2E-2</v>
      </c>
      <c r="M100" s="341" t="s">
        <v>849</v>
      </c>
    </row>
    <row r="101" spans="1:13">
      <c r="A101" s="331" t="s">
        <v>81</v>
      </c>
      <c r="B101" s="331">
        <v>100</v>
      </c>
      <c r="C101" s="331">
        <v>905</v>
      </c>
      <c r="D101" s="331" t="s">
        <v>856</v>
      </c>
      <c r="E101" s="331">
        <v>0</v>
      </c>
      <c r="F101" s="331">
        <v>0</v>
      </c>
      <c r="G101" s="331">
        <v>0</v>
      </c>
      <c r="H101" s="340">
        <v>45421.686076388891</v>
      </c>
      <c r="I101" s="331">
        <v>-8.0000000000000002E-3</v>
      </c>
      <c r="J101" s="331">
        <v>8.69</v>
      </c>
      <c r="K101" s="331">
        <v>1</v>
      </c>
      <c r="L101" s="331">
        <v>-8.0000000000000002E-3</v>
      </c>
      <c r="M101" s="341" t="s">
        <v>849</v>
      </c>
    </row>
    <row r="102" spans="1:13">
      <c r="A102" s="331" t="s">
        <v>81</v>
      </c>
      <c r="B102" s="331">
        <v>101</v>
      </c>
      <c r="C102" s="331">
        <v>905</v>
      </c>
      <c r="D102" s="331" t="s">
        <v>856</v>
      </c>
      <c r="E102" s="331">
        <v>0</v>
      </c>
      <c r="F102" s="331">
        <v>0</v>
      </c>
      <c r="G102" s="331">
        <v>0</v>
      </c>
      <c r="H102" s="340">
        <v>45421.687002314815</v>
      </c>
      <c r="I102" s="331">
        <v>-0.39</v>
      </c>
      <c r="J102" s="331">
        <v>-9.7100000000000009</v>
      </c>
      <c r="K102" s="331">
        <v>1</v>
      </c>
      <c r="L102" s="331">
        <v>-0.39</v>
      </c>
      <c r="M102" s="341" t="s">
        <v>849</v>
      </c>
    </row>
    <row r="103" spans="1:13">
      <c r="A103" s="331" t="s">
        <v>859</v>
      </c>
      <c r="B103" s="331">
        <v>102</v>
      </c>
      <c r="C103" s="331">
        <v>907</v>
      </c>
      <c r="D103" s="331" t="s">
        <v>860</v>
      </c>
      <c r="E103" s="331">
        <v>0</v>
      </c>
      <c r="F103" s="331">
        <v>0</v>
      </c>
      <c r="G103" s="331">
        <v>0</v>
      </c>
      <c r="H103" s="340">
        <v>45421.687928240739</v>
      </c>
      <c r="I103" s="331">
        <v>1.6180000000000001</v>
      </c>
      <c r="J103" s="331">
        <v>86.89</v>
      </c>
      <c r="K103" s="331">
        <v>1</v>
      </c>
      <c r="L103" s="331">
        <v>1.6180000000000001</v>
      </c>
      <c r="M103" s="341">
        <v>1.6180000000000001</v>
      </c>
    </row>
    <row r="104" spans="1:13">
      <c r="A104" s="331" t="s">
        <v>850</v>
      </c>
      <c r="B104" s="331">
        <v>103</v>
      </c>
      <c r="C104" s="331">
        <v>0</v>
      </c>
      <c r="D104" s="331" t="s">
        <v>851</v>
      </c>
      <c r="E104" s="331">
        <v>0</v>
      </c>
      <c r="F104" s="331">
        <v>0</v>
      </c>
      <c r="G104" s="331">
        <v>0</v>
      </c>
      <c r="H104" s="340">
        <v>45421.688854166663</v>
      </c>
      <c r="I104" s="331">
        <v>-0.188</v>
      </c>
      <c r="J104" s="331">
        <v>0</v>
      </c>
      <c r="K104" s="331">
        <v>1</v>
      </c>
      <c r="L104" s="331">
        <v>-0.188</v>
      </c>
      <c r="M104" s="341" t="s">
        <v>849</v>
      </c>
    </row>
    <row r="105" spans="1:13">
      <c r="A105" s="331" t="s">
        <v>846</v>
      </c>
      <c r="B105" s="331">
        <v>104</v>
      </c>
      <c r="C105" s="331">
        <v>921</v>
      </c>
      <c r="D105" s="331" t="s">
        <v>847</v>
      </c>
      <c r="E105" s="331">
        <v>0</v>
      </c>
      <c r="F105" s="331">
        <v>0</v>
      </c>
      <c r="G105" s="331">
        <v>0</v>
      </c>
      <c r="H105" s="340">
        <v>45421.691631944443</v>
      </c>
      <c r="I105" s="331">
        <v>2.0819999999999999</v>
      </c>
      <c r="J105" s="331">
        <v>109.18</v>
      </c>
      <c r="K105" s="331">
        <v>1</v>
      </c>
      <c r="L105" s="331">
        <v>2.0819999999999999</v>
      </c>
      <c r="M105" s="341">
        <v>2.0819999999999999</v>
      </c>
    </row>
    <row r="106" spans="1:13">
      <c r="A106" s="331" t="s">
        <v>879</v>
      </c>
      <c r="B106" s="331">
        <v>105</v>
      </c>
      <c r="C106" s="331">
        <v>0</v>
      </c>
      <c r="D106" s="331" t="s">
        <v>880</v>
      </c>
      <c r="E106" s="331">
        <v>0</v>
      </c>
      <c r="F106" s="331">
        <v>0</v>
      </c>
      <c r="G106" s="331">
        <v>0</v>
      </c>
      <c r="H106" s="340">
        <v>45421.692557870374</v>
      </c>
      <c r="I106" s="331">
        <v>-0.188</v>
      </c>
      <c r="J106" s="331">
        <v>0</v>
      </c>
      <c r="K106" s="331">
        <v>1</v>
      </c>
      <c r="L106" s="331">
        <v>-0.188</v>
      </c>
      <c r="M106" s="341" t="s">
        <v>849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1000"/>
  <sheetViews>
    <sheetView workbookViewId="0"/>
  </sheetViews>
  <sheetFormatPr defaultColWidth="11.25" defaultRowHeight="15" customHeight="1"/>
  <sheetData>
    <row r="1" spans="1:18">
      <c r="A1" s="336" t="s">
        <v>0</v>
      </c>
      <c r="B1" s="336" t="s">
        <v>834</v>
      </c>
      <c r="C1" s="336" t="s">
        <v>835</v>
      </c>
      <c r="D1" s="336" t="s">
        <v>836</v>
      </c>
      <c r="E1" s="337" t="s">
        <v>837</v>
      </c>
      <c r="F1" s="337"/>
      <c r="G1" s="336"/>
      <c r="H1" s="338" t="s">
        <v>838</v>
      </c>
      <c r="I1" s="338" t="s">
        <v>839</v>
      </c>
      <c r="J1" s="336" t="s">
        <v>840</v>
      </c>
      <c r="K1" s="337" t="s">
        <v>881</v>
      </c>
      <c r="L1" s="337" t="s">
        <v>840</v>
      </c>
      <c r="M1" s="331" t="s">
        <v>841</v>
      </c>
      <c r="N1" s="331" t="s">
        <v>882</v>
      </c>
      <c r="O1" s="331" t="s">
        <v>883</v>
      </c>
      <c r="P1" s="339" t="s">
        <v>884</v>
      </c>
      <c r="Q1" s="339" t="s">
        <v>885</v>
      </c>
      <c r="R1" s="331" t="s">
        <v>513</v>
      </c>
    </row>
    <row r="2" spans="1:18">
      <c r="A2" s="342" t="s">
        <v>844</v>
      </c>
      <c r="B2" s="342">
        <v>1</v>
      </c>
      <c r="C2" s="343">
        <v>921</v>
      </c>
      <c r="D2" s="342" t="s">
        <v>845</v>
      </c>
      <c r="E2" s="342">
        <v>0</v>
      </c>
      <c r="F2" s="342">
        <v>0</v>
      </c>
      <c r="G2" s="344">
        <v>0</v>
      </c>
      <c r="H2" s="346">
        <v>45412.75818287037</v>
      </c>
      <c r="I2" s="342">
        <v>0.19800000000000001</v>
      </c>
      <c r="J2" s="342">
        <v>333.06</v>
      </c>
      <c r="K2" s="342">
        <v>0.19800000000000001</v>
      </c>
      <c r="L2" s="342">
        <v>78.16</v>
      </c>
      <c r="M2" s="52">
        <v>1</v>
      </c>
      <c r="N2" s="52">
        <v>0.19800000000000001</v>
      </c>
      <c r="O2" s="52">
        <v>0.19800000000000001</v>
      </c>
      <c r="P2" s="339">
        <v>0.19800000000000001</v>
      </c>
      <c r="Q2" s="339">
        <v>0.19800000000000001</v>
      </c>
      <c r="R2" s="331" t="s">
        <v>12</v>
      </c>
    </row>
    <row r="3" spans="1:18">
      <c r="A3" s="342" t="s">
        <v>846</v>
      </c>
      <c r="B3" s="342">
        <v>2</v>
      </c>
      <c r="C3" s="343">
        <v>921</v>
      </c>
      <c r="D3" s="342" t="s">
        <v>847</v>
      </c>
      <c r="E3" s="342">
        <v>0</v>
      </c>
      <c r="F3" s="342">
        <v>0</v>
      </c>
      <c r="G3" s="344">
        <v>0</v>
      </c>
      <c r="H3" s="346">
        <v>45412.758993055555</v>
      </c>
      <c r="I3" s="342">
        <v>0.20300000000000001</v>
      </c>
      <c r="J3" s="342">
        <v>342.36</v>
      </c>
      <c r="K3" s="342">
        <v>0.19900000000000001</v>
      </c>
      <c r="L3" s="342">
        <v>78.72</v>
      </c>
      <c r="M3" s="52">
        <v>1</v>
      </c>
      <c r="N3" s="52">
        <v>0.20300000000000001</v>
      </c>
      <c r="O3" s="52">
        <v>0.19900000000000001</v>
      </c>
      <c r="P3" s="339">
        <v>0.20300000000000001</v>
      </c>
      <c r="Q3" s="339">
        <v>0.19900000000000001</v>
      </c>
      <c r="R3" s="331" t="s">
        <v>12</v>
      </c>
    </row>
    <row r="4" spans="1:18">
      <c r="A4" s="342">
        <v>0.2</v>
      </c>
      <c r="B4" s="342">
        <v>3</v>
      </c>
      <c r="C4" s="343">
        <v>921</v>
      </c>
      <c r="D4" s="342" t="s">
        <v>848</v>
      </c>
      <c r="E4" s="342">
        <v>0</v>
      </c>
      <c r="F4" s="342">
        <v>0</v>
      </c>
      <c r="G4" s="344">
        <v>0</v>
      </c>
      <c r="H4" s="346">
        <v>45412.75980324074</v>
      </c>
      <c r="I4" s="342">
        <v>0.2</v>
      </c>
      <c r="J4" s="342">
        <v>337.1</v>
      </c>
      <c r="K4" s="342">
        <v>0.2</v>
      </c>
      <c r="L4" s="342">
        <v>78.98</v>
      </c>
      <c r="M4" s="52">
        <v>1</v>
      </c>
      <c r="N4" s="52">
        <v>0.2</v>
      </c>
      <c r="O4" s="52">
        <v>0.2</v>
      </c>
      <c r="P4" s="339">
        <v>0.2</v>
      </c>
      <c r="Q4" s="339">
        <v>0.2</v>
      </c>
      <c r="R4" s="331" t="s">
        <v>12</v>
      </c>
    </row>
    <row r="5" spans="1:18">
      <c r="A5" s="342">
        <v>0.1</v>
      </c>
      <c r="B5" s="342">
        <v>4</v>
      </c>
      <c r="C5" s="343">
        <v>901</v>
      </c>
      <c r="D5" s="342" t="s">
        <v>848</v>
      </c>
      <c r="E5" s="342">
        <v>0</v>
      </c>
      <c r="F5" s="342">
        <v>0</v>
      </c>
      <c r="G5" s="344">
        <v>0</v>
      </c>
      <c r="H5" s="346">
        <v>45412.760613425926</v>
      </c>
      <c r="I5" s="342">
        <v>9.9000000000000005E-2</v>
      </c>
      <c r="J5" s="342">
        <v>170.75</v>
      </c>
      <c r="K5" s="342">
        <v>0.10100000000000001</v>
      </c>
      <c r="L5" s="342">
        <v>39.69</v>
      </c>
      <c r="M5" s="52">
        <v>1</v>
      </c>
      <c r="N5" s="52">
        <v>9.9000000000000005E-2</v>
      </c>
      <c r="O5" s="52">
        <v>0.10100000000000001</v>
      </c>
      <c r="P5" s="339">
        <v>9.9000000000000005E-2</v>
      </c>
      <c r="Q5" s="339">
        <v>0.10100000000000001</v>
      </c>
      <c r="R5" s="331" t="s">
        <v>12</v>
      </c>
    </row>
    <row r="6" spans="1:18">
      <c r="A6" s="342">
        <v>0.05</v>
      </c>
      <c r="B6" s="342">
        <v>5</v>
      </c>
      <c r="C6" s="343">
        <v>902</v>
      </c>
      <c r="D6" s="342" t="s">
        <v>848</v>
      </c>
      <c r="E6" s="342">
        <v>0</v>
      </c>
      <c r="F6" s="342">
        <v>0</v>
      </c>
      <c r="G6" s="344">
        <v>0</v>
      </c>
      <c r="H6" s="346">
        <v>45412.761423611111</v>
      </c>
      <c r="I6" s="342">
        <v>0.05</v>
      </c>
      <c r="J6" s="342">
        <v>89.43</v>
      </c>
      <c r="K6" s="342">
        <v>4.9000000000000002E-2</v>
      </c>
      <c r="L6" s="342">
        <v>19.350000000000001</v>
      </c>
      <c r="M6" s="52">
        <v>1</v>
      </c>
      <c r="N6" s="52">
        <v>0.05</v>
      </c>
      <c r="O6" s="52">
        <v>4.9000000000000002E-2</v>
      </c>
      <c r="P6" s="339">
        <v>0.05</v>
      </c>
      <c r="Q6" s="339">
        <v>4.9000000000000002E-2</v>
      </c>
      <c r="R6" s="331" t="s">
        <v>12</v>
      </c>
    </row>
    <row r="7" spans="1:18">
      <c r="A7" s="342">
        <v>2.5000000000000001E-2</v>
      </c>
      <c r="B7" s="342">
        <v>6</v>
      </c>
      <c r="C7" s="343">
        <v>903</v>
      </c>
      <c r="D7" s="342" t="s">
        <v>848</v>
      </c>
      <c r="E7" s="342">
        <v>0</v>
      </c>
      <c r="F7" s="342">
        <v>0</v>
      </c>
      <c r="G7" s="344">
        <v>0</v>
      </c>
      <c r="H7" s="346">
        <v>45412.762233796297</v>
      </c>
      <c r="I7" s="342">
        <v>2.7E-2</v>
      </c>
      <c r="J7" s="342">
        <v>50.27</v>
      </c>
      <c r="K7" s="342">
        <v>2.4E-2</v>
      </c>
      <c r="L7" s="342">
        <v>9.34</v>
      </c>
      <c r="M7" s="52">
        <v>1</v>
      </c>
      <c r="N7" s="52">
        <v>2.7E-2</v>
      </c>
      <c r="O7" s="52">
        <v>2.4E-2</v>
      </c>
      <c r="P7" s="339">
        <v>2.7E-2</v>
      </c>
      <c r="Q7" s="339">
        <v>2.4E-2</v>
      </c>
      <c r="R7" s="331" t="s">
        <v>12</v>
      </c>
    </row>
    <row r="8" spans="1:18">
      <c r="A8" s="342">
        <v>0.01</v>
      </c>
      <c r="B8" s="342">
        <v>7</v>
      </c>
      <c r="C8" s="343">
        <v>904</v>
      </c>
      <c r="D8" s="342" t="s">
        <v>848</v>
      </c>
      <c r="E8" s="342">
        <v>0</v>
      </c>
      <c r="F8" s="342">
        <v>0</v>
      </c>
      <c r="G8" s="344">
        <v>0</v>
      </c>
      <c r="H8" s="346">
        <v>45412.763043981482</v>
      </c>
      <c r="I8" s="342">
        <v>8.9999999999999993E-3</v>
      </c>
      <c r="J8" s="342">
        <v>20.49</v>
      </c>
      <c r="K8" s="342">
        <v>8.9999999999999993E-3</v>
      </c>
      <c r="L8" s="342">
        <v>3.39</v>
      </c>
      <c r="M8" s="52">
        <v>1</v>
      </c>
      <c r="N8" s="52">
        <v>8.9999999999999993E-3</v>
      </c>
      <c r="O8" s="52">
        <v>8.9999999999999993E-3</v>
      </c>
      <c r="P8" s="339">
        <v>8.9999999999999993E-3</v>
      </c>
      <c r="Q8" s="339">
        <v>8.9999999999999993E-3</v>
      </c>
      <c r="R8" s="331" t="s">
        <v>12</v>
      </c>
    </row>
    <row r="9" spans="1:18">
      <c r="A9" s="342">
        <v>5.0000000000000001E-3</v>
      </c>
      <c r="B9" s="342">
        <v>8</v>
      </c>
      <c r="C9" s="343">
        <v>905</v>
      </c>
      <c r="D9" s="342" t="s">
        <v>848</v>
      </c>
      <c r="E9" s="342">
        <v>0</v>
      </c>
      <c r="F9" s="342">
        <v>0</v>
      </c>
      <c r="G9" s="344">
        <v>0</v>
      </c>
      <c r="H9" s="346">
        <v>45412.763854166667</v>
      </c>
      <c r="I9" s="350">
        <v>7.0000000000000001E-3</v>
      </c>
      <c r="J9" s="342">
        <v>17.88</v>
      </c>
      <c r="K9" s="342">
        <v>5.0000000000000001E-3</v>
      </c>
      <c r="L9" s="343">
        <v>1.98</v>
      </c>
      <c r="M9" s="52">
        <v>1</v>
      </c>
      <c r="N9" s="52">
        <v>7.0000000000000001E-3</v>
      </c>
      <c r="O9" s="52">
        <v>5.0000000000000001E-3</v>
      </c>
      <c r="P9" s="339">
        <v>7.0000000000000001E-3</v>
      </c>
      <c r="Q9" s="339" t="s">
        <v>886</v>
      </c>
      <c r="R9" s="331" t="s">
        <v>12</v>
      </c>
    </row>
    <row r="10" spans="1:18">
      <c r="A10" s="342" t="s">
        <v>81</v>
      </c>
      <c r="B10" s="342">
        <v>9</v>
      </c>
      <c r="C10" s="343">
        <v>906</v>
      </c>
      <c r="D10" s="342" t="s">
        <v>848</v>
      </c>
      <c r="E10" s="342">
        <v>0</v>
      </c>
      <c r="F10" s="342">
        <v>0</v>
      </c>
      <c r="G10" s="344">
        <v>0</v>
      </c>
      <c r="H10" s="345">
        <v>45412.764664351853</v>
      </c>
      <c r="I10" s="350">
        <v>-2E-3</v>
      </c>
      <c r="J10" s="342">
        <v>3.13</v>
      </c>
      <c r="K10" s="343">
        <v>2E-3</v>
      </c>
      <c r="L10" s="343">
        <v>0.55000000000000004</v>
      </c>
      <c r="M10" s="52">
        <v>1</v>
      </c>
      <c r="N10" s="52">
        <v>-2E-3</v>
      </c>
      <c r="O10" s="52">
        <v>2E-3</v>
      </c>
      <c r="P10" s="339" t="s">
        <v>887</v>
      </c>
      <c r="Q10" s="339" t="s">
        <v>886</v>
      </c>
      <c r="R10" s="331" t="s">
        <v>12</v>
      </c>
    </row>
    <row r="11" spans="1:18">
      <c r="A11" s="342" t="s">
        <v>850</v>
      </c>
      <c r="B11" s="342">
        <v>10</v>
      </c>
      <c r="C11" s="343">
        <v>0</v>
      </c>
      <c r="D11" s="342" t="s">
        <v>851</v>
      </c>
      <c r="E11" s="342">
        <v>0</v>
      </c>
      <c r="F11" s="342">
        <v>0</v>
      </c>
      <c r="G11" s="344">
        <v>0</v>
      </c>
      <c r="H11" s="345">
        <v>45412.765474537038</v>
      </c>
      <c r="I11" s="350">
        <v>-4.0000000000000001E-3</v>
      </c>
      <c r="J11" s="342">
        <v>0</v>
      </c>
      <c r="K11" s="343">
        <v>0</v>
      </c>
      <c r="L11" s="343">
        <v>0</v>
      </c>
      <c r="M11" s="52">
        <v>1</v>
      </c>
      <c r="N11" s="52">
        <v>-4.0000000000000001E-3</v>
      </c>
      <c r="O11" s="52">
        <v>0</v>
      </c>
      <c r="P11" s="339" t="s">
        <v>887</v>
      </c>
      <c r="Q11" s="339" t="s">
        <v>886</v>
      </c>
      <c r="R11" s="331" t="s">
        <v>12</v>
      </c>
    </row>
    <row r="12" spans="1:18">
      <c r="A12" s="342" t="s">
        <v>852</v>
      </c>
      <c r="B12" s="342">
        <v>11</v>
      </c>
      <c r="C12" s="343">
        <v>921</v>
      </c>
      <c r="D12" s="342" t="s">
        <v>853</v>
      </c>
      <c r="E12" s="342">
        <v>0</v>
      </c>
      <c r="F12" s="342">
        <v>1</v>
      </c>
      <c r="G12" s="344">
        <v>1</v>
      </c>
      <c r="H12" s="346">
        <v>45412.767905092594</v>
      </c>
      <c r="I12" s="342">
        <v>0.2</v>
      </c>
      <c r="J12" s="342">
        <v>336.42</v>
      </c>
      <c r="K12" s="342">
        <v>0.19800000000000001</v>
      </c>
      <c r="L12" s="342">
        <v>78.37</v>
      </c>
      <c r="M12" s="52">
        <v>1</v>
      </c>
      <c r="N12" s="52">
        <v>0.2</v>
      </c>
      <c r="O12" s="52">
        <v>0.19800000000000001</v>
      </c>
      <c r="P12" s="339">
        <v>0.2</v>
      </c>
      <c r="Q12" s="339">
        <v>0.19800000000000001</v>
      </c>
      <c r="R12" s="331" t="s">
        <v>12</v>
      </c>
    </row>
    <row r="13" spans="1:18">
      <c r="A13" s="342" t="s">
        <v>854</v>
      </c>
      <c r="B13" s="342">
        <v>12</v>
      </c>
      <c r="C13" s="343">
        <v>905</v>
      </c>
      <c r="D13" s="342" t="s">
        <v>855</v>
      </c>
      <c r="E13" s="342">
        <v>0</v>
      </c>
      <c r="F13" s="342">
        <v>1</v>
      </c>
      <c r="G13" s="344">
        <v>2</v>
      </c>
      <c r="H13" s="346">
        <v>45412.76871527778</v>
      </c>
      <c r="I13" s="350">
        <v>7.0000000000000001E-3</v>
      </c>
      <c r="J13" s="342">
        <v>18.12</v>
      </c>
      <c r="K13" s="342">
        <v>5.0000000000000001E-3</v>
      </c>
      <c r="L13" s="343">
        <v>1.69</v>
      </c>
      <c r="M13" s="52">
        <v>1</v>
      </c>
      <c r="N13" s="52">
        <v>7.0000000000000001E-3</v>
      </c>
      <c r="O13" s="52">
        <v>5.0000000000000001E-3</v>
      </c>
      <c r="P13" s="339">
        <v>7.0000000000000001E-3</v>
      </c>
      <c r="Q13" s="339" t="s">
        <v>886</v>
      </c>
      <c r="R13" s="331" t="s">
        <v>12</v>
      </c>
    </row>
    <row r="14" spans="1:18">
      <c r="A14" s="342" t="s">
        <v>854</v>
      </c>
      <c r="B14" s="342">
        <v>13</v>
      </c>
      <c r="C14" s="343">
        <v>905</v>
      </c>
      <c r="D14" s="342" t="s">
        <v>855</v>
      </c>
      <c r="E14" s="342">
        <v>0</v>
      </c>
      <c r="F14" s="342">
        <v>1</v>
      </c>
      <c r="G14" s="344">
        <v>3</v>
      </c>
      <c r="H14" s="346">
        <v>45412.769525462965</v>
      </c>
      <c r="I14" s="350">
        <v>7.0000000000000001E-3</v>
      </c>
      <c r="J14" s="342">
        <v>18.13</v>
      </c>
      <c r="K14" s="342">
        <v>5.0000000000000001E-3</v>
      </c>
      <c r="L14" s="343">
        <v>1.69</v>
      </c>
      <c r="M14" s="52">
        <v>1</v>
      </c>
      <c r="N14" s="52">
        <v>7.0000000000000001E-3</v>
      </c>
      <c r="O14" s="52">
        <v>5.0000000000000001E-3</v>
      </c>
      <c r="P14" s="339">
        <v>7.0000000000000001E-3</v>
      </c>
      <c r="Q14" s="339" t="s">
        <v>886</v>
      </c>
      <c r="R14" s="331" t="s">
        <v>12</v>
      </c>
    </row>
    <row r="15" spans="1:18">
      <c r="A15" s="342" t="s">
        <v>81</v>
      </c>
      <c r="B15" s="342">
        <v>14</v>
      </c>
      <c r="C15" s="343">
        <v>906</v>
      </c>
      <c r="D15" s="342" t="s">
        <v>856</v>
      </c>
      <c r="E15" s="342">
        <v>0</v>
      </c>
      <c r="F15" s="342">
        <v>0</v>
      </c>
      <c r="G15" s="344">
        <v>0</v>
      </c>
      <c r="H15" s="345">
        <v>45412.770335648151</v>
      </c>
      <c r="I15" s="350">
        <v>-2E-3</v>
      </c>
      <c r="J15" s="342">
        <v>3.39</v>
      </c>
      <c r="K15" s="343">
        <v>3.3000000000000002E-2</v>
      </c>
      <c r="L15" s="343">
        <v>12.84</v>
      </c>
      <c r="M15" s="52">
        <v>1</v>
      </c>
      <c r="N15" s="52">
        <v>-2E-3</v>
      </c>
      <c r="O15" s="52">
        <v>3.3000000000000002E-2</v>
      </c>
      <c r="P15" s="339" t="s">
        <v>887</v>
      </c>
      <c r="Q15" s="339">
        <v>3.3000000000000002E-2</v>
      </c>
      <c r="R15" s="331" t="s">
        <v>12</v>
      </c>
    </row>
    <row r="16" spans="1:18">
      <c r="A16" s="342" t="s">
        <v>888</v>
      </c>
      <c r="B16" s="342">
        <v>15</v>
      </c>
      <c r="C16" s="343">
        <v>907</v>
      </c>
      <c r="D16" s="342" t="s">
        <v>858</v>
      </c>
      <c r="E16" s="342">
        <v>0</v>
      </c>
      <c r="F16" s="342">
        <v>0</v>
      </c>
      <c r="G16" s="344">
        <v>1</v>
      </c>
      <c r="H16" s="346">
        <v>45412.771145833336</v>
      </c>
      <c r="I16" s="342">
        <v>0.14399999999999999</v>
      </c>
      <c r="J16" s="342">
        <v>244.03</v>
      </c>
      <c r="K16" s="342">
        <v>0.14799999999999999</v>
      </c>
      <c r="L16" s="342">
        <v>58.22</v>
      </c>
      <c r="M16" s="52">
        <v>1</v>
      </c>
      <c r="N16" s="52">
        <v>0.14399999999999999</v>
      </c>
      <c r="O16" s="52">
        <v>0.14799999999999999</v>
      </c>
      <c r="P16" s="339">
        <v>0.14399999999999999</v>
      </c>
      <c r="Q16" s="339">
        <v>0.14799999999999999</v>
      </c>
      <c r="R16" s="331" t="s">
        <v>12</v>
      </c>
    </row>
    <row r="17" spans="1:18">
      <c r="A17" s="342" t="s">
        <v>889</v>
      </c>
      <c r="B17" s="342">
        <v>16</v>
      </c>
      <c r="C17" s="343">
        <v>908</v>
      </c>
      <c r="D17" s="342" t="s">
        <v>860</v>
      </c>
      <c r="E17" s="342">
        <v>0</v>
      </c>
      <c r="F17" s="342">
        <v>0</v>
      </c>
      <c r="G17" s="344">
        <v>0</v>
      </c>
      <c r="H17" s="346">
        <v>45412.771956018521</v>
      </c>
      <c r="I17" s="342">
        <v>0.14799999999999999</v>
      </c>
      <c r="J17" s="342">
        <v>251.04</v>
      </c>
      <c r="K17" s="342">
        <v>3.9E-2</v>
      </c>
      <c r="L17" s="342">
        <v>15.25</v>
      </c>
      <c r="M17" s="52">
        <v>1</v>
      </c>
      <c r="N17" s="52">
        <v>0.14799999999999999</v>
      </c>
      <c r="O17" s="52">
        <v>3.9E-2</v>
      </c>
      <c r="P17" s="339">
        <v>0.14799999999999999</v>
      </c>
      <c r="Q17" s="339">
        <v>3.9E-2</v>
      </c>
      <c r="R17" s="331" t="s">
        <v>12</v>
      </c>
    </row>
    <row r="18" spans="1:18">
      <c r="A18" s="342" t="s">
        <v>890</v>
      </c>
      <c r="B18" s="342">
        <v>17</v>
      </c>
      <c r="C18" s="343">
        <v>909</v>
      </c>
      <c r="D18" s="342" t="s">
        <v>860</v>
      </c>
      <c r="E18" s="342">
        <v>0</v>
      </c>
      <c r="F18" s="342">
        <v>0</v>
      </c>
      <c r="G18" s="344">
        <v>0</v>
      </c>
      <c r="H18" s="346">
        <v>45412.772766203707</v>
      </c>
      <c r="I18" s="342">
        <v>0.153</v>
      </c>
      <c r="J18" s="342">
        <v>259.20999999999998</v>
      </c>
      <c r="K18" s="342">
        <v>0.11899999999999999</v>
      </c>
      <c r="L18" s="342">
        <v>47.12</v>
      </c>
      <c r="M18" s="52">
        <v>1</v>
      </c>
      <c r="N18" s="52">
        <v>0.153</v>
      </c>
      <c r="O18" s="52">
        <v>0.11899999999999999</v>
      </c>
      <c r="P18" s="339">
        <v>0.153</v>
      </c>
      <c r="Q18" s="339">
        <v>0.11899999999999999</v>
      </c>
      <c r="R18" s="331" t="s">
        <v>12</v>
      </c>
    </row>
    <row r="19" spans="1:18">
      <c r="A19" s="342">
        <v>35</v>
      </c>
      <c r="B19" s="342">
        <v>18</v>
      </c>
      <c r="C19" s="343">
        <v>1</v>
      </c>
      <c r="D19" s="342" t="s">
        <v>856</v>
      </c>
      <c r="E19" s="342">
        <v>0</v>
      </c>
      <c r="F19" s="342">
        <v>0</v>
      </c>
      <c r="G19" s="344">
        <v>0</v>
      </c>
      <c r="H19" s="345">
        <v>45412.773576388892</v>
      </c>
      <c r="I19" s="350">
        <v>6.0000000000000001E-3</v>
      </c>
      <c r="J19" s="342">
        <v>15.95</v>
      </c>
      <c r="K19" s="343">
        <v>1.2999999999999999E-2</v>
      </c>
      <c r="L19" s="343">
        <v>4.8600000000000003</v>
      </c>
      <c r="M19" s="52">
        <v>1</v>
      </c>
      <c r="N19" s="52">
        <v>6.0000000000000001E-3</v>
      </c>
      <c r="O19" s="52">
        <v>1.2999999999999999E-2</v>
      </c>
      <c r="P19" s="339">
        <v>6.0000000000000001E-3</v>
      </c>
      <c r="Q19" s="339">
        <v>1.2999999999999999E-2</v>
      </c>
      <c r="R19" s="331" t="s">
        <v>12</v>
      </c>
    </row>
    <row r="20" spans="1:18">
      <c r="A20" s="342">
        <v>191</v>
      </c>
      <c r="B20" s="342">
        <v>19</v>
      </c>
      <c r="C20" s="343">
        <v>2</v>
      </c>
      <c r="D20" s="342" t="s">
        <v>856</v>
      </c>
      <c r="E20" s="342">
        <v>0</v>
      </c>
      <c r="F20" s="342">
        <v>0</v>
      </c>
      <c r="G20" s="344">
        <v>0</v>
      </c>
      <c r="H20" s="346">
        <v>45412.774386574078</v>
      </c>
      <c r="I20" s="350">
        <v>0.01</v>
      </c>
      <c r="J20" s="342">
        <v>22.27</v>
      </c>
      <c r="K20" s="342">
        <v>8.0000000000000002E-3</v>
      </c>
      <c r="L20" s="343">
        <v>3.1</v>
      </c>
      <c r="M20" s="52">
        <v>1</v>
      </c>
      <c r="N20" s="52">
        <v>0.01</v>
      </c>
      <c r="O20" s="52">
        <v>8.0000000000000002E-3</v>
      </c>
      <c r="P20" s="339">
        <v>0.01</v>
      </c>
      <c r="Q20" s="339">
        <v>8.0000000000000002E-3</v>
      </c>
      <c r="R20" s="331" t="s">
        <v>12</v>
      </c>
    </row>
    <row r="21" spans="1:18">
      <c r="A21" s="342">
        <v>100</v>
      </c>
      <c r="B21" s="342">
        <v>20</v>
      </c>
      <c r="C21" s="343">
        <v>3</v>
      </c>
      <c r="D21" s="342" t="s">
        <v>856</v>
      </c>
      <c r="E21" s="342">
        <v>0</v>
      </c>
      <c r="F21" s="342">
        <v>0</v>
      </c>
      <c r="G21" s="344">
        <v>0</v>
      </c>
      <c r="H21" s="346">
        <v>45412.775196759256</v>
      </c>
      <c r="I21" s="350">
        <v>8.9999999999999993E-3</v>
      </c>
      <c r="J21" s="342">
        <v>20.61</v>
      </c>
      <c r="K21" s="342">
        <v>7.0000000000000001E-3</v>
      </c>
      <c r="L21" s="343">
        <v>2.4500000000000002</v>
      </c>
      <c r="M21" s="52">
        <v>1</v>
      </c>
      <c r="N21" s="52">
        <v>8.9999999999999993E-3</v>
      </c>
      <c r="O21" s="52">
        <v>7.0000000000000001E-3</v>
      </c>
      <c r="P21" s="339">
        <v>8.9999999999999993E-3</v>
      </c>
      <c r="Q21" s="339">
        <v>7.0000000000000001E-3</v>
      </c>
      <c r="R21" s="331" t="s">
        <v>12</v>
      </c>
    </row>
    <row r="22" spans="1:18">
      <c r="A22" s="342">
        <v>22</v>
      </c>
      <c r="B22" s="342">
        <v>21</v>
      </c>
      <c r="C22" s="343">
        <v>4</v>
      </c>
      <c r="D22" s="342" t="s">
        <v>856</v>
      </c>
      <c r="E22" s="342">
        <v>0</v>
      </c>
      <c r="F22" s="342">
        <v>0</v>
      </c>
      <c r="G22" s="344">
        <v>0</v>
      </c>
      <c r="H22" s="346">
        <v>45412.776006944441</v>
      </c>
      <c r="I22" s="350">
        <v>8.9999999999999993E-3</v>
      </c>
      <c r="J22" s="342">
        <v>21.03</v>
      </c>
      <c r="K22" s="342">
        <v>1.4E-2</v>
      </c>
      <c r="L22" s="343">
        <v>5.39</v>
      </c>
      <c r="M22" s="52">
        <v>1</v>
      </c>
      <c r="N22" s="52">
        <v>8.9999999999999993E-3</v>
      </c>
      <c r="O22" s="52">
        <v>1.4E-2</v>
      </c>
      <c r="P22" s="339">
        <v>8.9999999999999993E-3</v>
      </c>
      <c r="Q22" s="339">
        <v>1.4E-2</v>
      </c>
      <c r="R22" s="331" t="s">
        <v>12</v>
      </c>
    </row>
    <row r="23" spans="1:18">
      <c r="A23" s="342">
        <v>74</v>
      </c>
      <c r="B23" s="342">
        <v>22</v>
      </c>
      <c r="C23" s="343">
        <v>5</v>
      </c>
      <c r="D23" s="342" t="s">
        <v>856</v>
      </c>
      <c r="E23" s="342">
        <v>0</v>
      </c>
      <c r="F23" s="342">
        <v>0</v>
      </c>
      <c r="G23" s="344">
        <v>0</v>
      </c>
      <c r="H23" s="345">
        <v>45412.776817129627</v>
      </c>
      <c r="I23" s="350">
        <v>2.1000000000000001E-2</v>
      </c>
      <c r="J23" s="342">
        <v>41.19</v>
      </c>
      <c r="K23" s="343">
        <v>3.9E-2</v>
      </c>
      <c r="L23" s="343">
        <v>15.43</v>
      </c>
      <c r="M23" s="52">
        <v>1</v>
      </c>
      <c r="N23" s="52">
        <v>2.1000000000000001E-2</v>
      </c>
      <c r="O23" s="52">
        <v>3.9E-2</v>
      </c>
      <c r="P23" s="339">
        <v>2.1000000000000001E-2</v>
      </c>
      <c r="Q23" s="339">
        <v>3.9E-2</v>
      </c>
      <c r="R23" s="331" t="s">
        <v>12</v>
      </c>
    </row>
    <row r="24" spans="1:18">
      <c r="A24" s="342">
        <v>48</v>
      </c>
      <c r="B24" s="342">
        <v>23</v>
      </c>
      <c r="C24" s="343">
        <v>6</v>
      </c>
      <c r="D24" s="342" t="s">
        <v>856</v>
      </c>
      <c r="E24" s="342">
        <v>0</v>
      </c>
      <c r="F24" s="342">
        <v>0</v>
      </c>
      <c r="G24" s="344">
        <v>0</v>
      </c>
      <c r="H24" s="346">
        <v>45412.777627314812</v>
      </c>
      <c r="I24" s="350">
        <v>0.01</v>
      </c>
      <c r="J24" s="342">
        <v>22.44</v>
      </c>
      <c r="K24" s="342">
        <v>8.9999999999999993E-3</v>
      </c>
      <c r="L24" s="343">
        <v>3.6</v>
      </c>
      <c r="M24" s="52">
        <v>1</v>
      </c>
      <c r="N24" s="52">
        <v>0.01</v>
      </c>
      <c r="O24" s="52">
        <v>8.9999999999999993E-3</v>
      </c>
      <c r="P24" s="339">
        <v>0.01</v>
      </c>
      <c r="Q24" s="339">
        <v>8.9999999999999993E-3</v>
      </c>
      <c r="R24" s="331" t="s">
        <v>12</v>
      </c>
    </row>
    <row r="25" spans="1:18">
      <c r="A25" s="342">
        <v>9</v>
      </c>
      <c r="B25" s="342">
        <v>24</v>
      </c>
      <c r="C25" s="343">
        <v>7</v>
      </c>
      <c r="D25" s="342" t="s">
        <v>856</v>
      </c>
      <c r="E25" s="342">
        <v>0</v>
      </c>
      <c r="F25" s="342">
        <v>0</v>
      </c>
      <c r="G25" s="344">
        <v>0</v>
      </c>
      <c r="H25" s="346">
        <v>45412.778437499997</v>
      </c>
      <c r="I25" s="350">
        <v>0.01</v>
      </c>
      <c r="J25" s="342">
        <v>23.48</v>
      </c>
      <c r="K25" s="342">
        <v>0</v>
      </c>
      <c r="L25" s="343">
        <v>-0.23</v>
      </c>
      <c r="M25" s="52">
        <v>1</v>
      </c>
      <c r="N25" s="52">
        <v>0.01</v>
      </c>
      <c r="O25" s="52">
        <v>0</v>
      </c>
      <c r="P25" s="339">
        <v>0.01</v>
      </c>
      <c r="Q25" s="339" t="s">
        <v>886</v>
      </c>
      <c r="R25" s="331" t="s">
        <v>12</v>
      </c>
    </row>
    <row r="26" spans="1:18">
      <c r="A26" s="342">
        <v>126</v>
      </c>
      <c r="B26" s="342">
        <v>25</v>
      </c>
      <c r="C26" s="343">
        <v>8</v>
      </c>
      <c r="D26" s="342" t="s">
        <v>856</v>
      </c>
      <c r="E26" s="342">
        <v>0</v>
      </c>
      <c r="F26" s="342">
        <v>0</v>
      </c>
      <c r="G26" s="344">
        <v>0</v>
      </c>
      <c r="H26" s="345">
        <v>45412.779247685183</v>
      </c>
      <c r="I26" s="350">
        <v>1.4999999999999999E-2</v>
      </c>
      <c r="J26" s="342">
        <v>31.31</v>
      </c>
      <c r="K26" s="343">
        <v>4.0000000000000001E-3</v>
      </c>
      <c r="L26" s="343">
        <v>1.34</v>
      </c>
      <c r="M26" s="52">
        <v>1</v>
      </c>
      <c r="N26" s="52">
        <v>1.4999999999999999E-2</v>
      </c>
      <c r="O26" s="52">
        <v>4.0000000000000001E-3</v>
      </c>
      <c r="P26" s="339">
        <v>1.4999999999999999E-2</v>
      </c>
      <c r="Q26" s="339" t="s">
        <v>886</v>
      </c>
      <c r="R26" s="331" t="s">
        <v>12</v>
      </c>
    </row>
    <row r="27" spans="1:18">
      <c r="A27" s="342">
        <v>139</v>
      </c>
      <c r="B27" s="342">
        <v>26</v>
      </c>
      <c r="C27" s="343">
        <v>9</v>
      </c>
      <c r="D27" s="342" t="s">
        <v>856</v>
      </c>
      <c r="E27" s="342">
        <v>0</v>
      </c>
      <c r="F27" s="342">
        <v>0</v>
      </c>
      <c r="G27" s="344">
        <v>0</v>
      </c>
      <c r="H27" s="345">
        <v>45412.780057870368</v>
      </c>
      <c r="I27" s="350">
        <v>1.4999999999999999E-2</v>
      </c>
      <c r="J27" s="342">
        <v>31.66</v>
      </c>
      <c r="K27" s="343">
        <v>5.0000000000000001E-3</v>
      </c>
      <c r="L27" s="343">
        <v>1.66</v>
      </c>
      <c r="M27" s="52">
        <v>1</v>
      </c>
      <c r="N27" s="52">
        <v>1.4999999999999999E-2</v>
      </c>
      <c r="O27" s="52">
        <v>5.0000000000000001E-3</v>
      </c>
      <c r="P27" s="339">
        <v>1.4999999999999999E-2</v>
      </c>
      <c r="Q27" s="339" t="s">
        <v>886</v>
      </c>
      <c r="R27" s="331" t="s">
        <v>12</v>
      </c>
    </row>
    <row r="28" spans="1:18">
      <c r="A28" s="342">
        <v>152</v>
      </c>
      <c r="B28" s="342">
        <v>27</v>
      </c>
      <c r="C28" s="343">
        <v>10</v>
      </c>
      <c r="D28" s="342" t="s">
        <v>856</v>
      </c>
      <c r="E28" s="342">
        <v>0</v>
      </c>
      <c r="F28" s="342">
        <v>0</v>
      </c>
      <c r="G28" s="344">
        <v>0</v>
      </c>
      <c r="H28" s="345">
        <v>45412.780868055554</v>
      </c>
      <c r="I28" s="350">
        <v>1.2999999999999999E-2</v>
      </c>
      <c r="J28" s="342">
        <v>28.23</v>
      </c>
      <c r="K28" s="343">
        <v>3.0000000000000001E-3</v>
      </c>
      <c r="L28" s="343">
        <v>0.97</v>
      </c>
      <c r="M28" s="52">
        <v>1</v>
      </c>
      <c r="N28" s="52">
        <v>1.2999999999999999E-2</v>
      </c>
      <c r="O28" s="52">
        <v>3.0000000000000001E-3</v>
      </c>
      <c r="P28" s="339">
        <v>1.2999999999999999E-2</v>
      </c>
      <c r="Q28" s="339" t="s">
        <v>886</v>
      </c>
      <c r="R28" s="331" t="s">
        <v>12</v>
      </c>
    </row>
    <row r="29" spans="1:18">
      <c r="A29" s="342" t="s">
        <v>891</v>
      </c>
      <c r="B29" s="342">
        <v>28</v>
      </c>
      <c r="C29" s="343">
        <v>11</v>
      </c>
      <c r="D29" s="342" t="s">
        <v>858</v>
      </c>
      <c r="E29" s="342">
        <v>0</v>
      </c>
      <c r="F29" s="342">
        <v>0</v>
      </c>
      <c r="G29" s="344">
        <v>1</v>
      </c>
      <c r="H29" s="346">
        <v>45412.781678240739</v>
      </c>
      <c r="I29" s="342">
        <v>0.158</v>
      </c>
      <c r="J29" s="342">
        <v>267.44</v>
      </c>
      <c r="K29" s="342">
        <v>0.14899999999999999</v>
      </c>
      <c r="L29" s="342">
        <v>59</v>
      </c>
      <c r="M29" s="52">
        <v>1</v>
      </c>
      <c r="N29" s="52">
        <v>0.158</v>
      </c>
      <c r="O29" s="52">
        <v>0.14899999999999999</v>
      </c>
      <c r="P29" s="339">
        <v>0.158</v>
      </c>
      <c r="Q29" s="339">
        <v>0.14899999999999999</v>
      </c>
      <c r="R29" s="331" t="s">
        <v>12</v>
      </c>
    </row>
    <row r="30" spans="1:18">
      <c r="A30" s="342" t="s">
        <v>889</v>
      </c>
      <c r="B30" s="342">
        <v>29</v>
      </c>
      <c r="C30" s="343">
        <v>908</v>
      </c>
      <c r="D30" s="342" t="s">
        <v>860</v>
      </c>
      <c r="E30" s="342">
        <v>0</v>
      </c>
      <c r="F30" s="342">
        <v>0</v>
      </c>
      <c r="G30" s="344">
        <v>0</v>
      </c>
      <c r="H30" s="346">
        <v>45412.782488425924</v>
      </c>
      <c r="I30" s="342">
        <v>0.14599999999999999</v>
      </c>
      <c r="J30" s="342">
        <v>247.96</v>
      </c>
      <c r="K30" s="342">
        <v>3.2000000000000001E-2</v>
      </c>
      <c r="L30" s="342">
        <v>12.7</v>
      </c>
      <c r="M30" s="52">
        <v>1</v>
      </c>
      <c r="N30" s="52">
        <v>0.14599999999999999</v>
      </c>
      <c r="O30" s="52">
        <v>3.2000000000000001E-2</v>
      </c>
      <c r="P30" s="339">
        <v>0.14599999999999999</v>
      </c>
      <c r="Q30" s="339">
        <v>3.2000000000000001E-2</v>
      </c>
      <c r="R30" s="331" t="s">
        <v>12</v>
      </c>
    </row>
    <row r="31" spans="1:18">
      <c r="A31" s="342" t="s">
        <v>890</v>
      </c>
      <c r="B31" s="342">
        <v>30</v>
      </c>
      <c r="C31" s="343">
        <v>909</v>
      </c>
      <c r="D31" s="342" t="s">
        <v>860</v>
      </c>
      <c r="E31" s="342">
        <v>0</v>
      </c>
      <c r="F31" s="342">
        <v>0</v>
      </c>
      <c r="G31" s="344">
        <v>0</v>
      </c>
      <c r="H31" s="346">
        <v>45412.78329861111</v>
      </c>
      <c r="I31" s="342">
        <v>0.152</v>
      </c>
      <c r="J31" s="342">
        <v>257.72000000000003</v>
      </c>
      <c r="K31" s="342">
        <v>0.121</v>
      </c>
      <c r="L31" s="342">
        <v>47.87</v>
      </c>
      <c r="M31" s="52">
        <v>1</v>
      </c>
      <c r="N31" s="52">
        <v>0.152</v>
      </c>
      <c r="O31" s="52">
        <v>0.121</v>
      </c>
      <c r="P31" s="339">
        <v>0.152</v>
      </c>
      <c r="Q31" s="339">
        <v>0.121</v>
      </c>
      <c r="R31" s="331" t="s">
        <v>12</v>
      </c>
    </row>
    <row r="32" spans="1:18">
      <c r="A32" s="342" t="s">
        <v>850</v>
      </c>
      <c r="B32" s="342">
        <v>31</v>
      </c>
      <c r="C32" s="343">
        <v>0</v>
      </c>
      <c r="D32" s="342" t="s">
        <v>851</v>
      </c>
      <c r="E32" s="342">
        <v>0</v>
      </c>
      <c r="F32" s="342">
        <v>0</v>
      </c>
      <c r="G32" s="344">
        <v>0</v>
      </c>
      <c r="H32" s="345">
        <v>45412.784108796295</v>
      </c>
      <c r="I32" s="350">
        <v>-4.0000000000000001E-3</v>
      </c>
      <c r="J32" s="342">
        <v>0</v>
      </c>
      <c r="K32" s="343">
        <v>0</v>
      </c>
      <c r="L32" s="343">
        <v>0</v>
      </c>
      <c r="M32" s="52">
        <v>1</v>
      </c>
      <c r="N32" s="52">
        <v>-4.0000000000000001E-3</v>
      </c>
      <c r="O32" s="52">
        <v>0</v>
      </c>
      <c r="P32" s="339" t="s">
        <v>887</v>
      </c>
      <c r="Q32" s="339" t="s">
        <v>886</v>
      </c>
      <c r="R32" s="331" t="s">
        <v>12</v>
      </c>
    </row>
    <row r="33" spans="1:18">
      <c r="A33" s="342">
        <v>165</v>
      </c>
      <c r="B33" s="342">
        <v>32</v>
      </c>
      <c r="C33" s="343">
        <v>12</v>
      </c>
      <c r="D33" s="342" t="s">
        <v>856</v>
      </c>
      <c r="E33" s="342">
        <v>0</v>
      </c>
      <c r="F33" s="342">
        <v>0</v>
      </c>
      <c r="G33" s="344">
        <v>0</v>
      </c>
      <c r="H33" s="346">
        <v>45412.786539351851</v>
      </c>
      <c r="I33" s="350">
        <v>4.0000000000000001E-3</v>
      </c>
      <c r="J33" s="342">
        <v>13.27</v>
      </c>
      <c r="K33" s="342">
        <v>1E-3</v>
      </c>
      <c r="L33" s="343">
        <v>0.44</v>
      </c>
      <c r="M33" s="52">
        <v>1</v>
      </c>
      <c r="N33" s="52">
        <v>4.0000000000000001E-3</v>
      </c>
      <c r="O33" s="52">
        <v>1E-3</v>
      </c>
      <c r="P33" s="339">
        <v>4.0000000000000001E-3</v>
      </c>
      <c r="Q33" s="339" t="s">
        <v>886</v>
      </c>
      <c r="R33" s="331" t="s">
        <v>12</v>
      </c>
    </row>
    <row r="34" spans="1:18">
      <c r="A34" s="342">
        <v>230</v>
      </c>
      <c r="B34" s="342">
        <v>33</v>
      </c>
      <c r="C34" s="343">
        <v>13</v>
      </c>
      <c r="D34" s="342" t="s">
        <v>856</v>
      </c>
      <c r="E34" s="342">
        <v>0</v>
      </c>
      <c r="F34" s="342">
        <v>0</v>
      </c>
      <c r="G34" s="344">
        <v>0</v>
      </c>
      <c r="H34" s="346">
        <v>45412.787349537037</v>
      </c>
      <c r="I34" s="350">
        <v>5.0000000000000001E-3</v>
      </c>
      <c r="J34" s="342">
        <v>14.88</v>
      </c>
      <c r="K34" s="342">
        <v>6.0000000000000001E-3</v>
      </c>
      <c r="L34" s="343">
        <v>2.04</v>
      </c>
      <c r="M34" s="52">
        <v>1</v>
      </c>
      <c r="N34" s="52">
        <v>5.0000000000000001E-3</v>
      </c>
      <c r="O34" s="52">
        <v>6.0000000000000001E-3</v>
      </c>
      <c r="P34" s="339">
        <v>5.0000000000000001E-3</v>
      </c>
      <c r="Q34" s="339" t="s">
        <v>886</v>
      </c>
      <c r="R34" s="331" t="s">
        <v>12</v>
      </c>
    </row>
    <row r="35" spans="1:18">
      <c r="A35" s="342">
        <v>373</v>
      </c>
      <c r="B35" s="342">
        <v>34</v>
      </c>
      <c r="C35" s="343">
        <v>14</v>
      </c>
      <c r="D35" s="342" t="s">
        <v>856</v>
      </c>
      <c r="E35" s="342">
        <v>0</v>
      </c>
      <c r="F35" s="342">
        <v>0</v>
      </c>
      <c r="G35" s="344">
        <v>0</v>
      </c>
      <c r="H35" s="346">
        <v>45412.788159722222</v>
      </c>
      <c r="I35" s="350">
        <v>3.0000000000000001E-3</v>
      </c>
      <c r="J35" s="342">
        <v>11.84</v>
      </c>
      <c r="K35" s="342">
        <v>1.7000000000000001E-2</v>
      </c>
      <c r="L35" s="343">
        <v>6.58</v>
      </c>
      <c r="M35" s="52">
        <v>1</v>
      </c>
      <c r="N35" s="52">
        <v>3.0000000000000001E-3</v>
      </c>
      <c r="O35" s="52">
        <v>1.7000000000000001E-2</v>
      </c>
      <c r="P35" s="339">
        <v>3.0000000000000001E-3</v>
      </c>
      <c r="Q35" s="339">
        <v>1.7000000000000001E-2</v>
      </c>
      <c r="R35" s="331" t="s">
        <v>12</v>
      </c>
    </row>
    <row r="36" spans="1:18">
      <c r="A36" s="342">
        <v>243</v>
      </c>
      <c r="B36" s="342">
        <v>35</v>
      </c>
      <c r="C36" s="343">
        <v>15</v>
      </c>
      <c r="D36" s="342" t="s">
        <v>856</v>
      </c>
      <c r="E36" s="342">
        <v>0</v>
      </c>
      <c r="F36" s="342">
        <v>0</v>
      </c>
      <c r="G36" s="344">
        <v>0</v>
      </c>
      <c r="H36" s="345">
        <v>45412.788969907408</v>
      </c>
      <c r="I36" s="350">
        <v>1.2999999999999999E-2</v>
      </c>
      <c r="J36" s="342">
        <v>27.72</v>
      </c>
      <c r="K36" s="343">
        <v>2.5000000000000001E-2</v>
      </c>
      <c r="L36" s="343">
        <v>9.85</v>
      </c>
      <c r="M36" s="52">
        <v>1</v>
      </c>
      <c r="N36" s="52">
        <v>1.2999999999999999E-2</v>
      </c>
      <c r="O36" s="52">
        <v>2.5000000000000001E-2</v>
      </c>
      <c r="P36" s="339">
        <v>1.2999999999999999E-2</v>
      </c>
      <c r="Q36" s="339">
        <v>2.5000000000000001E-2</v>
      </c>
      <c r="R36" s="331" t="s">
        <v>12</v>
      </c>
    </row>
    <row r="37" spans="1:18">
      <c r="A37" s="342">
        <v>217</v>
      </c>
      <c r="B37" s="342">
        <v>36</v>
      </c>
      <c r="C37" s="343">
        <v>16</v>
      </c>
      <c r="D37" s="342" t="s">
        <v>856</v>
      </c>
      <c r="E37" s="342">
        <v>0</v>
      </c>
      <c r="F37" s="342">
        <v>0</v>
      </c>
      <c r="G37" s="344">
        <v>0</v>
      </c>
      <c r="H37" s="346">
        <v>45412.789780092593</v>
      </c>
      <c r="I37" s="350">
        <v>1.2999999999999999E-2</v>
      </c>
      <c r="J37" s="342">
        <v>27.26</v>
      </c>
      <c r="K37" s="342">
        <v>5.0000000000000001E-3</v>
      </c>
      <c r="L37" s="343">
        <v>1.94</v>
      </c>
      <c r="M37" s="52">
        <v>1</v>
      </c>
      <c r="N37" s="52">
        <v>1.2999999999999999E-2</v>
      </c>
      <c r="O37" s="52">
        <v>5.0000000000000001E-3</v>
      </c>
      <c r="P37" s="339">
        <v>1.2999999999999999E-2</v>
      </c>
      <c r="Q37" s="339" t="s">
        <v>886</v>
      </c>
      <c r="R37" s="331" t="s">
        <v>12</v>
      </c>
    </row>
    <row r="38" spans="1:18">
      <c r="A38" s="342">
        <v>269</v>
      </c>
      <c r="B38" s="342">
        <v>37</v>
      </c>
      <c r="C38" s="343">
        <v>17</v>
      </c>
      <c r="D38" s="342" t="s">
        <v>856</v>
      </c>
      <c r="E38" s="342">
        <v>0</v>
      </c>
      <c r="F38" s="342">
        <v>0</v>
      </c>
      <c r="G38" s="344">
        <v>0</v>
      </c>
      <c r="H38" s="346">
        <v>45412.790590277778</v>
      </c>
      <c r="I38" s="350">
        <v>8.9999999999999993E-3</v>
      </c>
      <c r="J38" s="342">
        <v>20.399999999999999</v>
      </c>
      <c r="K38" s="342">
        <v>3.0000000000000001E-3</v>
      </c>
      <c r="L38" s="343">
        <v>1.1000000000000001</v>
      </c>
      <c r="M38" s="52">
        <v>1</v>
      </c>
      <c r="N38" s="52">
        <v>8.9999999999999993E-3</v>
      </c>
      <c r="O38" s="52">
        <v>3.0000000000000001E-3</v>
      </c>
      <c r="P38" s="339">
        <v>8.9999999999999993E-3</v>
      </c>
      <c r="Q38" s="339" t="s">
        <v>886</v>
      </c>
      <c r="R38" s="331" t="s">
        <v>12</v>
      </c>
    </row>
    <row r="39" spans="1:18">
      <c r="A39" s="342">
        <v>282</v>
      </c>
      <c r="B39" s="342">
        <v>38</v>
      </c>
      <c r="C39" s="343">
        <v>18</v>
      </c>
      <c r="D39" s="342" t="s">
        <v>856</v>
      </c>
      <c r="E39" s="342">
        <v>0</v>
      </c>
      <c r="F39" s="342">
        <v>0</v>
      </c>
      <c r="G39" s="344">
        <v>0</v>
      </c>
      <c r="H39" s="346">
        <v>45412.791400462964</v>
      </c>
      <c r="I39" s="350">
        <v>-3.0000000000000001E-3</v>
      </c>
      <c r="J39" s="342">
        <v>2.14</v>
      </c>
      <c r="K39" s="342">
        <v>0</v>
      </c>
      <c r="L39" s="343">
        <v>0.01</v>
      </c>
      <c r="M39" s="52">
        <v>1</v>
      </c>
      <c r="N39" s="52">
        <v>-3.0000000000000001E-3</v>
      </c>
      <c r="O39" s="52">
        <v>0</v>
      </c>
      <c r="P39" s="339" t="s">
        <v>887</v>
      </c>
      <c r="Q39" s="339" t="s">
        <v>886</v>
      </c>
      <c r="R39" s="331" t="s">
        <v>582</v>
      </c>
    </row>
    <row r="40" spans="1:18">
      <c r="A40" s="342">
        <v>256</v>
      </c>
      <c r="B40" s="342">
        <v>39</v>
      </c>
      <c r="C40" s="343">
        <v>19</v>
      </c>
      <c r="D40" s="342" t="s">
        <v>856</v>
      </c>
      <c r="E40" s="342">
        <v>0</v>
      </c>
      <c r="F40" s="342">
        <v>0</v>
      </c>
      <c r="G40" s="344">
        <v>0</v>
      </c>
      <c r="H40" s="345">
        <v>45412.792210648149</v>
      </c>
      <c r="I40" s="350">
        <v>1E-3</v>
      </c>
      <c r="J40" s="342">
        <v>7.87</v>
      </c>
      <c r="K40" s="343">
        <v>6.0000000000000001E-3</v>
      </c>
      <c r="L40" s="343">
        <v>2.3199999999999998</v>
      </c>
      <c r="M40" s="52">
        <v>1</v>
      </c>
      <c r="N40" s="52">
        <v>1E-3</v>
      </c>
      <c r="O40" s="52">
        <v>6.0000000000000001E-3</v>
      </c>
      <c r="P40" s="339">
        <v>1E-3</v>
      </c>
      <c r="Q40" s="339" t="s">
        <v>886</v>
      </c>
      <c r="R40" s="331" t="s">
        <v>12</v>
      </c>
    </row>
    <row r="41" spans="1:18">
      <c r="A41" s="342">
        <v>321</v>
      </c>
      <c r="B41" s="342">
        <v>40</v>
      </c>
      <c r="C41" s="343">
        <v>20</v>
      </c>
      <c r="D41" s="342" t="s">
        <v>856</v>
      </c>
      <c r="E41" s="342">
        <v>0</v>
      </c>
      <c r="F41" s="342">
        <v>0</v>
      </c>
      <c r="G41" s="344">
        <v>0</v>
      </c>
      <c r="H41" s="346">
        <v>45412.793020833335</v>
      </c>
      <c r="I41" s="350">
        <v>2E-3</v>
      </c>
      <c r="J41" s="342">
        <v>8.7899999999999991</v>
      </c>
      <c r="K41" s="342">
        <v>8.9999999999999993E-3</v>
      </c>
      <c r="L41" s="343">
        <v>3.57</v>
      </c>
      <c r="M41" s="52">
        <v>1</v>
      </c>
      <c r="N41" s="52">
        <v>2E-3</v>
      </c>
      <c r="O41" s="52">
        <v>8.9999999999999993E-3</v>
      </c>
      <c r="P41" s="339">
        <v>2E-3</v>
      </c>
      <c r="Q41" s="339">
        <v>8.9999999999999993E-3</v>
      </c>
      <c r="R41" s="331" t="s">
        <v>12</v>
      </c>
    </row>
    <row r="42" spans="1:18">
      <c r="A42" s="342">
        <v>87</v>
      </c>
      <c r="B42" s="342">
        <v>41</v>
      </c>
      <c r="C42" s="343">
        <v>21</v>
      </c>
      <c r="D42" s="342" t="s">
        <v>856</v>
      </c>
      <c r="E42" s="342">
        <v>0</v>
      </c>
      <c r="F42" s="342">
        <v>0</v>
      </c>
      <c r="G42" s="344">
        <v>0</v>
      </c>
      <c r="H42" s="346">
        <v>45412.79383101852</v>
      </c>
      <c r="I42" s="342">
        <v>5.0000000000000001E-3</v>
      </c>
      <c r="J42" s="342">
        <v>14.85</v>
      </c>
      <c r="K42" s="342">
        <v>5.0000000000000001E-3</v>
      </c>
      <c r="L42" s="342">
        <v>1.88</v>
      </c>
      <c r="M42" s="52">
        <v>1</v>
      </c>
      <c r="N42" s="52">
        <v>5.0000000000000001E-3</v>
      </c>
      <c r="O42" s="52">
        <v>5.0000000000000001E-3</v>
      </c>
      <c r="P42" s="339">
        <v>5.0000000000000001E-3</v>
      </c>
      <c r="Q42" s="339" t="s">
        <v>886</v>
      </c>
      <c r="R42" s="331" t="s">
        <v>12</v>
      </c>
    </row>
    <row r="43" spans="1:18">
      <c r="A43" s="342" t="s">
        <v>892</v>
      </c>
      <c r="B43" s="342">
        <v>42</v>
      </c>
      <c r="C43" s="343">
        <v>22</v>
      </c>
      <c r="D43" s="342" t="s">
        <v>858</v>
      </c>
      <c r="E43" s="342">
        <v>0</v>
      </c>
      <c r="F43" s="342">
        <v>0</v>
      </c>
      <c r="G43" s="344">
        <v>1</v>
      </c>
      <c r="H43" s="346">
        <v>45412.794641203705</v>
      </c>
      <c r="I43" s="342">
        <v>0.14799999999999999</v>
      </c>
      <c r="J43" s="342">
        <v>251.68</v>
      </c>
      <c r="K43" s="342">
        <v>0.151</v>
      </c>
      <c r="L43" s="342">
        <v>59.76</v>
      </c>
      <c r="M43" s="52">
        <v>1</v>
      </c>
      <c r="N43" s="52">
        <v>0.14799999999999999</v>
      </c>
      <c r="O43" s="52">
        <v>0.151</v>
      </c>
      <c r="P43" s="339">
        <v>0.14799999999999999</v>
      </c>
      <c r="Q43" s="339">
        <v>0.151</v>
      </c>
      <c r="R43" s="331" t="s">
        <v>12</v>
      </c>
    </row>
    <row r="44" spans="1:18">
      <c r="A44" s="342" t="s">
        <v>889</v>
      </c>
      <c r="B44" s="342">
        <v>43</v>
      </c>
      <c r="C44" s="343">
        <v>908</v>
      </c>
      <c r="D44" s="342" t="s">
        <v>860</v>
      </c>
      <c r="E44" s="342">
        <v>0</v>
      </c>
      <c r="F44" s="342">
        <v>0</v>
      </c>
      <c r="G44" s="344">
        <v>0</v>
      </c>
      <c r="H44" s="346">
        <v>45412.795451388891</v>
      </c>
      <c r="I44" s="342">
        <v>0.14799999999999999</v>
      </c>
      <c r="J44" s="342">
        <v>250.34</v>
      </c>
      <c r="K44" s="342">
        <v>3.2000000000000001E-2</v>
      </c>
      <c r="L44" s="342">
        <v>12.45</v>
      </c>
      <c r="M44" s="52">
        <v>1</v>
      </c>
      <c r="N44" s="52">
        <v>0.14799999999999999</v>
      </c>
      <c r="O44" s="52">
        <v>3.2000000000000001E-2</v>
      </c>
      <c r="P44" s="339">
        <v>0.14799999999999999</v>
      </c>
      <c r="Q44" s="339">
        <v>3.2000000000000001E-2</v>
      </c>
      <c r="R44" s="331" t="s">
        <v>12</v>
      </c>
    </row>
    <row r="45" spans="1:18">
      <c r="A45" s="342" t="s">
        <v>890</v>
      </c>
      <c r="B45" s="342">
        <v>44</v>
      </c>
      <c r="C45" s="343">
        <v>909</v>
      </c>
      <c r="D45" s="342" t="s">
        <v>860</v>
      </c>
      <c r="E45" s="342">
        <v>0</v>
      </c>
      <c r="F45" s="342">
        <v>0</v>
      </c>
      <c r="G45" s="344">
        <v>0</v>
      </c>
      <c r="H45" s="345">
        <v>45412.796261574076</v>
      </c>
      <c r="I45" s="350">
        <v>0.152</v>
      </c>
      <c r="J45" s="342">
        <v>258.23</v>
      </c>
      <c r="K45" s="343">
        <v>0.12</v>
      </c>
      <c r="L45" s="343">
        <v>47.27</v>
      </c>
      <c r="M45" s="52">
        <v>1</v>
      </c>
      <c r="N45" s="52">
        <v>0.152</v>
      </c>
      <c r="O45" s="52">
        <v>0.12</v>
      </c>
      <c r="P45" s="339">
        <v>0.152</v>
      </c>
      <c r="Q45" s="339">
        <v>0.12</v>
      </c>
      <c r="R45" s="331" t="s">
        <v>12</v>
      </c>
    </row>
    <row r="46" spans="1:18">
      <c r="A46" s="342" t="s">
        <v>850</v>
      </c>
      <c r="B46" s="342">
        <v>45</v>
      </c>
      <c r="C46" s="343">
        <v>0</v>
      </c>
      <c r="D46" s="342" t="s">
        <v>851</v>
      </c>
      <c r="E46" s="342">
        <v>0</v>
      </c>
      <c r="F46" s="342">
        <v>0</v>
      </c>
      <c r="G46" s="344">
        <v>0</v>
      </c>
      <c r="H46" s="345">
        <v>45412.797071759262</v>
      </c>
      <c r="I46" s="350">
        <v>-4.0000000000000001E-3</v>
      </c>
      <c r="J46" s="342">
        <v>0</v>
      </c>
      <c r="K46" s="343">
        <v>0</v>
      </c>
      <c r="L46" s="343">
        <v>0</v>
      </c>
      <c r="M46" s="52">
        <v>1</v>
      </c>
      <c r="N46" s="52">
        <v>-4.0000000000000001E-3</v>
      </c>
      <c r="O46" s="52">
        <v>0</v>
      </c>
      <c r="P46" s="339" t="s">
        <v>887</v>
      </c>
      <c r="Q46" s="339" t="s">
        <v>886</v>
      </c>
      <c r="R46" s="331" t="s">
        <v>12</v>
      </c>
    </row>
    <row r="47" spans="1:18">
      <c r="A47" s="342">
        <v>113</v>
      </c>
      <c r="B47" s="342">
        <v>46</v>
      </c>
      <c r="C47" s="343">
        <v>23</v>
      </c>
      <c r="D47" s="342" t="s">
        <v>856</v>
      </c>
      <c r="E47" s="342">
        <v>0</v>
      </c>
      <c r="F47" s="342">
        <v>0</v>
      </c>
      <c r="G47" s="344">
        <v>0</v>
      </c>
      <c r="H47" s="346">
        <v>45412.799502314818</v>
      </c>
      <c r="I47" s="350">
        <v>7.0000000000000001E-3</v>
      </c>
      <c r="J47" s="342">
        <v>17.5</v>
      </c>
      <c r="K47" s="342">
        <v>1E-3</v>
      </c>
      <c r="L47" s="343">
        <v>0.38</v>
      </c>
      <c r="M47" s="52">
        <v>1</v>
      </c>
      <c r="N47" s="52">
        <v>7.0000000000000001E-3</v>
      </c>
      <c r="O47" s="52">
        <v>1E-3</v>
      </c>
      <c r="P47" s="339">
        <v>7.0000000000000001E-3</v>
      </c>
      <c r="Q47" s="339" t="s">
        <v>886</v>
      </c>
      <c r="R47" s="331" t="s">
        <v>12</v>
      </c>
    </row>
    <row r="48" spans="1:18">
      <c r="A48" s="342">
        <v>308</v>
      </c>
      <c r="B48" s="342">
        <v>47</v>
      </c>
      <c r="C48" s="343">
        <v>24</v>
      </c>
      <c r="D48" s="342" t="s">
        <v>856</v>
      </c>
      <c r="E48" s="342">
        <v>0</v>
      </c>
      <c r="F48" s="342">
        <v>0</v>
      </c>
      <c r="G48" s="344">
        <v>0</v>
      </c>
      <c r="H48" s="346">
        <v>45412.800312500003</v>
      </c>
      <c r="I48" s="350">
        <v>1E-3</v>
      </c>
      <c r="J48" s="342">
        <v>7.29</v>
      </c>
      <c r="K48" s="342">
        <v>8.0000000000000002E-3</v>
      </c>
      <c r="L48" s="343">
        <v>2.95</v>
      </c>
      <c r="M48" s="52">
        <v>1</v>
      </c>
      <c r="N48" s="52">
        <v>1E-3</v>
      </c>
      <c r="O48" s="52">
        <v>8.0000000000000002E-3</v>
      </c>
      <c r="P48" s="339">
        <v>1E-3</v>
      </c>
      <c r="Q48" s="339">
        <v>8.0000000000000002E-3</v>
      </c>
      <c r="R48" s="331" t="s">
        <v>12</v>
      </c>
    </row>
    <row r="49" spans="1:18">
      <c r="A49" s="342" t="s">
        <v>893</v>
      </c>
      <c r="B49" s="342">
        <v>48</v>
      </c>
      <c r="C49" s="343">
        <v>25</v>
      </c>
      <c r="D49" s="342" t="s">
        <v>856</v>
      </c>
      <c r="E49" s="342">
        <v>0</v>
      </c>
      <c r="F49" s="342">
        <v>0</v>
      </c>
      <c r="G49" s="344">
        <v>0</v>
      </c>
      <c r="H49" s="346">
        <v>45412.801122685189</v>
      </c>
      <c r="I49" s="350">
        <v>1.2999999999999999E-2</v>
      </c>
      <c r="J49" s="342">
        <v>27.9</v>
      </c>
      <c r="K49" s="342">
        <v>2.4E-2</v>
      </c>
      <c r="L49" s="343">
        <v>9.2899999999999991</v>
      </c>
      <c r="M49" s="52">
        <v>1</v>
      </c>
      <c r="N49" s="52">
        <v>1.2999999999999999E-2</v>
      </c>
      <c r="O49" s="52">
        <v>2.4E-2</v>
      </c>
      <c r="P49" s="339">
        <v>1.2999999999999999E-2</v>
      </c>
      <c r="Q49" s="339">
        <v>2.4E-2</v>
      </c>
      <c r="R49" s="331" t="s">
        <v>12</v>
      </c>
    </row>
    <row r="50" spans="1:18">
      <c r="A50" s="342">
        <v>61</v>
      </c>
      <c r="B50" s="342">
        <v>49</v>
      </c>
      <c r="C50" s="343">
        <v>26</v>
      </c>
      <c r="D50" s="342" t="s">
        <v>856</v>
      </c>
      <c r="E50" s="342">
        <v>0</v>
      </c>
      <c r="F50" s="342">
        <v>0</v>
      </c>
      <c r="G50" s="344">
        <v>0</v>
      </c>
      <c r="H50" s="346">
        <v>45412.801932870374</v>
      </c>
      <c r="I50" s="350">
        <v>4.0000000000000001E-3</v>
      </c>
      <c r="J50" s="342">
        <v>13.58</v>
      </c>
      <c r="K50" s="342">
        <v>4.0000000000000001E-3</v>
      </c>
      <c r="L50" s="343">
        <v>1.48</v>
      </c>
      <c r="M50" s="52">
        <v>1</v>
      </c>
      <c r="N50" s="52">
        <v>4.0000000000000001E-3</v>
      </c>
      <c r="O50" s="52">
        <v>4.0000000000000001E-3</v>
      </c>
      <c r="P50" s="339">
        <v>4.0000000000000001E-3</v>
      </c>
      <c r="Q50" s="339" t="s">
        <v>886</v>
      </c>
      <c r="R50" s="331" t="s">
        <v>12</v>
      </c>
    </row>
    <row r="51" spans="1:18">
      <c r="A51" s="342" t="s">
        <v>894</v>
      </c>
      <c r="B51" s="342">
        <v>50</v>
      </c>
      <c r="C51" s="343">
        <v>27</v>
      </c>
      <c r="D51" s="342" t="s">
        <v>858</v>
      </c>
      <c r="E51" s="342">
        <v>0</v>
      </c>
      <c r="F51" s="342">
        <v>0</v>
      </c>
      <c r="G51" s="344">
        <v>1</v>
      </c>
      <c r="H51" s="346">
        <v>45412.802743055552</v>
      </c>
      <c r="I51" s="350">
        <v>0.14899999999999999</v>
      </c>
      <c r="J51" s="342">
        <v>252.85</v>
      </c>
      <c r="K51" s="342">
        <v>0.14899999999999999</v>
      </c>
      <c r="L51" s="343">
        <v>58.91</v>
      </c>
      <c r="M51" s="52">
        <v>1</v>
      </c>
      <c r="N51" s="52">
        <v>0.14899999999999999</v>
      </c>
      <c r="O51" s="52">
        <v>0.14899999999999999</v>
      </c>
      <c r="P51" s="339">
        <v>0.14899999999999999</v>
      </c>
      <c r="Q51" s="339">
        <v>0.14899999999999999</v>
      </c>
      <c r="R51" s="331" t="s">
        <v>12</v>
      </c>
    </row>
    <row r="52" spans="1:18">
      <c r="A52" s="342" t="s">
        <v>889</v>
      </c>
      <c r="B52" s="342">
        <v>51</v>
      </c>
      <c r="C52" s="343">
        <v>908</v>
      </c>
      <c r="D52" s="342" t="s">
        <v>860</v>
      </c>
      <c r="E52" s="342">
        <v>0</v>
      </c>
      <c r="F52" s="342">
        <v>0</v>
      </c>
      <c r="G52" s="344">
        <v>0</v>
      </c>
      <c r="H52" s="346">
        <v>45412.803553240738</v>
      </c>
      <c r="I52" s="350">
        <v>0.14799999999999999</v>
      </c>
      <c r="J52" s="342">
        <v>251.57</v>
      </c>
      <c r="K52" s="342">
        <v>0.03</v>
      </c>
      <c r="L52" s="343">
        <v>11.86</v>
      </c>
      <c r="M52" s="52">
        <v>1</v>
      </c>
      <c r="N52" s="52">
        <v>0.14799999999999999</v>
      </c>
      <c r="O52" s="52">
        <v>0.03</v>
      </c>
      <c r="P52" s="339">
        <v>0.14799999999999999</v>
      </c>
      <c r="Q52" s="339">
        <v>0.03</v>
      </c>
      <c r="R52" s="331" t="s">
        <v>12</v>
      </c>
    </row>
    <row r="53" spans="1:18">
      <c r="A53" s="342" t="s">
        <v>890</v>
      </c>
      <c r="B53" s="342">
        <v>52</v>
      </c>
      <c r="C53" s="343">
        <v>909</v>
      </c>
      <c r="D53" s="342" t="s">
        <v>860</v>
      </c>
      <c r="E53" s="342">
        <v>0</v>
      </c>
      <c r="F53" s="342">
        <v>0</v>
      </c>
      <c r="G53" s="344">
        <v>0</v>
      </c>
      <c r="H53" s="346">
        <v>45412.804363425923</v>
      </c>
      <c r="I53" s="350">
        <v>0.152</v>
      </c>
      <c r="J53" s="342">
        <v>258.39</v>
      </c>
      <c r="K53" s="342">
        <v>0.122</v>
      </c>
      <c r="L53" s="343">
        <v>48.05</v>
      </c>
      <c r="M53" s="52">
        <v>1</v>
      </c>
      <c r="N53" s="52">
        <v>0.152</v>
      </c>
      <c r="O53" s="52">
        <v>0.122</v>
      </c>
      <c r="P53" s="339">
        <v>0.152</v>
      </c>
      <c r="Q53" s="339">
        <v>0.122</v>
      </c>
      <c r="R53" s="331" t="s">
        <v>12</v>
      </c>
    </row>
    <row r="54" spans="1:18">
      <c r="A54" s="342" t="s">
        <v>81</v>
      </c>
      <c r="B54" s="342">
        <v>53</v>
      </c>
      <c r="C54" s="343">
        <v>922</v>
      </c>
      <c r="D54" s="342" t="s">
        <v>856</v>
      </c>
      <c r="E54" s="342">
        <v>0</v>
      </c>
      <c r="F54" s="342">
        <v>0</v>
      </c>
      <c r="G54" s="344">
        <v>0</v>
      </c>
      <c r="H54" s="346">
        <v>45412.805173611108</v>
      </c>
      <c r="I54" s="350">
        <v>0</v>
      </c>
      <c r="J54" s="342">
        <v>6.62</v>
      </c>
      <c r="K54" s="342">
        <v>6.0000000000000001E-3</v>
      </c>
      <c r="L54" s="343">
        <v>2.34</v>
      </c>
      <c r="M54" s="52">
        <v>1</v>
      </c>
      <c r="N54" s="52">
        <v>0</v>
      </c>
      <c r="O54" s="52">
        <v>6.0000000000000001E-3</v>
      </c>
      <c r="P54" s="339" t="s">
        <v>887</v>
      </c>
      <c r="Q54" s="339" t="s">
        <v>886</v>
      </c>
      <c r="R54" s="331" t="s">
        <v>12</v>
      </c>
    </row>
    <row r="55" spans="1:18">
      <c r="A55" s="342" t="s">
        <v>81</v>
      </c>
      <c r="B55" s="342">
        <v>54</v>
      </c>
      <c r="C55" s="343">
        <v>922</v>
      </c>
      <c r="D55" s="342" t="s">
        <v>856</v>
      </c>
      <c r="E55" s="342">
        <v>0</v>
      </c>
      <c r="F55" s="342">
        <v>0</v>
      </c>
      <c r="G55" s="344">
        <v>0</v>
      </c>
      <c r="H55" s="346">
        <v>45412.805983796294</v>
      </c>
      <c r="I55" s="350">
        <v>0</v>
      </c>
      <c r="J55" s="342">
        <v>7.09</v>
      </c>
      <c r="K55" s="342">
        <v>3.0000000000000001E-3</v>
      </c>
      <c r="L55" s="343">
        <v>1.17</v>
      </c>
      <c r="M55" s="52">
        <v>1</v>
      </c>
      <c r="N55" s="52">
        <v>0</v>
      </c>
      <c r="O55" s="52">
        <v>3.0000000000000001E-3</v>
      </c>
      <c r="P55" s="339" t="s">
        <v>887</v>
      </c>
      <c r="Q55" s="339" t="s">
        <v>886</v>
      </c>
      <c r="R55" s="331" t="s">
        <v>12</v>
      </c>
    </row>
    <row r="56" spans="1:18">
      <c r="A56" s="342" t="s">
        <v>81</v>
      </c>
      <c r="B56" s="342">
        <v>55</v>
      </c>
      <c r="C56" s="343">
        <v>922</v>
      </c>
      <c r="D56" s="342" t="s">
        <v>856</v>
      </c>
      <c r="E56" s="342">
        <v>0</v>
      </c>
      <c r="F56" s="342">
        <v>0</v>
      </c>
      <c r="G56" s="344">
        <v>0</v>
      </c>
      <c r="H56" s="346">
        <v>45412.806793981479</v>
      </c>
      <c r="I56" s="342">
        <v>0</v>
      </c>
      <c r="J56" s="342">
        <v>6.64</v>
      </c>
      <c r="K56" s="342">
        <v>1E-3</v>
      </c>
      <c r="L56" s="342">
        <v>0.35</v>
      </c>
      <c r="M56" s="52">
        <v>1</v>
      </c>
      <c r="N56" s="52">
        <v>0</v>
      </c>
      <c r="O56" s="52">
        <v>1E-3</v>
      </c>
      <c r="P56" s="339" t="s">
        <v>887</v>
      </c>
      <c r="Q56" s="339" t="s">
        <v>886</v>
      </c>
      <c r="R56" s="331" t="s">
        <v>12</v>
      </c>
    </row>
    <row r="57" spans="1:18">
      <c r="A57" s="342" t="s">
        <v>81</v>
      </c>
      <c r="B57" s="342">
        <v>56</v>
      </c>
      <c r="C57" s="343">
        <v>922</v>
      </c>
      <c r="D57" s="342" t="s">
        <v>856</v>
      </c>
      <c r="E57" s="342">
        <v>0</v>
      </c>
      <c r="F57" s="342">
        <v>0</v>
      </c>
      <c r="G57" s="344">
        <v>0</v>
      </c>
      <c r="H57" s="346">
        <v>45412.807604166665</v>
      </c>
      <c r="I57" s="342">
        <v>0</v>
      </c>
      <c r="J57" s="342">
        <v>6.56</v>
      </c>
      <c r="K57" s="342">
        <v>2E-3</v>
      </c>
      <c r="L57" s="342">
        <v>0.68</v>
      </c>
      <c r="M57" s="52">
        <v>1</v>
      </c>
      <c r="N57" s="52">
        <v>0</v>
      </c>
      <c r="O57" s="52">
        <v>2E-3</v>
      </c>
      <c r="P57" s="339" t="s">
        <v>887</v>
      </c>
      <c r="Q57" s="339" t="s">
        <v>886</v>
      </c>
      <c r="R57" s="331" t="s">
        <v>12</v>
      </c>
    </row>
    <row r="58" spans="1:18">
      <c r="A58" s="342" t="s">
        <v>81</v>
      </c>
      <c r="B58" s="342">
        <v>57</v>
      </c>
      <c r="C58" s="343">
        <v>922</v>
      </c>
      <c r="D58" s="342" t="s">
        <v>856</v>
      </c>
      <c r="E58" s="342">
        <v>0</v>
      </c>
      <c r="F58" s="342">
        <v>0</v>
      </c>
      <c r="G58" s="344">
        <v>0</v>
      </c>
      <c r="H58" s="346">
        <v>45412.80841435185</v>
      </c>
      <c r="I58" s="342">
        <v>0</v>
      </c>
      <c r="J58" s="342">
        <v>6.54</v>
      </c>
      <c r="K58" s="342">
        <v>2E-3</v>
      </c>
      <c r="L58" s="342">
        <v>0.59</v>
      </c>
      <c r="M58" s="52">
        <v>1</v>
      </c>
      <c r="N58" s="52">
        <v>0</v>
      </c>
      <c r="O58" s="52">
        <v>2E-3</v>
      </c>
      <c r="P58" s="339" t="s">
        <v>887</v>
      </c>
      <c r="Q58" s="339" t="s">
        <v>886</v>
      </c>
      <c r="R58" s="331" t="s">
        <v>12</v>
      </c>
    </row>
    <row r="59" spans="1:18">
      <c r="A59" s="342" t="s">
        <v>81</v>
      </c>
      <c r="B59" s="342">
        <v>58</v>
      </c>
      <c r="C59" s="343">
        <v>922</v>
      </c>
      <c r="D59" s="342" t="s">
        <v>856</v>
      </c>
      <c r="E59" s="342">
        <v>0</v>
      </c>
      <c r="F59" s="342">
        <v>0</v>
      </c>
      <c r="G59" s="344">
        <v>0</v>
      </c>
      <c r="H59" s="345">
        <v>45412.809224537035</v>
      </c>
      <c r="I59" s="350">
        <v>0</v>
      </c>
      <c r="J59" s="342">
        <v>6.59</v>
      </c>
      <c r="K59" s="343">
        <v>2E-3</v>
      </c>
      <c r="L59" s="343">
        <v>0.52</v>
      </c>
      <c r="M59" s="52">
        <v>1</v>
      </c>
      <c r="N59" s="52">
        <v>0</v>
      </c>
      <c r="O59" s="52">
        <v>2E-3</v>
      </c>
      <c r="P59" s="339" t="s">
        <v>887</v>
      </c>
      <c r="Q59" s="339" t="s">
        <v>886</v>
      </c>
      <c r="R59" s="331" t="s">
        <v>12</v>
      </c>
    </row>
    <row r="60" spans="1:18">
      <c r="A60" s="342" t="s">
        <v>81</v>
      </c>
      <c r="B60" s="342">
        <v>59</v>
      </c>
      <c r="C60" s="343">
        <v>922</v>
      </c>
      <c r="D60" s="342" t="s">
        <v>856</v>
      </c>
      <c r="E60" s="342">
        <v>0</v>
      </c>
      <c r="F60" s="342">
        <v>0</v>
      </c>
      <c r="G60" s="344">
        <v>0</v>
      </c>
      <c r="H60" s="346">
        <v>45412.810034722221</v>
      </c>
      <c r="I60" s="350">
        <v>0</v>
      </c>
      <c r="J60" s="342">
        <v>6.54</v>
      </c>
      <c r="K60" s="342">
        <v>2E-3</v>
      </c>
      <c r="L60" s="343">
        <v>0.68</v>
      </c>
      <c r="M60" s="52">
        <v>1</v>
      </c>
      <c r="N60" s="52">
        <v>0</v>
      </c>
      <c r="O60" s="52">
        <v>2E-3</v>
      </c>
      <c r="P60" s="339" t="s">
        <v>887</v>
      </c>
      <c r="Q60" s="339" t="s">
        <v>886</v>
      </c>
      <c r="R60" s="331" t="s">
        <v>12</v>
      </c>
    </row>
    <row r="61" spans="1:18">
      <c r="A61" s="342" t="s">
        <v>81</v>
      </c>
      <c r="B61" s="342">
        <v>60</v>
      </c>
      <c r="C61" s="343">
        <v>922</v>
      </c>
      <c r="D61" s="342" t="s">
        <v>856</v>
      </c>
      <c r="E61" s="342">
        <v>0</v>
      </c>
      <c r="F61" s="342">
        <v>0</v>
      </c>
      <c r="G61" s="344">
        <v>0</v>
      </c>
      <c r="H61" s="345">
        <v>45412.810844907406</v>
      </c>
      <c r="I61" s="350">
        <v>0</v>
      </c>
      <c r="J61" s="342">
        <v>6.16</v>
      </c>
      <c r="K61" s="343">
        <v>4.0000000000000001E-3</v>
      </c>
      <c r="L61" s="343">
        <v>1.43</v>
      </c>
      <c r="M61" s="52">
        <v>1</v>
      </c>
      <c r="N61" s="52">
        <v>0</v>
      </c>
      <c r="O61" s="52">
        <v>4.0000000000000001E-3</v>
      </c>
      <c r="P61" s="339" t="s">
        <v>887</v>
      </c>
      <c r="Q61" s="339" t="s">
        <v>886</v>
      </c>
      <c r="R61" s="331" t="s">
        <v>12</v>
      </c>
    </row>
    <row r="62" spans="1:18">
      <c r="A62" s="342" t="s">
        <v>81</v>
      </c>
      <c r="B62" s="342">
        <v>61</v>
      </c>
      <c r="C62" s="343">
        <v>922</v>
      </c>
      <c r="D62" s="342" t="s">
        <v>856</v>
      </c>
      <c r="E62" s="342">
        <v>0</v>
      </c>
      <c r="F62" s="342">
        <v>0</v>
      </c>
      <c r="G62" s="344">
        <v>0</v>
      </c>
      <c r="H62" s="346">
        <v>45412.811655092592</v>
      </c>
      <c r="I62" s="350">
        <v>-1E-3</v>
      </c>
      <c r="J62" s="342">
        <v>5.14</v>
      </c>
      <c r="K62" s="342">
        <v>4.0000000000000001E-3</v>
      </c>
      <c r="L62" s="343">
        <v>1.4</v>
      </c>
      <c r="M62" s="52">
        <v>1</v>
      </c>
      <c r="N62" s="52">
        <v>-1E-3</v>
      </c>
      <c r="O62" s="52">
        <v>4.0000000000000001E-3</v>
      </c>
      <c r="P62" s="339" t="s">
        <v>887</v>
      </c>
      <c r="Q62" s="339" t="s">
        <v>886</v>
      </c>
      <c r="R62" s="331" t="s">
        <v>12</v>
      </c>
    </row>
    <row r="63" spans="1:18">
      <c r="A63" s="342" t="s">
        <v>81</v>
      </c>
      <c r="B63" s="342">
        <v>62</v>
      </c>
      <c r="C63" s="343">
        <v>922</v>
      </c>
      <c r="D63" s="342" t="s">
        <v>856</v>
      </c>
      <c r="E63" s="342">
        <v>0</v>
      </c>
      <c r="F63" s="342">
        <v>0</v>
      </c>
      <c r="G63" s="344">
        <v>0</v>
      </c>
      <c r="H63" s="346">
        <v>45412.812465277777</v>
      </c>
      <c r="I63" s="350">
        <v>0</v>
      </c>
      <c r="J63" s="342">
        <v>6.68</v>
      </c>
      <c r="K63" s="342">
        <v>4.0000000000000001E-3</v>
      </c>
      <c r="L63" s="343">
        <v>1.61</v>
      </c>
      <c r="M63" s="52">
        <v>1</v>
      </c>
      <c r="N63" s="52">
        <v>0</v>
      </c>
      <c r="O63" s="52">
        <v>4.0000000000000001E-3</v>
      </c>
      <c r="P63" s="339" t="s">
        <v>887</v>
      </c>
      <c r="Q63" s="339" t="s">
        <v>886</v>
      </c>
      <c r="R63" s="331" t="s">
        <v>12</v>
      </c>
    </row>
    <row r="64" spans="1:18">
      <c r="A64" s="342" t="s">
        <v>850</v>
      </c>
      <c r="B64" s="342">
        <v>63</v>
      </c>
      <c r="C64" s="343">
        <v>0</v>
      </c>
      <c r="D64" s="342" t="s">
        <v>851</v>
      </c>
      <c r="E64" s="342">
        <v>0</v>
      </c>
      <c r="F64" s="342">
        <v>0</v>
      </c>
      <c r="G64" s="344">
        <v>0</v>
      </c>
      <c r="H64" s="346">
        <v>45412.813275462962</v>
      </c>
      <c r="I64" s="350">
        <v>-4.0000000000000001E-3</v>
      </c>
      <c r="J64" s="342">
        <v>0</v>
      </c>
      <c r="K64" s="342">
        <v>0</v>
      </c>
      <c r="L64" s="343">
        <v>0</v>
      </c>
      <c r="M64" s="52">
        <v>1</v>
      </c>
      <c r="N64" s="52">
        <v>-4.0000000000000001E-3</v>
      </c>
      <c r="O64" s="52">
        <v>0</v>
      </c>
      <c r="P64" s="339" t="s">
        <v>887</v>
      </c>
      <c r="Q64" s="339" t="s">
        <v>886</v>
      </c>
      <c r="R64" s="331" t="s">
        <v>12</v>
      </c>
    </row>
    <row r="65" spans="1:18">
      <c r="A65" s="342" t="s">
        <v>846</v>
      </c>
      <c r="B65" s="342">
        <v>64</v>
      </c>
      <c r="C65" s="343">
        <v>921</v>
      </c>
      <c r="D65" s="342" t="s">
        <v>847</v>
      </c>
      <c r="E65" s="342">
        <v>0</v>
      </c>
      <c r="F65" s="342">
        <v>0</v>
      </c>
      <c r="G65" s="344">
        <v>0</v>
      </c>
      <c r="H65" s="346">
        <v>45412.815706018519</v>
      </c>
      <c r="I65" s="350">
        <v>0.19800000000000001</v>
      </c>
      <c r="J65" s="342">
        <v>333.38</v>
      </c>
      <c r="K65" s="342">
        <v>0.19900000000000001</v>
      </c>
      <c r="L65" s="343">
        <v>78.55</v>
      </c>
      <c r="M65" s="52">
        <v>1</v>
      </c>
      <c r="N65" s="52">
        <v>0.19800000000000001</v>
      </c>
      <c r="O65" s="52">
        <v>0.19900000000000001</v>
      </c>
      <c r="P65" s="339">
        <v>0.19800000000000001</v>
      </c>
      <c r="Q65" s="339">
        <v>0.19900000000000001</v>
      </c>
      <c r="R65" s="331" t="s">
        <v>12</v>
      </c>
    </row>
    <row r="66" spans="1:18">
      <c r="A66" s="342" t="s">
        <v>879</v>
      </c>
      <c r="B66" s="342">
        <v>65</v>
      </c>
      <c r="C66" s="343">
        <v>0</v>
      </c>
      <c r="D66" s="342" t="s">
        <v>880</v>
      </c>
      <c r="E66" s="342">
        <v>0</v>
      </c>
      <c r="F66" s="342">
        <v>0</v>
      </c>
      <c r="G66" s="344">
        <v>0</v>
      </c>
      <c r="H66" s="346">
        <v>45412.816516203704</v>
      </c>
      <c r="I66" s="350">
        <v>-4.0000000000000001E-3</v>
      </c>
      <c r="J66" s="342">
        <v>0</v>
      </c>
      <c r="K66" s="342">
        <v>0</v>
      </c>
      <c r="L66" s="343">
        <v>0</v>
      </c>
      <c r="M66" s="52">
        <v>1</v>
      </c>
      <c r="N66" s="52">
        <v>-4.0000000000000001E-3</v>
      </c>
      <c r="O66" s="52">
        <v>0</v>
      </c>
      <c r="P66" s="339" t="s">
        <v>887</v>
      </c>
      <c r="Q66" s="339" t="s">
        <v>886</v>
      </c>
      <c r="R66" s="331" t="s">
        <v>12</v>
      </c>
    </row>
    <row r="67" spans="1:18">
      <c r="A67" s="342" t="s">
        <v>844</v>
      </c>
      <c r="B67" s="342">
        <v>1</v>
      </c>
      <c r="C67" s="343">
        <v>922</v>
      </c>
      <c r="D67" s="342" t="s">
        <v>845</v>
      </c>
      <c r="E67" s="342">
        <v>0</v>
      </c>
      <c r="F67" s="342">
        <v>0</v>
      </c>
      <c r="G67" s="344">
        <v>0</v>
      </c>
      <c r="H67" s="346">
        <v>45426.653703703705</v>
      </c>
      <c r="I67" s="350">
        <v>0.2</v>
      </c>
      <c r="J67" s="342">
        <v>329.45</v>
      </c>
      <c r="K67" s="342">
        <v>0.19800000000000001</v>
      </c>
      <c r="L67" s="343">
        <v>77.349999999999994</v>
      </c>
      <c r="M67" s="52">
        <v>1</v>
      </c>
      <c r="N67" s="52">
        <v>0.2</v>
      </c>
      <c r="O67" s="52">
        <v>0.19800000000000001</v>
      </c>
      <c r="P67" s="339">
        <v>0.2</v>
      </c>
      <c r="Q67" s="339">
        <v>0.19800000000000001</v>
      </c>
      <c r="R67" s="331" t="s">
        <v>12</v>
      </c>
    </row>
    <row r="68" spans="1:18">
      <c r="A68" s="342" t="s">
        <v>846</v>
      </c>
      <c r="B68" s="342">
        <v>2</v>
      </c>
      <c r="C68" s="343">
        <v>922</v>
      </c>
      <c r="D68" s="342" t="s">
        <v>847</v>
      </c>
      <c r="E68" s="342">
        <v>0</v>
      </c>
      <c r="F68" s="342">
        <v>0</v>
      </c>
      <c r="G68" s="344">
        <v>0</v>
      </c>
      <c r="H68" s="346">
        <v>45426.654513888891</v>
      </c>
      <c r="I68" s="350">
        <v>0.20100000000000001</v>
      </c>
      <c r="J68" s="342">
        <v>330.51</v>
      </c>
      <c r="K68" s="342">
        <v>0.19900000000000001</v>
      </c>
      <c r="L68" s="343">
        <v>77.86</v>
      </c>
      <c r="M68" s="52">
        <v>1</v>
      </c>
      <c r="N68" s="52">
        <v>0.20100000000000001</v>
      </c>
      <c r="O68" s="52">
        <v>0.19900000000000001</v>
      </c>
      <c r="P68" s="339">
        <v>0.20100000000000001</v>
      </c>
      <c r="Q68" s="339">
        <v>0.19900000000000001</v>
      </c>
      <c r="R68" s="331" t="s">
        <v>12</v>
      </c>
    </row>
    <row r="69" spans="1:18">
      <c r="A69" s="342">
        <v>0.2</v>
      </c>
      <c r="B69" s="342">
        <v>3</v>
      </c>
      <c r="C69" s="343">
        <v>922</v>
      </c>
      <c r="D69" s="342" t="s">
        <v>848</v>
      </c>
      <c r="E69" s="342">
        <v>0</v>
      </c>
      <c r="F69" s="342">
        <v>0</v>
      </c>
      <c r="G69" s="344">
        <v>0</v>
      </c>
      <c r="H69" s="346">
        <v>45426.655324074076</v>
      </c>
      <c r="I69" s="350">
        <v>0.20100000000000001</v>
      </c>
      <c r="J69" s="342">
        <v>331.03</v>
      </c>
      <c r="K69" s="342">
        <v>0.19900000000000001</v>
      </c>
      <c r="L69" s="343">
        <v>78.02</v>
      </c>
      <c r="M69" s="52">
        <v>1</v>
      </c>
      <c r="N69" s="52">
        <v>0.20100000000000001</v>
      </c>
      <c r="O69" s="52">
        <v>0.19900000000000001</v>
      </c>
      <c r="P69" s="339">
        <v>0.20100000000000001</v>
      </c>
      <c r="Q69" s="339">
        <v>0.19900000000000001</v>
      </c>
      <c r="R69" s="331" t="s">
        <v>12</v>
      </c>
    </row>
    <row r="70" spans="1:18">
      <c r="A70" s="342">
        <v>0.1</v>
      </c>
      <c r="B70" s="342">
        <v>4</v>
      </c>
      <c r="C70" s="343">
        <v>911</v>
      </c>
      <c r="D70" s="342" t="s">
        <v>848</v>
      </c>
      <c r="E70" s="342">
        <v>0</v>
      </c>
      <c r="F70" s="342">
        <v>0</v>
      </c>
      <c r="G70" s="344">
        <v>0</v>
      </c>
      <c r="H70" s="346">
        <v>45426.656134259261</v>
      </c>
      <c r="I70" s="342">
        <v>9.8000000000000004E-2</v>
      </c>
      <c r="J70" s="342">
        <v>160.47</v>
      </c>
      <c r="K70" s="342">
        <v>0.10199999999999999</v>
      </c>
      <c r="L70" s="342">
        <v>39.630000000000003</v>
      </c>
      <c r="M70" s="52">
        <v>1</v>
      </c>
      <c r="N70" s="52">
        <v>9.8000000000000004E-2</v>
      </c>
      <c r="O70" s="52">
        <v>0.10199999999999999</v>
      </c>
      <c r="P70" s="339">
        <v>9.8000000000000004E-2</v>
      </c>
      <c r="Q70" s="339">
        <v>0.10199999999999999</v>
      </c>
      <c r="R70" s="331" t="s">
        <v>12</v>
      </c>
    </row>
    <row r="71" spans="1:18">
      <c r="A71" s="342">
        <v>0.05</v>
      </c>
      <c r="B71" s="342">
        <v>5</v>
      </c>
      <c r="C71" s="343">
        <v>912</v>
      </c>
      <c r="D71" s="342" t="s">
        <v>848</v>
      </c>
      <c r="E71" s="342">
        <v>0</v>
      </c>
      <c r="F71" s="342">
        <v>0</v>
      </c>
      <c r="G71" s="344">
        <v>0</v>
      </c>
      <c r="H71" s="346">
        <v>45426.656944444447</v>
      </c>
      <c r="I71" s="342">
        <v>0.05</v>
      </c>
      <c r="J71" s="342">
        <v>79.81</v>
      </c>
      <c r="K71" s="342">
        <v>0.05</v>
      </c>
      <c r="L71" s="342">
        <v>19.510000000000002</v>
      </c>
      <c r="M71" s="52">
        <v>1</v>
      </c>
      <c r="N71" s="52">
        <v>0.05</v>
      </c>
      <c r="O71" s="52">
        <v>0.05</v>
      </c>
      <c r="P71" s="339">
        <v>0.05</v>
      </c>
      <c r="Q71" s="339">
        <v>0.05</v>
      </c>
      <c r="R71" s="331" t="s">
        <v>12</v>
      </c>
    </row>
    <row r="72" spans="1:18">
      <c r="A72" s="342">
        <v>2.5000000000000001E-2</v>
      </c>
      <c r="B72" s="342">
        <v>6</v>
      </c>
      <c r="C72" s="343">
        <v>913</v>
      </c>
      <c r="D72" s="342" t="s">
        <v>848</v>
      </c>
      <c r="E72" s="342">
        <v>0</v>
      </c>
      <c r="F72" s="342">
        <v>0</v>
      </c>
      <c r="G72" s="344">
        <v>0</v>
      </c>
      <c r="H72" s="346">
        <v>45426.657754629632</v>
      </c>
      <c r="I72" s="342">
        <v>2.1999999999999999E-2</v>
      </c>
      <c r="J72" s="342">
        <v>33.46</v>
      </c>
      <c r="K72" s="342">
        <v>2.4E-2</v>
      </c>
      <c r="L72" s="342">
        <v>9.26</v>
      </c>
      <c r="M72" s="52">
        <v>1</v>
      </c>
      <c r="N72" s="52">
        <v>2.1999999999999999E-2</v>
      </c>
      <c r="O72" s="52">
        <v>2.4E-2</v>
      </c>
      <c r="P72" s="339">
        <v>2.1999999999999999E-2</v>
      </c>
      <c r="Q72" s="339">
        <v>2.4E-2</v>
      </c>
      <c r="R72" s="331" t="s">
        <v>12</v>
      </c>
    </row>
    <row r="73" spans="1:18">
      <c r="A73" s="342">
        <v>0.01</v>
      </c>
      <c r="B73" s="342">
        <v>7</v>
      </c>
      <c r="C73" s="343">
        <v>914</v>
      </c>
      <c r="D73" s="342" t="s">
        <v>848</v>
      </c>
      <c r="E73" s="342">
        <v>0</v>
      </c>
      <c r="F73" s="342">
        <v>0</v>
      </c>
      <c r="G73" s="344">
        <v>0</v>
      </c>
      <c r="H73" s="345">
        <v>45426.658564814818</v>
      </c>
      <c r="I73" s="350">
        <v>1.0999999999999999E-2</v>
      </c>
      <c r="J73" s="342">
        <v>16.28</v>
      </c>
      <c r="K73" s="343">
        <v>0.01</v>
      </c>
      <c r="L73" s="343">
        <v>3.61</v>
      </c>
      <c r="M73" s="52">
        <v>1</v>
      </c>
      <c r="N73" s="52">
        <v>1.0999999999999999E-2</v>
      </c>
      <c r="O73" s="52">
        <v>0.01</v>
      </c>
      <c r="P73" s="339">
        <v>1.0999999999999999E-2</v>
      </c>
      <c r="Q73" s="339">
        <v>0.01</v>
      </c>
      <c r="R73" s="331" t="s">
        <v>12</v>
      </c>
    </row>
    <row r="74" spans="1:18">
      <c r="A74" s="342">
        <v>5.0000000000000001E-3</v>
      </c>
      <c r="B74" s="342">
        <v>8</v>
      </c>
      <c r="C74" s="343">
        <v>915</v>
      </c>
      <c r="D74" s="342" t="s">
        <v>848</v>
      </c>
      <c r="E74" s="342">
        <v>0</v>
      </c>
      <c r="F74" s="342">
        <v>0</v>
      </c>
      <c r="G74" s="344">
        <v>0</v>
      </c>
      <c r="H74" s="346">
        <v>45426.659375000003</v>
      </c>
      <c r="I74" s="350">
        <v>4.0000000000000001E-3</v>
      </c>
      <c r="J74" s="342">
        <v>4.51</v>
      </c>
      <c r="K74" s="342">
        <v>5.0000000000000001E-3</v>
      </c>
      <c r="L74" s="343">
        <v>1.68</v>
      </c>
      <c r="M74" s="52">
        <v>1</v>
      </c>
      <c r="N74" s="52">
        <v>4.0000000000000001E-3</v>
      </c>
      <c r="O74" s="52">
        <v>5.0000000000000001E-3</v>
      </c>
      <c r="P74" s="339">
        <v>4.0000000000000001E-3</v>
      </c>
      <c r="Q74" s="339" t="s">
        <v>895</v>
      </c>
      <c r="R74" s="331" t="s">
        <v>12</v>
      </c>
    </row>
    <row r="75" spans="1:18">
      <c r="A75" s="342" t="s">
        <v>896</v>
      </c>
      <c r="B75" s="342">
        <v>9</v>
      </c>
      <c r="C75" s="343">
        <v>0</v>
      </c>
      <c r="D75" s="342" t="s">
        <v>848</v>
      </c>
      <c r="E75" s="342">
        <v>0</v>
      </c>
      <c r="F75" s="342">
        <v>0</v>
      </c>
      <c r="G75" s="344">
        <v>0</v>
      </c>
      <c r="H75" s="346">
        <v>45426.660185185188</v>
      </c>
      <c r="I75" s="350">
        <v>4.0000000000000001E-3</v>
      </c>
      <c r="J75" s="342">
        <v>4.38</v>
      </c>
      <c r="K75" s="342">
        <v>0.03</v>
      </c>
      <c r="L75" s="343">
        <v>11.71</v>
      </c>
      <c r="M75" s="52">
        <v>1</v>
      </c>
      <c r="N75" s="52">
        <v>4.0000000000000001E-3</v>
      </c>
      <c r="O75" s="52">
        <v>0.03</v>
      </c>
      <c r="P75" s="339">
        <v>4.0000000000000001E-3</v>
      </c>
      <c r="Q75" s="339">
        <v>0.03</v>
      </c>
      <c r="R75" s="331" t="s">
        <v>12</v>
      </c>
    </row>
    <row r="76" spans="1:18">
      <c r="A76" s="342" t="s">
        <v>850</v>
      </c>
      <c r="B76" s="342">
        <v>10</v>
      </c>
      <c r="C76" s="343">
        <v>0</v>
      </c>
      <c r="D76" s="342" t="s">
        <v>851</v>
      </c>
      <c r="E76" s="342">
        <v>0</v>
      </c>
      <c r="F76" s="342">
        <v>0</v>
      </c>
      <c r="G76" s="344">
        <v>0</v>
      </c>
      <c r="H76" s="346">
        <v>45426.660995370374</v>
      </c>
      <c r="I76" s="350">
        <v>1E-3</v>
      </c>
      <c r="J76" s="342">
        <v>0</v>
      </c>
      <c r="K76" s="342">
        <v>1E-3</v>
      </c>
      <c r="L76" s="343">
        <v>0</v>
      </c>
      <c r="M76" s="52">
        <v>1</v>
      </c>
      <c r="N76" s="52">
        <v>1E-3</v>
      </c>
      <c r="O76" s="52">
        <v>1E-3</v>
      </c>
      <c r="P76" s="339" t="s">
        <v>897</v>
      </c>
      <c r="Q76" s="339" t="s">
        <v>895</v>
      </c>
      <c r="R76" s="331" t="s">
        <v>12</v>
      </c>
    </row>
    <row r="77" spans="1:18">
      <c r="A77" s="342" t="s">
        <v>852</v>
      </c>
      <c r="B77" s="342">
        <v>11</v>
      </c>
      <c r="C77" s="343">
        <v>922</v>
      </c>
      <c r="D77" s="342" t="s">
        <v>853</v>
      </c>
      <c r="E77" s="342">
        <v>0</v>
      </c>
      <c r="F77" s="342">
        <v>1</v>
      </c>
      <c r="G77" s="344">
        <v>1</v>
      </c>
      <c r="H77" s="346">
        <v>45426.663425925923</v>
      </c>
      <c r="I77" s="350">
        <v>0.20100000000000001</v>
      </c>
      <c r="J77" s="342">
        <v>330.15</v>
      </c>
      <c r="K77" s="342">
        <v>0.19700000000000001</v>
      </c>
      <c r="L77" s="343">
        <v>77.11</v>
      </c>
      <c r="M77" s="52">
        <v>1</v>
      </c>
      <c r="N77" s="52">
        <v>0.20100000000000001</v>
      </c>
      <c r="O77" s="52">
        <v>0.19700000000000001</v>
      </c>
      <c r="P77" s="339">
        <v>0.20100000000000001</v>
      </c>
      <c r="Q77" s="339">
        <v>0.19700000000000001</v>
      </c>
      <c r="R77" s="331" t="s">
        <v>12</v>
      </c>
    </row>
    <row r="78" spans="1:18">
      <c r="A78" s="342" t="s">
        <v>854</v>
      </c>
      <c r="B78" s="342">
        <v>12</v>
      </c>
      <c r="C78" s="343">
        <v>915</v>
      </c>
      <c r="D78" s="342" t="s">
        <v>855</v>
      </c>
      <c r="E78" s="342">
        <v>0</v>
      </c>
      <c r="F78" s="342">
        <v>1</v>
      </c>
      <c r="G78" s="344">
        <v>2</v>
      </c>
      <c r="H78" s="346">
        <v>45426.664236111108</v>
      </c>
      <c r="I78" s="350">
        <v>4.0000000000000001E-3</v>
      </c>
      <c r="J78" s="342">
        <v>4.6500000000000004</v>
      </c>
      <c r="K78" s="342">
        <v>3.0000000000000001E-3</v>
      </c>
      <c r="L78" s="343">
        <v>0.81</v>
      </c>
      <c r="M78" s="52">
        <v>1</v>
      </c>
      <c r="N78" s="52">
        <v>4.0000000000000001E-3</v>
      </c>
      <c r="O78" s="52">
        <v>3.0000000000000001E-3</v>
      </c>
      <c r="P78" s="339">
        <v>4.0000000000000001E-3</v>
      </c>
      <c r="Q78" s="339" t="s">
        <v>895</v>
      </c>
      <c r="R78" s="331" t="s">
        <v>12</v>
      </c>
    </row>
    <row r="79" spans="1:18">
      <c r="A79" s="342" t="s">
        <v>854</v>
      </c>
      <c r="B79" s="342">
        <v>13</v>
      </c>
      <c r="C79" s="343">
        <v>915</v>
      </c>
      <c r="D79" s="342" t="s">
        <v>855</v>
      </c>
      <c r="E79" s="342">
        <v>0</v>
      </c>
      <c r="F79" s="342">
        <v>1</v>
      </c>
      <c r="G79" s="344">
        <v>3</v>
      </c>
      <c r="H79" s="346">
        <v>45426.665046296293</v>
      </c>
      <c r="I79" s="350">
        <v>4.0000000000000001E-3</v>
      </c>
      <c r="J79" s="342">
        <v>4.66</v>
      </c>
      <c r="K79" s="342">
        <v>3.0000000000000001E-3</v>
      </c>
      <c r="L79" s="343">
        <v>0.81</v>
      </c>
      <c r="M79" s="52">
        <v>1</v>
      </c>
      <c r="N79" s="52">
        <v>4.0000000000000001E-3</v>
      </c>
      <c r="O79" s="52">
        <v>3.0000000000000001E-3</v>
      </c>
      <c r="P79" s="339">
        <v>4.0000000000000001E-3</v>
      </c>
      <c r="Q79" s="339" t="s">
        <v>895</v>
      </c>
      <c r="R79" s="331" t="s">
        <v>12</v>
      </c>
    </row>
    <row r="80" spans="1:18">
      <c r="A80" s="342" t="s">
        <v>81</v>
      </c>
      <c r="B80" s="342">
        <v>14</v>
      </c>
      <c r="C80" s="343">
        <v>916</v>
      </c>
      <c r="D80" s="342" t="s">
        <v>856</v>
      </c>
      <c r="E80" s="342">
        <v>0</v>
      </c>
      <c r="F80" s="342">
        <v>0</v>
      </c>
      <c r="G80" s="344">
        <v>0</v>
      </c>
      <c r="H80" s="345">
        <v>45426.665856481479</v>
      </c>
      <c r="I80" s="350">
        <v>4.0000000000000001E-3</v>
      </c>
      <c r="J80" s="342">
        <v>3.87</v>
      </c>
      <c r="K80" s="343">
        <v>3.3000000000000002E-2</v>
      </c>
      <c r="L80" s="343">
        <v>12.58</v>
      </c>
      <c r="M80" s="52">
        <v>1</v>
      </c>
      <c r="N80" s="52">
        <v>4.0000000000000001E-3</v>
      </c>
      <c r="O80" s="52">
        <v>3.3000000000000002E-2</v>
      </c>
      <c r="P80" s="339">
        <v>4.0000000000000001E-3</v>
      </c>
      <c r="Q80" s="339">
        <v>3.3000000000000002E-2</v>
      </c>
      <c r="R80" s="331" t="s">
        <v>12</v>
      </c>
    </row>
    <row r="81" spans="1:18">
      <c r="A81" s="342" t="s">
        <v>888</v>
      </c>
      <c r="B81" s="342">
        <v>15</v>
      </c>
      <c r="C81" s="343">
        <v>917</v>
      </c>
      <c r="D81" s="342" t="s">
        <v>858</v>
      </c>
      <c r="E81" s="342">
        <v>0</v>
      </c>
      <c r="F81" s="342">
        <v>0</v>
      </c>
      <c r="G81" s="344">
        <v>1</v>
      </c>
      <c r="H81" s="346">
        <v>45426.666666666664</v>
      </c>
      <c r="I81" s="350">
        <v>0.151</v>
      </c>
      <c r="J81" s="342">
        <v>247.95</v>
      </c>
      <c r="K81" s="342">
        <v>0.154</v>
      </c>
      <c r="L81" s="343">
        <v>60.3</v>
      </c>
      <c r="M81" s="52">
        <v>1</v>
      </c>
      <c r="N81" s="52">
        <v>0.151</v>
      </c>
      <c r="O81" s="52">
        <v>0.154</v>
      </c>
      <c r="P81" s="339">
        <v>0.151</v>
      </c>
      <c r="Q81" s="339">
        <v>0.154</v>
      </c>
      <c r="R81" s="331" t="s">
        <v>12</v>
      </c>
    </row>
    <row r="82" spans="1:18">
      <c r="A82" s="342" t="s">
        <v>889</v>
      </c>
      <c r="B82" s="342">
        <v>16</v>
      </c>
      <c r="C82" s="343">
        <v>918</v>
      </c>
      <c r="D82" s="342" t="s">
        <v>860</v>
      </c>
      <c r="E82" s="342">
        <v>0</v>
      </c>
      <c r="F82" s="342">
        <v>0</v>
      </c>
      <c r="G82" s="344">
        <v>0</v>
      </c>
      <c r="H82" s="346">
        <v>45426.66747685185</v>
      </c>
      <c r="I82" s="342">
        <v>0.15</v>
      </c>
      <c r="J82" s="342">
        <v>245.7</v>
      </c>
      <c r="K82" s="342">
        <v>3.1E-2</v>
      </c>
      <c r="L82" s="342">
        <v>12.05</v>
      </c>
      <c r="M82" s="52">
        <v>1</v>
      </c>
      <c r="N82" s="52">
        <v>0.15</v>
      </c>
      <c r="O82" s="52">
        <v>3.1E-2</v>
      </c>
      <c r="P82" s="339">
        <v>0.15</v>
      </c>
      <c r="Q82" s="339">
        <v>3.1E-2</v>
      </c>
      <c r="R82" s="331" t="s">
        <v>12</v>
      </c>
    </row>
    <row r="83" spans="1:18">
      <c r="A83" s="342">
        <v>178</v>
      </c>
      <c r="B83" s="342">
        <v>17</v>
      </c>
      <c r="C83" s="343">
        <v>1</v>
      </c>
      <c r="D83" s="342" t="s">
        <v>856</v>
      </c>
      <c r="E83" s="342">
        <v>0</v>
      </c>
      <c r="F83" s="342">
        <v>0</v>
      </c>
      <c r="G83" s="344">
        <v>0</v>
      </c>
      <c r="H83" s="346">
        <v>45426.668287037035</v>
      </c>
      <c r="I83" s="342">
        <v>1.9E-2</v>
      </c>
      <c r="J83" s="342">
        <v>29.33</v>
      </c>
      <c r="K83" s="342">
        <v>-1E-3</v>
      </c>
      <c r="L83" s="342">
        <v>-0.65</v>
      </c>
      <c r="M83" s="52">
        <v>1</v>
      </c>
      <c r="N83" s="52">
        <v>1.9E-2</v>
      </c>
      <c r="O83" s="52">
        <v>-1E-3</v>
      </c>
      <c r="P83" s="339">
        <v>1.9E-2</v>
      </c>
      <c r="Q83" s="339" t="s">
        <v>895</v>
      </c>
      <c r="R83" s="331" t="s">
        <v>12</v>
      </c>
    </row>
    <row r="84" spans="1:18">
      <c r="A84" s="342">
        <v>386</v>
      </c>
      <c r="B84" s="342">
        <v>18</v>
      </c>
      <c r="C84" s="343">
        <v>2</v>
      </c>
      <c r="D84" s="342" t="s">
        <v>856</v>
      </c>
      <c r="E84" s="342">
        <v>0</v>
      </c>
      <c r="F84" s="342">
        <v>0</v>
      </c>
      <c r="G84" s="344">
        <v>0</v>
      </c>
      <c r="H84" s="346">
        <v>45426.66909722222</v>
      </c>
      <c r="I84" s="342">
        <v>1.4E-2</v>
      </c>
      <c r="J84" s="342">
        <v>20.53</v>
      </c>
      <c r="K84" s="342">
        <v>-2E-3</v>
      </c>
      <c r="L84" s="342">
        <v>-0.88</v>
      </c>
      <c r="M84" s="52">
        <v>1</v>
      </c>
      <c r="N84" s="52">
        <v>1.4E-2</v>
      </c>
      <c r="O84" s="52">
        <v>-2E-3</v>
      </c>
      <c r="P84" s="339">
        <v>1.4E-2</v>
      </c>
      <c r="Q84" s="339" t="s">
        <v>895</v>
      </c>
      <c r="R84" s="331" t="s">
        <v>12</v>
      </c>
    </row>
    <row r="85" spans="1:18">
      <c r="A85" s="342">
        <v>347</v>
      </c>
      <c r="B85" s="342">
        <v>19</v>
      </c>
      <c r="C85" s="343">
        <v>3</v>
      </c>
      <c r="D85" s="342" t="s">
        <v>856</v>
      </c>
      <c r="E85" s="342">
        <v>0</v>
      </c>
      <c r="F85" s="342">
        <v>0</v>
      </c>
      <c r="G85" s="344">
        <v>0</v>
      </c>
      <c r="H85" s="345">
        <v>45426.669907407406</v>
      </c>
      <c r="I85" s="350">
        <v>1.2E-2</v>
      </c>
      <c r="J85" s="342">
        <v>18.23</v>
      </c>
      <c r="K85" s="343">
        <v>-1E-3</v>
      </c>
      <c r="L85" s="343">
        <v>-0.82</v>
      </c>
      <c r="M85" s="52">
        <v>1</v>
      </c>
      <c r="N85" s="52">
        <v>1.2E-2</v>
      </c>
      <c r="O85" s="52">
        <v>-1E-3</v>
      </c>
      <c r="P85" s="339">
        <v>1.2E-2</v>
      </c>
      <c r="Q85" s="339" t="s">
        <v>895</v>
      </c>
      <c r="R85" s="331" t="s">
        <v>12</v>
      </c>
    </row>
    <row r="86" spans="1:18">
      <c r="A86" s="342">
        <v>204</v>
      </c>
      <c r="B86" s="342">
        <v>20</v>
      </c>
      <c r="C86" s="343">
        <v>4</v>
      </c>
      <c r="D86" s="342" t="s">
        <v>856</v>
      </c>
      <c r="E86" s="342">
        <v>0</v>
      </c>
      <c r="F86" s="342">
        <v>0</v>
      </c>
      <c r="G86" s="344">
        <v>0</v>
      </c>
      <c r="H86" s="345">
        <v>45426.670717592591</v>
      </c>
      <c r="I86" s="350">
        <v>1.4E-2</v>
      </c>
      <c r="J86" s="342">
        <v>21.06</v>
      </c>
      <c r="K86" s="343">
        <v>-1E-3</v>
      </c>
      <c r="L86" s="343">
        <v>-0.66</v>
      </c>
      <c r="M86" s="52">
        <v>1</v>
      </c>
      <c r="N86" s="52">
        <v>1.4E-2</v>
      </c>
      <c r="O86" s="52">
        <v>-1E-3</v>
      </c>
      <c r="P86" s="339">
        <v>1.4E-2</v>
      </c>
      <c r="Q86" s="339" t="s">
        <v>895</v>
      </c>
      <c r="R86" s="331" t="s">
        <v>12</v>
      </c>
    </row>
    <row r="87" spans="1:18">
      <c r="A87" s="342">
        <v>568</v>
      </c>
      <c r="B87" s="342">
        <v>21</v>
      </c>
      <c r="C87" s="343">
        <v>5</v>
      </c>
      <c r="D87" s="342" t="s">
        <v>856</v>
      </c>
      <c r="E87" s="342">
        <v>0</v>
      </c>
      <c r="F87" s="342">
        <v>0</v>
      </c>
      <c r="G87" s="344">
        <v>0</v>
      </c>
      <c r="H87" s="345">
        <v>45426.671527777777</v>
      </c>
      <c r="I87" s="350">
        <v>1.6E-2</v>
      </c>
      <c r="J87" s="342">
        <v>23.61</v>
      </c>
      <c r="K87" s="343">
        <v>-1E-3</v>
      </c>
      <c r="L87" s="343">
        <v>-0.72</v>
      </c>
      <c r="M87" s="52">
        <v>1</v>
      </c>
      <c r="N87" s="52">
        <v>1.6E-2</v>
      </c>
      <c r="O87" s="52">
        <v>-1E-3</v>
      </c>
      <c r="P87" s="339">
        <v>1.6E-2</v>
      </c>
      <c r="Q87" s="339" t="s">
        <v>895</v>
      </c>
      <c r="R87" s="331" t="s">
        <v>12</v>
      </c>
    </row>
    <row r="88" spans="1:18">
      <c r="A88" s="342">
        <v>633</v>
      </c>
      <c r="B88" s="342">
        <v>22</v>
      </c>
      <c r="C88" s="343">
        <v>6</v>
      </c>
      <c r="D88" s="342" t="s">
        <v>856</v>
      </c>
      <c r="E88" s="342">
        <v>0</v>
      </c>
      <c r="F88" s="342">
        <v>0</v>
      </c>
      <c r="G88" s="344">
        <v>0</v>
      </c>
      <c r="H88" s="345">
        <v>45426.672337962962</v>
      </c>
      <c r="I88" s="350">
        <v>1.4E-2</v>
      </c>
      <c r="J88" s="342">
        <v>21.06</v>
      </c>
      <c r="K88" s="343">
        <v>-1E-3</v>
      </c>
      <c r="L88" s="343">
        <v>-0.63</v>
      </c>
      <c r="M88" s="52">
        <v>1</v>
      </c>
      <c r="N88" s="52">
        <v>1.4E-2</v>
      </c>
      <c r="O88" s="52">
        <v>-1E-3</v>
      </c>
      <c r="P88" s="339">
        <v>1.4E-2</v>
      </c>
      <c r="Q88" s="339" t="s">
        <v>895</v>
      </c>
      <c r="R88" s="331" t="s">
        <v>12</v>
      </c>
    </row>
    <row r="89" spans="1:18">
      <c r="A89" s="342">
        <v>503</v>
      </c>
      <c r="B89" s="342">
        <v>23</v>
      </c>
      <c r="C89" s="343">
        <v>7</v>
      </c>
      <c r="D89" s="342" t="s">
        <v>856</v>
      </c>
      <c r="E89" s="342">
        <v>0</v>
      </c>
      <c r="F89" s="342">
        <v>0</v>
      </c>
      <c r="G89" s="344">
        <v>0</v>
      </c>
      <c r="H89" s="345">
        <v>45426.673148148147</v>
      </c>
      <c r="I89" s="350">
        <v>2.1000000000000001E-2</v>
      </c>
      <c r="J89" s="342">
        <v>33.24</v>
      </c>
      <c r="K89" s="343">
        <v>-1E-3</v>
      </c>
      <c r="L89" s="343">
        <v>-0.54</v>
      </c>
      <c r="M89" s="52">
        <v>1</v>
      </c>
      <c r="N89" s="52">
        <v>2.1000000000000001E-2</v>
      </c>
      <c r="O89" s="52">
        <v>-1E-3</v>
      </c>
      <c r="P89" s="339">
        <v>2.1000000000000001E-2</v>
      </c>
      <c r="Q89" s="339" t="s">
        <v>895</v>
      </c>
      <c r="R89" s="331" t="s">
        <v>12</v>
      </c>
    </row>
    <row r="90" spans="1:18">
      <c r="A90" s="342">
        <v>464</v>
      </c>
      <c r="B90" s="342">
        <v>24</v>
      </c>
      <c r="C90" s="343">
        <v>8</v>
      </c>
      <c r="D90" s="342" t="s">
        <v>856</v>
      </c>
      <c r="E90" s="342">
        <v>0</v>
      </c>
      <c r="F90" s="342">
        <v>0</v>
      </c>
      <c r="G90" s="344">
        <v>0</v>
      </c>
      <c r="H90" s="345">
        <v>45426.673958333333</v>
      </c>
      <c r="I90" s="350">
        <v>1.2E-2</v>
      </c>
      <c r="J90" s="342">
        <v>18.13</v>
      </c>
      <c r="K90" s="343">
        <v>-1E-3</v>
      </c>
      <c r="L90" s="343">
        <v>-0.66</v>
      </c>
      <c r="M90" s="52">
        <v>1</v>
      </c>
      <c r="N90" s="52">
        <v>1.2E-2</v>
      </c>
      <c r="O90" s="52">
        <v>-1E-3</v>
      </c>
      <c r="P90" s="339">
        <v>1.2E-2</v>
      </c>
      <c r="Q90" s="339" t="s">
        <v>895</v>
      </c>
      <c r="R90" s="331" t="s">
        <v>12</v>
      </c>
    </row>
    <row r="91" spans="1:18">
      <c r="A91" s="342">
        <v>607</v>
      </c>
      <c r="B91" s="342">
        <v>25</v>
      </c>
      <c r="C91" s="343">
        <v>9</v>
      </c>
      <c r="D91" s="342" t="s">
        <v>856</v>
      </c>
      <c r="E91" s="342">
        <v>0</v>
      </c>
      <c r="F91" s="342">
        <v>0</v>
      </c>
      <c r="G91" s="344">
        <v>0</v>
      </c>
      <c r="H91" s="345">
        <v>45426.674768518518</v>
      </c>
      <c r="I91" s="350">
        <v>1.2999999999999999E-2</v>
      </c>
      <c r="J91" s="342">
        <v>19.420000000000002</v>
      </c>
      <c r="K91" s="343">
        <v>-1E-3</v>
      </c>
      <c r="L91" s="343">
        <v>-0.72</v>
      </c>
      <c r="M91" s="52">
        <v>1</v>
      </c>
      <c r="N91" s="52">
        <v>1.2999999999999999E-2</v>
      </c>
      <c r="O91" s="52">
        <v>-1E-3</v>
      </c>
      <c r="P91" s="339">
        <v>1.2999999999999999E-2</v>
      </c>
      <c r="Q91" s="339" t="s">
        <v>895</v>
      </c>
      <c r="R91" s="331" t="s">
        <v>12</v>
      </c>
    </row>
    <row r="92" spans="1:18">
      <c r="A92" s="342">
        <v>425</v>
      </c>
      <c r="B92" s="342">
        <v>26</v>
      </c>
      <c r="C92" s="343">
        <v>10</v>
      </c>
      <c r="D92" s="342" t="s">
        <v>856</v>
      </c>
      <c r="E92" s="342">
        <v>0</v>
      </c>
      <c r="F92" s="342">
        <v>0</v>
      </c>
      <c r="G92" s="344">
        <v>0</v>
      </c>
      <c r="H92" s="345">
        <v>45426.675578703704</v>
      </c>
      <c r="I92" s="350">
        <v>1.4999999999999999E-2</v>
      </c>
      <c r="J92" s="342">
        <v>21.93</v>
      </c>
      <c r="K92" s="343">
        <v>1E-3</v>
      </c>
      <c r="L92" s="343">
        <v>0.02</v>
      </c>
      <c r="M92" s="52">
        <v>1</v>
      </c>
      <c r="N92" s="52">
        <v>1.4999999999999999E-2</v>
      </c>
      <c r="O92" s="52">
        <v>1E-3</v>
      </c>
      <c r="P92" s="339">
        <v>1.4999999999999999E-2</v>
      </c>
      <c r="Q92" s="339" t="s">
        <v>895</v>
      </c>
      <c r="R92" s="331" t="s">
        <v>12</v>
      </c>
    </row>
    <row r="93" spans="1:18">
      <c r="A93" s="342" t="s">
        <v>898</v>
      </c>
      <c r="B93" s="342">
        <v>27</v>
      </c>
      <c r="C93" s="343">
        <v>11</v>
      </c>
      <c r="D93" s="342" t="s">
        <v>858</v>
      </c>
      <c r="E93" s="342">
        <v>0</v>
      </c>
      <c r="F93" s="342">
        <v>0</v>
      </c>
      <c r="G93" s="344">
        <v>1</v>
      </c>
      <c r="H93" s="345">
        <v>45426.676388888889</v>
      </c>
      <c r="I93" s="350">
        <v>0.161</v>
      </c>
      <c r="J93" s="342">
        <v>264.54000000000002</v>
      </c>
      <c r="K93" s="343">
        <v>0.156</v>
      </c>
      <c r="L93" s="343">
        <v>61.05</v>
      </c>
      <c r="M93" s="52">
        <v>1</v>
      </c>
      <c r="N93" s="52">
        <v>0.161</v>
      </c>
      <c r="O93" s="52">
        <v>0.156</v>
      </c>
      <c r="P93" s="339">
        <v>0.161</v>
      </c>
      <c r="Q93" s="339">
        <v>0.156</v>
      </c>
      <c r="R93" s="331" t="s">
        <v>12</v>
      </c>
    </row>
    <row r="94" spans="1:18">
      <c r="A94" s="342" t="s">
        <v>889</v>
      </c>
      <c r="B94" s="342">
        <v>28</v>
      </c>
      <c r="C94" s="343">
        <v>918</v>
      </c>
      <c r="D94" s="342" t="s">
        <v>860</v>
      </c>
      <c r="E94" s="342">
        <v>0</v>
      </c>
      <c r="F94" s="342">
        <v>0</v>
      </c>
      <c r="G94" s="344">
        <v>0</v>
      </c>
      <c r="H94" s="345">
        <v>45426.677199074074</v>
      </c>
      <c r="I94" s="350">
        <v>0.15</v>
      </c>
      <c r="J94" s="342">
        <v>246.45</v>
      </c>
      <c r="K94" s="343">
        <v>3.7999999999999999E-2</v>
      </c>
      <c r="L94" s="343">
        <v>14.68</v>
      </c>
      <c r="M94" s="52">
        <v>1</v>
      </c>
      <c r="N94" s="52">
        <v>0.15</v>
      </c>
      <c r="O94" s="52">
        <v>3.7999999999999999E-2</v>
      </c>
      <c r="P94" s="339">
        <v>0.15</v>
      </c>
      <c r="Q94" s="339">
        <v>3.7999999999999999E-2</v>
      </c>
      <c r="R94" s="331" t="s">
        <v>12</v>
      </c>
    </row>
    <row r="95" spans="1:18">
      <c r="A95" s="342" t="s">
        <v>850</v>
      </c>
      <c r="B95" s="342">
        <v>29</v>
      </c>
      <c r="C95" s="343">
        <v>0</v>
      </c>
      <c r="D95" s="342" t="s">
        <v>851</v>
      </c>
      <c r="E95" s="342">
        <v>0</v>
      </c>
      <c r="F95" s="342">
        <v>0</v>
      </c>
      <c r="G95" s="344">
        <v>0</v>
      </c>
      <c r="H95" s="345">
        <v>45426.67800925926</v>
      </c>
      <c r="I95" s="350">
        <v>1E-3</v>
      </c>
      <c r="J95" s="342">
        <v>0</v>
      </c>
      <c r="K95" s="343">
        <v>1E-3</v>
      </c>
      <c r="L95" s="343">
        <v>0</v>
      </c>
      <c r="M95" s="52">
        <v>1</v>
      </c>
      <c r="N95" s="52">
        <v>1E-3</v>
      </c>
      <c r="O95" s="52">
        <v>1E-3</v>
      </c>
      <c r="P95" s="339" t="s">
        <v>897</v>
      </c>
      <c r="Q95" s="339" t="s">
        <v>895</v>
      </c>
      <c r="R95" s="331" t="s">
        <v>12</v>
      </c>
    </row>
    <row r="96" spans="1:18">
      <c r="A96" s="342">
        <v>516</v>
      </c>
      <c r="B96" s="342">
        <v>30</v>
      </c>
      <c r="C96" s="343">
        <v>12</v>
      </c>
      <c r="D96" s="342" t="s">
        <v>856</v>
      </c>
      <c r="E96" s="342">
        <v>0</v>
      </c>
      <c r="F96" s="342">
        <v>0</v>
      </c>
      <c r="G96" s="344">
        <v>0</v>
      </c>
      <c r="H96" s="346">
        <v>45426.680439814816</v>
      </c>
      <c r="I96" s="342">
        <v>1.4E-2</v>
      </c>
      <c r="J96" s="342">
        <v>20.16</v>
      </c>
      <c r="K96" s="342">
        <v>0</v>
      </c>
      <c r="L96" s="342">
        <v>-0.39</v>
      </c>
      <c r="M96" s="52">
        <v>1</v>
      </c>
      <c r="N96" s="52">
        <v>1.4E-2</v>
      </c>
      <c r="O96" s="52">
        <v>0</v>
      </c>
      <c r="P96" s="339">
        <v>1.4E-2</v>
      </c>
      <c r="Q96" s="339" t="s">
        <v>895</v>
      </c>
      <c r="R96" s="331" t="s">
        <v>12</v>
      </c>
    </row>
    <row r="97" spans="1:18">
      <c r="A97" s="342">
        <v>477</v>
      </c>
      <c r="B97" s="342">
        <v>31</v>
      </c>
      <c r="C97" s="343">
        <v>13</v>
      </c>
      <c r="D97" s="342" t="s">
        <v>856</v>
      </c>
      <c r="E97" s="342">
        <v>0</v>
      </c>
      <c r="F97" s="342">
        <v>0</v>
      </c>
      <c r="G97" s="344">
        <v>0</v>
      </c>
      <c r="H97" s="346">
        <v>45426.681250000001</v>
      </c>
      <c r="I97" s="342">
        <v>1.2E-2</v>
      </c>
      <c r="J97" s="342">
        <v>17.690000000000001</v>
      </c>
      <c r="K97" s="342">
        <v>0</v>
      </c>
      <c r="L97" s="342">
        <v>-0.11</v>
      </c>
      <c r="M97" s="52">
        <v>1</v>
      </c>
      <c r="N97" s="52">
        <v>1.2E-2</v>
      </c>
      <c r="O97" s="52">
        <v>0</v>
      </c>
      <c r="P97" s="339">
        <v>1.2E-2</v>
      </c>
      <c r="Q97" s="339" t="s">
        <v>895</v>
      </c>
      <c r="R97" s="331" t="s">
        <v>12</v>
      </c>
    </row>
    <row r="98" spans="1:18">
      <c r="A98" s="342">
        <v>295</v>
      </c>
      <c r="B98" s="342">
        <v>32</v>
      </c>
      <c r="C98" s="343">
        <v>14</v>
      </c>
      <c r="D98" s="342" t="s">
        <v>856</v>
      </c>
      <c r="E98" s="342">
        <v>0</v>
      </c>
      <c r="F98" s="342">
        <v>0</v>
      </c>
      <c r="G98" s="344">
        <v>0</v>
      </c>
      <c r="H98" s="345">
        <v>45426.682060185187</v>
      </c>
      <c r="I98" s="350">
        <v>1.7000000000000001E-2</v>
      </c>
      <c r="J98" s="342">
        <v>25.7</v>
      </c>
      <c r="K98" s="343">
        <v>0</v>
      </c>
      <c r="L98" s="343">
        <v>-0.28999999999999998</v>
      </c>
      <c r="M98" s="52">
        <v>1</v>
      </c>
      <c r="N98" s="52">
        <v>1.7000000000000001E-2</v>
      </c>
      <c r="O98" s="52">
        <v>0</v>
      </c>
      <c r="P98" s="339">
        <v>1.7000000000000001E-2</v>
      </c>
      <c r="Q98" s="339" t="s">
        <v>895</v>
      </c>
      <c r="R98" s="331" t="s">
        <v>12</v>
      </c>
    </row>
    <row r="99" spans="1:18">
      <c r="A99" s="342">
        <v>581</v>
      </c>
      <c r="B99" s="342">
        <v>33</v>
      </c>
      <c r="C99" s="343">
        <v>15</v>
      </c>
      <c r="D99" s="342" t="s">
        <v>856</v>
      </c>
      <c r="E99" s="342">
        <v>0</v>
      </c>
      <c r="F99" s="342">
        <v>0</v>
      </c>
      <c r="G99" s="344">
        <v>0</v>
      </c>
      <c r="H99" s="346">
        <v>45426.682870370372</v>
      </c>
      <c r="I99" s="342">
        <v>1.6E-2</v>
      </c>
      <c r="J99" s="342">
        <v>24.22</v>
      </c>
      <c r="K99" s="342">
        <v>0</v>
      </c>
      <c r="L99" s="342">
        <v>-0.28000000000000003</v>
      </c>
      <c r="M99" s="52">
        <v>1</v>
      </c>
      <c r="N99" s="52">
        <v>1.6E-2</v>
      </c>
      <c r="O99" s="52">
        <v>0</v>
      </c>
      <c r="P99" s="339">
        <v>1.6E-2</v>
      </c>
      <c r="Q99" s="339" t="s">
        <v>895</v>
      </c>
      <c r="R99" s="331" t="s">
        <v>12</v>
      </c>
    </row>
    <row r="100" spans="1:18">
      <c r="A100" s="342">
        <v>438</v>
      </c>
      <c r="B100" s="342">
        <v>34</v>
      </c>
      <c r="C100" s="343">
        <v>16</v>
      </c>
      <c r="D100" s="342" t="s">
        <v>856</v>
      </c>
      <c r="E100" s="342">
        <v>0</v>
      </c>
      <c r="F100" s="342">
        <v>0</v>
      </c>
      <c r="G100" s="344">
        <v>0</v>
      </c>
      <c r="H100" s="345">
        <v>45426.683680555558</v>
      </c>
      <c r="I100" s="350">
        <v>1.7999999999999999E-2</v>
      </c>
      <c r="J100" s="342">
        <v>27.59</v>
      </c>
      <c r="K100" s="343">
        <v>0</v>
      </c>
      <c r="L100" s="343">
        <v>-0.31</v>
      </c>
      <c r="M100" s="52">
        <v>1</v>
      </c>
      <c r="N100" s="52">
        <v>1.7999999999999999E-2</v>
      </c>
      <c r="O100" s="52">
        <v>0</v>
      </c>
      <c r="P100" s="339">
        <v>1.7999999999999999E-2</v>
      </c>
      <c r="Q100" s="339" t="s">
        <v>895</v>
      </c>
      <c r="R100" s="331" t="s">
        <v>12</v>
      </c>
    </row>
    <row r="101" spans="1:18">
      <c r="A101" s="335">
        <v>412</v>
      </c>
      <c r="B101" s="335">
        <v>35</v>
      </c>
      <c r="C101" s="335">
        <v>17</v>
      </c>
      <c r="D101" s="52" t="s">
        <v>856</v>
      </c>
      <c r="E101" s="52">
        <v>0</v>
      </c>
      <c r="F101" s="52">
        <v>0</v>
      </c>
      <c r="G101" s="52">
        <v>0</v>
      </c>
      <c r="H101" s="349">
        <v>45426.684490740743</v>
      </c>
      <c r="I101" s="52">
        <v>1.4E-2</v>
      </c>
      <c r="J101" s="52">
        <v>21.15</v>
      </c>
      <c r="K101" s="52">
        <v>2E-3</v>
      </c>
      <c r="L101" s="52">
        <v>0.57999999999999996</v>
      </c>
      <c r="M101" s="52">
        <v>1</v>
      </c>
      <c r="N101" s="52">
        <v>1.4E-2</v>
      </c>
      <c r="O101" s="52">
        <v>2E-3</v>
      </c>
      <c r="P101" s="339">
        <v>1.4E-2</v>
      </c>
      <c r="Q101" s="339" t="s">
        <v>895</v>
      </c>
      <c r="R101" s="331" t="s">
        <v>12</v>
      </c>
    </row>
    <row r="102" spans="1:18">
      <c r="A102" s="335">
        <v>594</v>
      </c>
      <c r="B102" s="335">
        <v>36</v>
      </c>
      <c r="C102" s="335">
        <v>18</v>
      </c>
      <c r="D102" s="52" t="s">
        <v>856</v>
      </c>
      <c r="E102" s="52">
        <v>0</v>
      </c>
      <c r="F102" s="52">
        <v>0</v>
      </c>
      <c r="G102" s="52">
        <v>0</v>
      </c>
      <c r="H102" s="349">
        <v>45426.685300925928</v>
      </c>
      <c r="I102" s="52">
        <v>1.6E-2</v>
      </c>
      <c r="J102" s="52">
        <v>24.57</v>
      </c>
      <c r="K102" s="52">
        <v>0</v>
      </c>
      <c r="L102" s="52">
        <v>-0.33</v>
      </c>
      <c r="M102" s="52">
        <v>1</v>
      </c>
      <c r="N102" s="52">
        <v>1.6E-2</v>
      </c>
      <c r="O102" s="52">
        <v>0</v>
      </c>
      <c r="P102" s="339">
        <v>1.6E-2</v>
      </c>
      <c r="Q102" s="339" t="s">
        <v>895</v>
      </c>
      <c r="R102" s="331" t="s">
        <v>12</v>
      </c>
    </row>
    <row r="103" spans="1:18">
      <c r="A103" s="335">
        <v>529</v>
      </c>
      <c r="B103" s="335">
        <v>37</v>
      </c>
      <c r="C103" s="335">
        <v>19</v>
      </c>
      <c r="D103" s="52" t="s">
        <v>856</v>
      </c>
      <c r="E103" s="52">
        <v>0</v>
      </c>
      <c r="F103" s="52">
        <v>0</v>
      </c>
      <c r="G103" s="52">
        <v>0</v>
      </c>
      <c r="H103" s="349">
        <v>45426.686111111114</v>
      </c>
      <c r="I103" s="52">
        <v>1.2E-2</v>
      </c>
      <c r="J103" s="52">
        <v>17.420000000000002</v>
      </c>
      <c r="K103" s="52">
        <v>0</v>
      </c>
      <c r="L103" s="52">
        <v>-0.21</v>
      </c>
      <c r="M103" s="52">
        <v>1</v>
      </c>
      <c r="N103" s="52">
        <v>1.2E-2</v>
      </c>
      <c r="O103" s="52">
        <v>0</v>
      </c>
      <c r="P103" s="339">
        <v>1.2E-2</v>
      </c>
      <c r="Q103" s="339" t="s">
        <v>895</v>
      </c>
      <c r="R103" s="331" t="s">
        <v>12</v>
      </c>
    </row>
    <row r="104" spans="1:18">
      <c r="A104" s="335">
        <v>620</v>
      </c>
      <c r="B104" s="335">
        <v>38</v>
      </c>
      <c r="C104" s="335">
        <v>20</v>
      </c>
      <c r="D104" s="52" t="s">
        <v>856</v>
      </c>
      <c r="E104" s="52">
        <v>0</v>
      </c>
      <c r="F104" s="52">
        <v>0</v>
      </c>
      <c r="G104" s="52">
        <v>0</v>
      </c>
      <c r="H104" s="349">
        <v>45426.686921296299</v>
      </c>
      <c r="I104" s="52">
        <v>1.6E-2</v>
      </c>
      <c r="J104" s="52">
        <v>24.99</v>
      </c>
      <c r="K104" s="52">
        <v>1E-3</v>
      </c>
      <c r="L104" s="52">
        <v>0.06</v>
      </c>
      <c r="M104" s="52">
        <v>1</v>
      </c>
      <c r="N104" s="52">
        <v>1.6E-2</v>
      </c>
      <c r="O104" s="52">
        <v>1E-3</v>
      </c>
      <c r="P104" s="339">
        <v>1.6E-2</v>
      </c>
      <c r="Q104" s="339" t="s">
        <v>895</v>
      </c>
      <c r="R104" s="331" t="s">
        <v>12</v>
      </c>
    </row>
    <row r="105" spans="1:18">
      <c r="A105" s="335">
        <v>542</v>
      </c>
      <c r="B105" s="335">
        <v>39</v>
      </c>
      <c r="C105" s="335">
        <v>21</v>
      </c>
      <c r="D105" s="52" t="s">
        <v>856</v>
      </c>
      <c r="E105" s="52">
        <v>0</v>
      </c>
      <c r="F105" s="52">
        <v>0</v>
      </c>
      <c r="G105" s="52">
        <v>0</v>
      </c>
      <c r="H105" s="349">
        <v>45426.687731481485</v>
      </c>
      <c r="I105" s="52">
        <v>5.3999999999999999E-2</v>
      </c>
      <c r="J105" s="52">
        <v>87.05</v>
      </c>
      <c r="K105" s="52">
        <v>0.02</v>
      </c>
      <c r="L105" s="52">
        <v>7.7</v>
      </c>
      <c r="M105" s="52">
        <v>1</v>
      </c>
      <c r="N105" s="52">
        <v>5.3999999999999999E-2</v>
      </c>
      <c r="O105" s="52">
        <v>0.02</v>
      </c>
      <c r="P105" s="339">
        <v>5.3999999999999999E-2</v>
      </c>
      <c r="Q105" s="339">
        <v>0.02</v>
      </c>
      <c r="R105" s="331" t="s">
        <v>12</v>
      </c>
    </row>
    <row r="106" spans="1:18">
      <c r="A106" s="335" t="s">
        <v>899</v>
      </c>
      <c r="B106" s="335">
        <v>40</v>
      </c>
      <c r="C106" s="335">
        <v>22</v>
      </c>
      <c r="D106" s="52" t="s">
        <v>858</v>
      </c>
      <c r="E106" s="52">
        <v>0</v>
      </c>
      <c r="F106" s="52">
        <v>0</v>
      </c>
      <c r="G106" s="52">
        <v>1</v>
      </c>
      <c r="H106" s="349">
        <v>45426.68854166667</v>
      </c>
      <c r="I106" s="52">
        <v>0.188</v>
      </c>
      <c r="J106" s="52">
        <v>309.27999999999997</v>
      </c>
      <c r="K106" s="52">
        <v>0.17399999999999999</v>
      </c>
      <c r="L106" s="52">
        <v>68.28</v>
      </c>
      <c r="M106" s="52">
        <v>1</v>
      </c>
      <c r="N106" s="52">
        <v>0.188</v>
      </c>
      <c r="O106" s="52">
        <v>0.17399999999999999</v>
      </c>
      <c r="P106" s="339">
        <v>0.188</v>
      </c>
      <c r="Q106" s="339">
        <v>0.17399999999999999</v>
      </c>
      <c r="R106" s="331" t="s">
        <v>12</v>
      </c>
    </row>
    <row r="107" spans="1:18">
      <c r="A107" s="335" t="s">
        <v>889</v>
      </c>
      <c r="B107" s="335">
        <v>41</v>
      </c>
      <c r="C107" s="335">
        <v>918</v>
      </c>
      <c r="D107" s="52" t="s">
        <v>860</v>
      </c>
      <c r="E107" s="52">
        <v>0</v>
      </c>
      <c r="F107" s="52">
        <v>0</v>
      </c>
      <c r="G107" s="52">
        <v>0</v>
      </c>
      <c r="H107" s="349">
        <v>45426.689351851855</v>
      </c>
      <c r="I107" s="52">
        <v>0.14899999999999999</v>
      </c>
      <c r="J107" s="52">
        <v>245.12</v>
      </c>
      <c r="K107" s="52">
        <v>3.3000000000000002E-2</v>
      </c>
      <c r="L107" s="52">
        <v>12.81</v>
      </c>
      <c r="M107" s="52">
        <v>1</v>
      </c>
      <c r="N107" s="52">
        <v>0.14899999999999999</v>
      </c>
      <c r="O107" s="52">
        <v>3.3000000000000002E-2</v>
      </c>
      <c r="P107" s="339">
        <v>0.14899999999999999</v>
      </c>
      <c r="Q107" s="339">
        <v>3.3000000000000002E-2</v>
      </c>
      <c r="R107" s="331" t="s">
        <v>12</v>
      </c>
    </row>
    <row r="108" spans="1:18">
      <c r="A108" s="335" t="s">
        <v>850</v>
      </c>
      <c r="B108" s="335">
        <v>42</v>
      </c>
      <c r="C108" s="335">
        <v>0</v>
      </c>
      <c r="D108" s="52" t="s">
        <v>851</v>
      </c>
      <c r="E108" s="52">
        <v>0</v>
      </c>
      <c r="F108" s="52">
        <v>0</v>
      </c>
      <c r="G108" s="52">
        <v>0</v>
      </c>
      <c r="H108" s="349">
        <v>45426.690162037034</v>
      </c>
      <c r="I108" s="52">
        <v>1E-3</v>
      </c>
      <c r="J108" s="52">
        <v>0</v>
      </c>
      <c r="K108" s="52">
        <v>1E-3</v>
      </c>
      <c r="L108" s="52">
        <v>0</v>
      </c>
      <c r="M108" s="52">
        <v>1</v>
      </c>
      <c r="N108" s="52">
        <v>1E-3</v>
      </c>
      <c r="O108" s="52">
        <v>1E-3</v>
      </c>
      <c r="P108" s="339" t="s">
        <v>897</v>
      </c>
      <c r="Q108" s="339" t="s">
        <v>895</v>
      </c>
      <c r="R108" s="331" t="s">
        <v>12</v>
      </c>
    </row>
    <row r="109" spans="1:18">
      <c r="A109" s="335">
        <v>451</v>
      </c>
      <c r="B109" s="335">
        <v>43</v>
      </c>
      <c r="C109" s="335">
        <v>23</v>
      </c>
      <c r="D109" s="52" t="s">
        <v>856</v>
      </c>
      <c r="E109" s="52">
        <v>0</v>
      </c>
      <c r="F109" s="52">
        <v>0</v>
      </c>
      <c r="G109" s="52">
        <v>0</v>
      </c>
      <c r="H109" s="349">
        <v>45426.69259259259</v>
      </c>
      <c r="I109" s="52">
        <v>1.4999999999999999E-2</v>
      </c>
      <c r="J109" s="52">
        <v>23.23</v>
      </c>
      <c r="K109" s="52">
        <v>0</v>
      </c>
      <c r="L109" s="52">
        <v>-0.16</v>
      </c>
      <c r="M109" s="52">
        <v>1</v>
      </c>
      <c r="N109" s="52">
        <v>1.4999999999999999E-2</v>
      </c>
      <c r="O109" s="52">
        <v>0</v>
      </c>
      <c r="P109" s="339">
        <v>1.4999999999999999E-2</v>
      </c>
      <c r="Q109" s="339" t="s">
        <v>895</v>
      </c>
      <c r="R109" s="331" t="s">
        <v>12</v>
      </c>
    </row>
    <row r="110" spans="1:18">
      <c r="A110" s="335">
        <v>334</v>
      </c>
      <c r="B110" s="335">
        <v>44</v>
      </c>
      <c r="C110" s="335">
        <v>24</v>
      </c>
      <c r="D110" s="52" t="s">
        <v>856</v>
      </c>
      <c r="E110" s="52">
        <v>0</v>
      </c>
      <c r="F110" s="52">
        <v>0</v>
      </c>
      <c r="G110" s="52">
        <v>0</v>
      </c>
      <c r="H110" s="349">
        <v>45426.693402777775</v>
      </c>
      <c r="I110" s="52">
        <v>0.02</v>
      </c>
      <c r="J110" s="52">
        <v>31.47</v>
      </c>
      <c r="K110" s="52">
        <v>1E-3</v>
      </c>
      <c r="L110" s="52">
        <v>0.14000000000000001</v>
      </c>
      <c r="M110" s="52">
        <v>1</v>
      </c>
      <c r="N110" s="52">
        <v>0.02</v>
      </c>
      <c r="O110" s="52">
        <v>1E-3</v>
      </c>
      <c r="P110" s="339">
        <v>0.02</v>
      </c>
      <c r="Q110" s="339" t="s">
        <v>895</v>
      </c>
      <c r="R110" s="331" t="s">
        <v>12</v>
      </c>
    </row>
    <row r="111" spans="1:18">
      <c r="A111" s="335">
        <v>360</v>
      </c>
      <c r="B111" s="335">
        <v>45</v>
      </c>
      <c r="C111" s="335">
        <v>25</v>
      </c>
      <c r="D111" s="52" t="s">
        <v>856</v>
      </c>
      <c r="E111" s="52">
        <v>0</v>
      </c>
      <c r="F111" s="52">
        <v>0</v>
      </c>
      <c r="G111" s="52">
        <v>0</v>
      </c>
      <c r="H111" s="349">
        <v>45426.694212962961</v>
      </c>
      <c r="I111" s="52">
        <v>1.2999999999999999E-2</v>
      </c>
      <c r="J111" s="52">
        <v>20.07</v>
      </c>
      <c r="K111" s="52">
        <v>0</v>
      </c>
      <c r="L111" s="52">
        <v>-0.11</v>
      </c>
      <c r="M111" s="52">
        <v>1</v>
      </c>
      <c r="N111" s="52">
        <v>1.2999999999999999E-2</v>
      </c>
      <c r="O111" s="52">
        <v>0</v>
      </c>
      <c r="P111" s="339">
        <v>1.2999999999999999E-2</v>
      </c>
      <c r="Q111" s="339" t="s">
        <v>895</v>
      </c>
      <c r="R111" s="331" t="s">
        <v>12</v>
      </c>
    </row>
    <row r="112" spans="1:18">
      <c r="A112" s="335">
        <v>282</v>
      </c>
      <c r="B112" s="335">
        <v>46</v>
      </c>
      <c r="C112" s="335">
        <v>26</v>
      </c>
      <c r="D112" s="52" t="s">
        <v>856</v>
      </c>
      <c r="E112" s="52">
        <v>0</v>
      </c>
      <c r="F112" s="52">
        <v>0</v>
      </c>
      <c r="G112" s="52">
        <v>0</v>
      </c>
      <c r="H112" s="349">
        <v>45426.695023148146</v>
      </c>
      <c r="I112" s="52">
        <v>2.1999999999999999E-2</v>
      </c>
      <c r="J112" s="52">
        <v>33.619999999999997</v>
      </c>
      <c r="K112" s="52">
        <v>2E-3</v>
      </c>
      <c r="L112" s="52">
        <v>0.45</v>
      </c>
      <c r="M112" s="52">
        <v>1</v>
      </c>
      <c r="N112" s="52">
        <v>2.1999999999999999E-2</v>
      </c>
      <c r="O112" s="52">
        <v>2E-3</v>
      </c>
      <c r="P112" s="339">
        <v>2.1999999999999999E-2</v>
      </c>
      <c r="Q112" s="339" t="s">
        <v>895</v>
      </c>
      <c r="R112" s="331" t="s">
        <v>12</v>
      </c>
    </row>
    <row r="113" spans="1:18">
      <c r="A113" s="335">
        <v>399</v>
      </c>
      <c r="B113" s="335">
        <v>47</v>
      </c>
      <c r="C113" s="335">
        <v>27</v>
      </c>
      <c r="D113" s="52" t="s">
        <v>856</v>
      </c>
      <c r="E113" s="52">
        <v>0</v>
      </c>
      <c r="F113" s="52">
        <v>0</v>
      </c>
      <c r="G113" s="52">
        <v>0</v>
      </c>
      <c r="H113" s="349">
        <v>45426.695833333331</v>
      </c>
      <c r="I113" s="52">
        <v>1.7000000000000001E-2</v>
      </c>
      <c r="J113" s="52">
        <v>25.54</v>
      </c>
      <c r="K113" s="52">
        <v>2E-3</v>
      </c>
      <c r="L113" s="52">
        <v>0.48</v>
      </c>
      <c r="M113" s="52">
        <v>1</v>
      </c>
      <c r="N113" s="52">
        <v>1.7000000000000001E-2</v>
      </c>
      <c r="O113" s="52">
        <v>2E-3</v>
      </c>
      <c r="P113" s="339">
        <v>1.7000000000000001E-2</v>
      </c>
      <c r="Q113" s="339" t="s">
        <v>895</v>
      </c>
      <c r="R113" s="331" t="s">
        <v>12</v>
      </c>
    </row>
    <row r="114" spans="1:18">
      <c r="A114" s="335" t="s">
        <v>900</v>
      </c>
      <c r="B114" s="335">
        <v>48</v>
      </c>
      <c r="C114" s="335">
        <v>28</v>
      </c>
      <c r="D114" s="52" t="s">
        <v>858</v>
      </c>
      <c r="E114" s="52">
        <v>0</v>
      </c>
      <c r="F114" s="52">
        <v>0</v>
      </c>
      <c r="G114" s="52">
        <v>1</v>
      </c>
      <c r="H114" s="349">
        <v>45426.696643518517</v>
      </c>
      <c r="I114" s="52">
        <v>0.16</v>
      </c>
      <c r="J114" s="52">
        <v>262.68</v>
      </c>
      <c r="K114" s="52">
        <v>0.158</v>
      </c>
      <c r="L114" s="52">
        <v>61.63</v>
      </c>
      <c r="M114" s="52">
        <v>1</v>
      </c>
      <c r="N114" s="52">
        <v>0.16</v>
      </c>
      <c r="O114" s="52">
        <v>0.158</v>
      </c>
      <c r="P114" s="339">
        <v>0.16</v>
      </c>
      <c r="Q114" s="339">
        <v>0.158</v>
      </c>
      <c r="R114" s="331" t="s">
        <v>12</v>
      </c>
    </row>
    <row r="115" spans="1:18">
      <c r="A115" s="335" t="s">
        <v>889</v>
      </c>
      <c r="B115" s="335">
        <v>49</v>
      </c>
      <c r="C115" s="335">
        <v>918</v>
      </c>
      <c r="D115" s="52" t="s">
        <v>860</v>
      </c>
      <c r="E115" s="52">
        <v>0</v>
      </c>
      <c r="F115" s="52">
        <v>0</v>
      </c>
      <c r="G115" s="52">
        <v>0</v>
      </c>
      <c r="H115" s="349">
        <v>45426.697453703702</v>
      </c>
      <c r="I115" s="52">
        <v>0.14899999999999999</v>
      </c>
      <c r="J115" s="52">
        <v>245.21</v>
      </c>
      <c r="K115" s="52">
        <v>3.5000000000000003E-2</v>
      </c>
      <c r="L115" s="52">
        <v>13.53</v>
      </c>
      <c r="M115" s="52">
        <v>1</v>
      </c>
      <c r="N115" s="52">
        <v>0.14899999999999999</v>
      </c>
      <c r="O115" s="52">
        <v>3.5000000000000003E-2</v>
      </c>
      <c r="P115" s="339">
        <v>0.14899999999999999</v>
      </c>
      <c r="Q115" s="339">
        <v>3.5000000000000003E-2</v>
      </c>
      <c r="R115" s="331" t="s">
        <v>12</v>
      </c>
    </row>
    <row r="116" spans="1:18">
      <c r="A116" s="288" t="s">
        <v>850</v>
      </c>
      <c r="B116" s="288">
        <v>50</v>
      </c>
      <c r="C116" s="288">
        <v>0</v>
      </c>
      <c r="D116" s="331" t="s">
        <v>851</v>
      </c>
      <c r="E116" s="331">
        <v>0</v>
      </c>
      <c r="F116" s="331">
        <v>0</v>
      </c>
      <c r="G116" s="331">
        <v>0</v>
      </c>
      <c r="H116" s="340">
        <v>45426.698263888888</v>
      </c>
      <c r="I116" s="331">
        <v>1E-3</v>
      </c>
      <c r="J116" s="331">
        <v>0</v>
      </c>
      <c r="K116" s="331">
        <v>1E-3</v>
      </c>
      <c r="L116" s="331">
        <v>0</v>
      </c>
      <c r="M116" s="331">
        <v>1</v>
      </c>
      <c r="N116" s="331">
        <v>1E-3</v>
      </c>
      <c r="O116" s="331">
        <v>1E-3</v>
      </c>
      <c r="P116" s="339" t="s">
        <v>897</v>
      </c>
      <c r="Q116" s="339" t="s">
        <v>895</v>
      </c>
      <c r="R116" s="331" t="s">
        <v>12</v>
      </c>
    </row>
    <row r="117" spans="1:18">
      <c r="A117" s="288" t="s">
        <v>81</v>
      </c>
      <c r="B117" s="288">
        <v>51</v>
      </c>
      <c r="C117" s="288">
        <v>916</v>
      </c>
      <c r="D117" s="331" t="s">
        <v>856</v>
      </c>
      <c r="E117" s="331">
        <v>0</v>
      </c>
      <c r="F117" s="331">
        <v>0</v>
      </c>
      <c r="G117" s="331">
        <v>0</v>
      </c>
      <c r="H117" s="340">
        <v>45426.700694444444</v>
      </c>
      <c r="I117" s="331">
        <v>4.0000000000000001E-3</v>
      </c>
      <c r="J117" s="331">
        <v>4.76</v>
      </c>
      <c r="K117" s="331">
        <v>5.0000000000000001E-3</v>
      </c>
      <c r="L117" s="331">
        <v>1.84</v>
      </c>
      <c r="M117" s="331">
        <v>1</v>
      </c>
      <c r="N117" s="331">
        <v>4.0000000000000001E-3</v>
      </c>
      <c r="O117" s="331">
        <v>5.0000000000000001E-3</v>
      </c>
      <c r="P117" s="339">
        <v>4.0000000000000001E-3</v>
      </c>
      <c r="Q117" s="339" t="s">
        <v>895</v>
      </c>
      <c r="R117" s="331" t="s">
        <v>12</v>
      </c>
    </row>
    <row r="118" spans="1:18">
      <c r="A118" s="288" t="s">
        <v>81</v>
      </c>
      <c r="B118" s="288">
        <v>52</v>
      </c>
      <c r="C118" s="288">
        <v>916</v>
      </c>
      <c r="D118" s="331" t="s">
        <v>856</v>
      </c>
      <c r="E118" s="331">
        <v>0</v>
      </c>
      <c r="F118" s="331">
        <v>0</v>
      </c>
      <c r="G118" s="331">
        <v>0</v>
      </c>
      <c r="H118" s="340">
        <v>45426.701504629629</v>
      </c>
      <c r="I118" s="331">
        <v>4.0000000000000001E-3</v>
      </c>
      <c r="J118" s="331">
        <v>5.0199999999999996</v>
      </c>
      <c r="K118" s="331">
        <v>5.0000000000000001E-3</v>
      </c>
      <c r="L118" s="331">
        <v>1.59</v>
      </c>
      <c r="M118" s="331">
        <v>1</v>
      </c>
      <c r="N118" s="331">
        <v>4.0000000000000001E-3</v>
      </c>
      <c r="O118" s="331">
        <v>5.0000000000000001E-3</v>
      </c>
      <c r="P118" s="339">
        <v>4.0000000000000001E-3</v>
      </c>
      <c r="Q118" s="339" t="s">
        <v>895</v>
      </c>
      <c r="R118" s="331" t="s">
        <v>12</v>
      </c>
    </row>
    <row r="119" spans="1:18">
      <c r="A119" s="288" t="s">
        <v>81</v>
      </c>
      <c r="B119" s="288">
        <v>53</v>
      </c>
      <c r="C119" s="288">
        <v>916</v>
      </c>
      <c r="D119" s="331" t="s">
        <v>856</v>
      </c>
      <c r="E119" s="331">
        <v>0</v>
      </c>
      <c r="F119" s="331">
        <v>0</v>
      </c>
      <c r="G119" s="331">
        <v>0</v>
      </c>
      <c r="H119" s="340">
        <v>45426.702314814815</v>
      </c>
      <c r="I119" s="331">
        <v>4.0000000000000001E-3</v>
      </c>
      <c r="J119" s="331">
        <v>5.0199999999999996</v>
      </c>
      <c r="K119" s="331">
        <v>4.0000000000000001E-3</v>
      </c>
      <c r="L119" s="331">
        <v>1.42</v>
      </c>
      <c r="M119" s="331">
        <v>1</v>
      </c>
      <c r="N119" s="331">
        <v>4.0000000000000001E-3</v>
      </c>
      <c r="O119" s="331">
        <v>4.0000000000000001E-3</v>
      </c>
      <c r="P119" s="339">
        <v>4.0000000000000001E-3</v>
      </c>
      <c r="Q119" s="339" t="s">
        <v>895</v>
      </c>
      <c r="R119" s="331" t="s">
        <v>12</v>
      </c>
    </row>
    <row r="120" spans="1:18">
      <c r="A120" s="288" t="s">
        <v>81</v>
      </c>
      <c r="B120" s="288">
        <v>54</v>
      </c>
      <c r="C120" s="288">
        <v>916</v>
      </c>
      <c r="D120" s="331" t="s">
        <v>856</v>
      </c>
      <c r="E120" s="331">
        <v>0</v>
      </c>
      <c r="F120" s="331">
        <v>0</v>
      </c>
      <c r="G120" s="331">
        <v>0</v>
      </c>
      <c r="H120" s="340">
        <v>45426.703125</v>
      </c>
      <c r="I120" s="331">
        <v>4.0000000000000001E-3</v>
      </c>
      <c r="J120" s="331">
        <v>5.04</v>
      </c>
      <c r="K120" s="331">
        <v>4.0000000000000001E-3</v>
      </c>
      <c r="L120" s="331">
        <v>1.41</v>
      </c>
      <c r="M120" s="331">
        <v>1</v>
      </c>
      <c r="N120" s="331">
        <v>4.0000000000000001E-3</v>
      </c>
      <c r="O120" s="331">
        <v>4.0000000000000001E-3</v>
      </c>
      <c r="P120" s="339">
        <v>4.0000000000000001E-3</v>
      </c>
      <c r="Q120" s="339" t="s">
        <v>895</v>
      </c>
      <c r="R120" s="331" t="s">
        <v>12</v>
      </c>
    </row>
    <row r="121" spans="1:18">
      <c r="A121" s="288" t="s">
        <v>81</v>
      </c>
      <c r="B121" s="288">
        <v>55</v>
      </c>
      <c r="C121" s="288">
        <v>916</v>
      </c>
      <c r="D121" s="331" t="s">
        <v>856</v>
      </c>
      <c r="E121" s="331">
        <v>0</v>
      </c>
      <c r="F121" s="331">
        <v>0</v>
      </c>
      <c r="G121" s="331">
        <v>0</v>
      </c>
      <c r="H121" s="340">
        <v>45426.703935185185</v>
      </c>
      <c r="I121" s="331">
        <v>4.0000000000000001E-3</v>
      </c>
      <c r="J121" s="331">
        <v>4.2</v>
      </c>
      <c r="K121" s="331">
        <v>4.0000000000000001E-3</v>
      </c>
      <c r="L121" s="331">
        <v>1.34</v>
      </c>
      <c r="M121" s="331">
        <v>1</v>
      </c>
      <c r="N121" s="331">
        <v>4.0000000000000001E-3</v>
      </c>
      <c r="O121" s="331">
        <v>4.0000000000000001E-3</v>
      </c>
      <c r="P121" s="339">
        <v>4.0000000000000001E-3</v>
      </c>
      <c r="Q121" s="339" t="s">
        <v>895</v>
      </c>
      <c r="R121" s="331" t="s">
        <v>12</v>
      </c>
    </row>
    <row r="122" spans="1:18">
      <c r="A122" s="288" t="s">
        <v>81</v>
      </c>
      <c r="B122" s="288">
        <v>56</v>
      </c>
      <c r="C122" s="288">
        <v>916</v>
      </c>
      <c r="D122" s="331" t="s">
        <v>856</v>
      </c>
      <c r="E122" s="331">
        <v>0</v>
      </c>
      <c r="F122" s="331">
        <v>0</v>
      </c>
      <c r="G122" s="331">
        <v>0</v>
      </c>
      <c r="H122" s="340">
        <v>45426.704745370371</v>
      </c>
      <c r="I122" s="331">
        <v>4.0000000000000001E-3</v>
      </c>
      <c r="J122" s="331">
        <v>4.22</v>
      </c>
      <c r="K122" s="331">
        <v>5.0000000000000001E-3</v>
      </c>
      <c r="L122" s="331">
        <v>1.56</v>
      </c>
      <c r="M122" s="331">
        <v>1</v>
      </c>
      <c r="N122" s="331">
        <v>4.0000000000000001E-3</v>
      </c>
      <c r="O122" s="331">
        <v>5.0000000000000001E-3</v>
      </c>
      <c r="P122" s="339">
        <v>4.0000000000000001E-3</v>
      </c>
      <c r="Q122" s="339" t="s">
        <v>895</v>
      </c>
      <c r="R122" s="331" t="s">
        <v>12</v>
      </c>
    </row>
    <row r="123" spans="1:18">
      <c r="A123" s="288" t="s">
        <v>81</v>
      </c>
      <c r="B123" s="288">
        <v>57</v>
      </c>
      <c r="C123" s="288">
        <v>916</v>
      </c>
      <c r="D123" s="331" t="s">
        <v>856</v>
      </c>
      <c r="E123" s="331">
        <v>0</v>
      </c>
      <c r="F123" s="331">
        <v>0</v>
      </c>
      <c r="G123" s="331">
        <v>0</v>
      </c>
      <c r="H123" s="340">
        <v>45426.705555555556</v>
      </c>
      <c r="I123" s="331">
        <v>4.0000000000000001E-3</v>
      </c>
      <c r="J123" s="331">
        <v>4.2</v>
      </c>
      <c r="K123" s="331">
        <v>5.0000000000000001E-3</v>
      </c>
      <c r="L123" s="331">
        <v>1.54</v>
      </c>
      <c r="M123" s="331">
        <v>1</v>
      </c>
      <c r="N123" s="331">
        <v>4.0000000000000001E-3</v>
      </c>
      <c r="O123" s="331">
        <v>5.0000000000000001E-3</v>
      </c>
      <c r="P123" s="339">
        <v>4.0000000000000001E-3</v>
      </c>
      <c r="Q123" s="339" t="s">
        <v>895</v>
      </c>
      <c r="R123" s="331" t="s">
        <v>12</v>
      </c>
    </row>
    <row r="124" spans="1:18">
      <c r="A124" s="288" t="s">
        <v>81</v>
      </c>
      <c r="B124" s="288">
        <v>58</v>
      </c>
      <c r="C124" s="288">
        <v>916</v>
      </c>
      <c r="D124" s="331" t="s">
        <v>856</v>
      </c>
      <c r="E124" s="331">
        <v>0</v>
      </c>
      <c r="F124" s="331">
        <v>0</v>
      </c>
      <c r="G124" s="331">
        <v>0</v>
      </c>
      <c r="H124" s="340">
        <v>45426.706365740742</v>
      </c>
      <c r="I124" s="331">
        <v>4.0000000000000001E-3</v>
      </c>
      <c r="J124" s="331">
        <v>4.4400000000000004</v>
      </c>
      <c r="K124" s="331">
        <v>4.0000000000000001E-3</v>
      </c>
      <c r="L124" s="331">
        <v>1.3</v>
      </c>
      <c r="M124" s="331">
        <v>1</v>
      </c>
      <c r="N124" s="331">
        <v>4.0000000000000001E-3</v>
      </c>
      <c r="O124" s="331">
        <v>4.0000000000000001E-3</v>
      </c>
      <c r="P124" s="339">
        <v>4.0000000000000001E-3</v>
      </c>
      <c r="Q124" s="339" t="s">
        <v>895</v>
      </c>
      <c r="R124" s="331" t="s">
        <v>12</v>
      </c>
    </row>
    <row r="125" spans="1:18">
      <c r="A125" s="288" t="s">
        <v>81</v>
      </c>
      <c r="B125" s="288">
        <v>59</v>
      </c>
      <c r="C125" s="288">
        <v>916</v>
      </c>
      <c r="D125" s="331" t="s">
        <v>856</v>
      </c>
      <c r="E125" s="331">
        <v>0</v>
      </c>
      <c r="F125" s="331">
        <v>0</v>
      </c>
      <c r="G125" s="331">
        <v>0</v>
      </c>
      <c r="H125" s="340">
        <v>45426.707175925927</v>
      </c>
      <c r="I125" s="331">
        <v>4.0000000000000001E-3</v>
      </c>
      <c r="J125" s="331">
        <v>4.46</v>
      </c>
      <c r="K125" s="331">
        <v>4.0000000000000001E-3</v>
      </c>
      <c r="L125" s="331">
        <v>1.32</v>
      </c>
      <c r="M125" s="331">
        <v>1</v>
      </c>
      <c r="N125" s="331">
        <v>4.0000000000000001E-3</v>
      </c>
      <c r="O125" s="331">
        <v>4.0000000000000001E-3</v>
      </c>
      <c r="P125" s="339">
        <v>4.0000000000000001E-3</v>
      </c>
      <c r="Q125" s="339" t="s">
        <v>895</v>
      </c>
      <c r="R125" s="331" t="s">
        <v>12</v>
      </c>
    </row>
    <row r="126" spans="1:18">
      <c r="A126" s="288" t="s">
        <v>81</v>
      </c>
      <c r="B126" s="288">
        <v>60</v>
      </c>
      <c r="C126" s="288">
        <v>916</v>
      </c>
      <c r="D126" s="331" t="s">
        <v>856</v>
      </c>
      <c r="E126" s="331">
        <v>0</v>
      </c>
      <c r="F126" s="331">
        <v>0</v>
      </c>
      <c r="G126" s="331">
        <v>0</v>
      </c>
      <c r="H126" s="340">
        <v>45426.707986111112</v>
      </c>
      <c r="I126" s="331">
        <v>4.0000000000000001E-3</v>
      </c>
      <c r="J126" s="331">
        <v>4.43</v>
      </c>
      <c r="K126" s="331">
        <v>4.0000000000000001E-3</v>
      </c>
      <c r="L126" s="331">
        <v>1.47</v>
      </c>
      <c r="M126" s="331">
        <v>1</v>
      </c>
      <c r="N126" s="331">
        <v>4.0000000000000001E-3</v>
      </c>
      <c r="O126" s="331">
        <v>4.0000000000000001E-3</v>
      </c>
      <c r="P126" s="339">
        <v>4.0000000000000001E-3</v>
      </c>
      <c r="Q126" s="339" t="s">
        <v>895</v>
      </c>
      <c r="R126" s="331" t="s">
        <v>12</v>
      </c>
    </row>
    <row r="127" spans="1:18">
      <c r="A127" s="288" t="s">
        <v>889</v>
      </c>
      <c r="B127" s="288">
        <v>61</v>
      </c>
      <c r="C127" s="288">
        <v>918</v>
      </c>
      <c r="D127" s="331" t="s">
        <v>860</v>
      </c>
      <c r="E127" s="331">
        <v>0</v>
      </c>
      <c r="F127" s="331">
        <v>0</v>
      </c>
      <c r="G127" s="331">
        <v>0</v>
      </c>
      <c r="H127" s="340">
        <v>45426.708796296298</v>
      </c>
      <c r="I127" s="331">
        <v>0.14899999999999999</v>
      </c>
      <c r="J127" s="331">
        <v>244.65</v>
      </c>
      <c r="K127" s="331">
        <v>3.4000000000000002E-2</v>
      </c>
      <c r="L127" s="331">
        <v>12.97</v>
      </c>
      <c r="M127" s="331">
        <v>1</v>
      </c>
      <c r="N127" s="331">
        <v>0.14899999999999999</v>
      </c>
      <c r="O127" s="331">
        <v>3.4000000000000002E-2</v>
      </c>
      <c r="P127" s="339">
        <v>0.14899999999999999</v>
      </c>
      <c r="Q127" s="339">
        <v>3.4000000000000002E-2</v>
      </c>
      <c r="R127" s="331" t="s">
        <v>12</v>
      </c>
    </row>
    <row r="128" spans="1:18">
      <c r="A128" s="288" t="s">
        <v>850</v>
      </c>
      <c r="B128" s="288">
        <v>62</v>
      </c>
      <c r="C128" s="288">
        <v>0</v>
      </c>
      <c r="D128" s="331" t="s">
        <v>851</v>
      </c>
      <c r="E128" s="331">
        <v>0</v>
      </c>
      <c r="F128" s="331">
        <v>0</v>
      </c>
      <c r="G128" s="331">
        <v>0</v>
      </c>
      <c r="H128" s="340">
        <v>45426.709606481483</v>
      </c>
      <c r="I128" s="331">
        <v>1E-3</v>
      </c>
      <c r="J128" s="331">
        <v>0</v>
      </c>
      <c r="K128" s="331">
        <v>1E-3</v>
      </c>
      <c r="L128" s="331">
        <v>0</v>
      </c>
      <c r="M128" s="331">
        <v>1</v>
      </c>
      <c r="N128" s="331">
        <v>1E-3</v>
      </c>
      <c r="O128" s="331">
        <v>1E-3</v>
      </c>
      <c r="P128" s="339" t="s">
        <v>897</v>
      </c>
      <c r="Q128" s="339" t="s">
        <v>895</v>
      </c>
      <c r="R128" s="331" t="s">
        <v>12</v>
      </c>
    </row>
    <row r="129" spans="1:18">
      <c r="A129" s="288" t="s">
        <v>846</v>
      </c>
      <c r="B129" s="288">
        <v>63</v>
      </c>
      <c r="C129" s="288">
        <v>922</v>
      </c>
      <c r="D129" s="331" t="s">
        <v>847</v>
      </c>
      <c r="E129" s="331">
        <v>0</v>
      </c>
      <c r="F129" s="331">
        <v>0</v>
      </c>
      <c r="G129" s="331">
        <v>0</v>
      </c>
      <c r="H129" s="340">
        <v>45426.712037037039</v>
      </c>
      <c r="I129" s="331">
        <v>0.20300000000000001</v>
      </c>
      <c r="J129" s="331">
        <v>333.38</v>
      </c>
      <c r="K129" s="331">
        <v>0.193</v>
      </c>
      <c r="L129" s="331">
        <v>75.42</v>
      </c>
      <c r="M129" s="331">
        <v>1</v>
      </c>
      <c r="N129" s="331">
        <v>0.20300000000000001</v>
      </c>
      <c r="O129" s="331">
        <v>0.193</v>
      </c>
      <c r="P129" s="339">
        <v>0.20300000000000001</v>
      </c>
      <c r="Q129" s="339">
        <v>0.193</v>
      </c>
      <c r="R129" s="331" t="s">
        <v>12</v>
      </c>
    </row>
    <row r="130" spans="1:18">
      <c r="A130" s="288" t="s">
        <v>879</v>
      </c>
      <c r="B130" s="288">
        <v>64</v>
      </c>
      <c r="C130" s="288">
        <v>0</v>
      </c>
      <c r="D130" s="331" t="s">
        <v>880</v>
      </c>
      <c r="E130" s="331">
        <v>0</v>
      </c>
      <c r="F130" s="331">
        <v>0</v>
      </c>
      <c r="G130" s="331">
        <v>0</v>
      </c>
      <c r="H130" s="340">
        <v>45426.712847222225</v>
      </c>
      <c r="I130" s="331">
        <v>1E-3</v>
      </c>
      <c r="J130" s="331">
        <v>0</v>
      </c>
      <c r="K130" s="331">
        <v>1E-3</v>
      </c>
      <c r="L130" s="331">
        <v>0</v>
      </c>
      <c r="M130" s="331">
        <v>1</v>
      </c>
      <c r="N130" s="331">
        <v>1E-3</v>
      </c>
      <c r="O130" s="331">
        <v>1E-3</v>
      </c>
      <c r="P130" s="339" t="s">
        <v>897</v>
      </c>
      <c r="Q130" s="339" t="s">
        <v>895</v>
      </c>
      <c r="R130" s="331" t="s">
        <v>12</v>
      </c>
    </row>
    <row r="131" spans="1:18">
      <c r="A131" s="288"/>
      <c r="B131" s="288"/>
      <c r="C131" s="288"/>
    </row>
    <row r="132" spans="1:18">
      <c r="A132" s="288"/>
      <c r="B132" s="288"/>
      <c r="C132" s="288"/>
    </row>
    <row r="133" spans="1:18">
      <c r="A133" s="288"/>
      <c r="B133" s="288"/>
      <c r="C133" s="288"/>
    </row>
    <row r="134" spans="1:18">
      <c r="A134" s="288"/>
      <c r="B134" s="288"/>
      <c r="C134" s="288"/>
    </row>
    <row r="135" spans="1:18">
      <c r="A135" s="288"/>
      <c r="B135" s="288"/>
      <c r="C135" s="288"/>
    </row>
    <row r="136" spans="1:18">
      <c r="A136" s="288"/>
      <c r="B136" s="288"/>
      <c r="C136" s="288"/>
    </row>
    <row r="137" spans="1:18">
      <c r="A137" s="288"/>
      <c r="B137" s="288"/>
      <c r="C137" s="288"/>
    </row>
    <row r="138" spans="1:18">
      <c r="A138" s="288"/>
      <c r="B138" s="288"/>
      <c r="C138" s="288"/>
    </row>
    <row r="139" spans="1:18">
      <c r="A139" s="288"/>
      <c r="B139" s="288"/>
      <c r="C139" s="288"/>
    </row>
    <row r="140" spans="1:18">
      <c r="A140" s="288"/>
      <c r="B140" s="288"/>
      <c r="C140" s="288"/>
    </row>
    <row r="141" spans="1:18">
      <c r="A141" s="288"/>
      <c r="B141" s="288"/>
      <c r="C141" s="288"/>
    </row>
    <row r="142" spans="1:18">
      <c r="A142" s="288"/>
      <c r="B142" s="288"/>
      <c r="C142" s="288"/>
    </row>
    <row r="143" spans="1:18">
      <c r="A143" s="288"/>
      <c r="B143" s="288"/>
      <c r="C143" s="288"/>
    </row>
    <row r="144" spans="1:18">
      <c r="A144" s="288"/>
      <c r="B144" s="288"/>
      <c r="C144" s="288"/>
    </row>
    <row r="145" spans="1:3">
      <c r="A145" s="288"/>
      <c r="B145" s="288"/>
      <c r="C145" s="288"/>
    </row>
    <row r="146" spans="1:3">
      <c r="A146" s="288"/>
      <c r="B146" s="288"/>
      <c r="C146" s="288"/>
    </row>
    <row r="147" spans="1:3">
      <c r="A147" s="288"/>
      <c r="B147" s="288"/>
      <c r="C147" s="288"/>
    </row>
    <row r="148" spans="1:3">
      <c r="A148" s="288"/>
      <c r="B148" s="288"/>
      <c r="C148" s="288"/>
    </row>
    <row r="149" spans="1:3">
      <c r="A149" s="288"/>
      <c r="B149" s="288"/>
      <c r="C149" s="288"/>
    </row>
    <row r="150" spans="1:3">
      <c r="A150" s="288"/>
      <c r="B150" s="288"/>
      <c r="C150" s="288"/>
    </row>
    <row r="151" spans="1:3">
      <c r="A151" s="288"/>
      <c r="B151" s="288"/>
      <c r="C151" s="288"/>
    </row>
    <row r="152" spans="1:3">
      <c r="A152" s="288"/>
      <c r="B152" s="288"/>
      <c r="C152" s="288"/>
    </row>
    <row r="153" spans="1:3">
      <c r="A153" s="288"/>
      <c r="B153" s="288"/>
      <c r="C153" s="288"/>
    </row>
    <row r="154" spans="1:3">
      <c r="A154" s="288"/>
      <c r="B154" s="288"/>
      <c r="C154" s="288"/>
    </row>
    <row r="155" spans="1:3">
      <c r="A155" s="288"/>
      <c r="B155" s="288"/>
      <c r="C155" s="288"/>
    </row>
    <row r="156" spans="1:3">
      <c r="A156" s="288"/>
      <c r="B156" s="288"/>
      <c r="C156" s="288"/>
    </row>
    <row r="157" spans="1:3">
      <c r="A157" s="288"/>
      <c r="B157" s="288"/>
      <c r="C157" s="288"/>
    </row>
    <row r="158" spans="1:3">
      <c r="A158" s="288"/>
      <c r="B158" s="288"/>
      <c r="C158" s="288"/>
    </row>
    <row r="159" spans="1:3">
      <c r="A159" s="288"/>
      <c r="B159" s="288"/>
      <c r="C159" s="288"/>
    </row>
    <row r="160" spans="1:3">
      <c r="A160" s="288"/>
      <c r="B160" s="288"/>
      <c r="C160" s="288"/>
    </row>
    <row r="161" spans="1:3">
      <c r="A161" s="288"/>
      <c r="B161" s="288"/>
      <c r="C161" s="288"/>
    </row>
    <row r="162" spans="1:3">
      <c r="A162" s="288"/>
      <c r="B162" s="288"/>
      <c r="C162" s="288"/>
    </row>
    <row r="163" spans="1:3">
      <c r="A163" s="288"/>
      <c r="B163" s="288"/>
      <c r="C163" s="288"/>
    </row>
    <row r="164" spans="1:3">
      <c r="A164" s="288"/>
      <c r="B164" s="288"/>
      <c r="C164" s="288"/>
    </row>
    <row r="165" spans="1:3">
      <c r="A165" s="288"/>
      <c r="B165" s="288"/>
      <c r="C165" s="288"/>
    </row>
    <row r="166" spans="1:3">
      <c r="A166" s="288"/>
      <c r="B166" s="288"/>
      <c r="C166" s="288"/>
    </row>
    <row r="167" spans="1:3">
      <c r="A167" s="288"/>
      <c r="B167" s="288"/>
      <c r="C167" s="288"/>
    </row>
    <row r="168" spans="1:3">
      <c r="A168" s="288"/>
      <c r="B168" s="288"/>
      <c r="C168" s="288"/>
    </row>
    <row r="169" spans="1:3">
      <c r="A169" s="288"/>
      <c r="B169" s="288"/>
      <c r="C169" s="288"/>
    </row>
    <row r="170" spans="1:3">
      <c r="A170" s="288"/>
      <c r="B170" s="288"/>
      <c r="C170" s="288"/>
    </row>
    <row r="171" spans="1:3">
      <c r="A171" s="288"/>
      <c r="B171" s="288"/>
      <c r="C171" s="288"/>
    </row>
    <row r="172" spans="1:3">
      <c r="A172" s="288"/>
      <c r="B172" s="288"/>
      <c r="C172" s="288"/>
    </row>
    <row r="173" spans="1:3">
      <c r="A173" s="288"/>
      <c r="B173" s="288"/>
      <c r="C173" s="288"/>
    </row>
    <row r="174" spans="1:3">
      <c r="A174" s="288"/>
      <c r="B174" s="288"/>
      <c r="C174" s="288"/>
    </row>
    <row r="175" spans="1:3">
      <c r="A175" s="288"/>
      <c r="B175" s="288"/>
      <c r="C175" s="288"/>
    </row>
    <row r="176" spans="1:3">
      <c r="A176" s="288"/>
      <c r="B176" s="288"/>
      <c r="C176" s="288"/>
    </row>
    <row r="177" spans="1:3">
      <c r="A177" s="288"/>
      <c r="B177" s="288"/>
      <c r="C177" s="288"/>
    </row>
    <row r="178" spans="1:3">
      <c r="A178" s="288"/>
      <c r="B178" s="288"/>
      <c r="C178" s="288"/>
    </row>
    <row r="179" spans="1:3">
      <c r="A179" s="288"/>
      <c r="B179" s="288"/>
      <c r="C179" s="288"/>
    </row>
    <row r="180" spans="1:3">
      <c r="A180" s="288"/>
      <c r="B180" s="288"/>
      <c r="C180" s="288"/>
    </row>
    <row r="181" spans="1:3">
      <c r="A181" s="288"/>
      <c r="B181" s="288"/>
      <c r="C181" s="288"/>
    </row>
    <row r="182" spans="1:3">
      <c r="A182" s="288"/>
      <c r="B182" s="288"/>
      <c r="C182" s="288"/>
    </row>
    <row r="183" spans="1:3">
      <c r="A183" s="288"/>
      <c r="B183" s="288"/>
      <c r="C183" s="288"/>
    </row>
    <row r="184" spans="1:3">
      <c r="A184" s="288"/>
      <c r="B184" s="288"/>
      <c r="C184" s="288"/>
    </row>
    <row r="185" spans="1:3">
      <c r="A185" s="288"/>
      <c r="B185" s="288"/>
      <c r="C185" s="288"/>
    </row>
    <row r="186" spans="1:3">
      <c r="A186" s="288"/>
      <c r="B186" s="288"/>
      <c r="C186" s="288"/>
    </row>
    <row r="187" spans="1:3">
      <c r="A187" s="288"/>
      <c r="B187" s="288"/>
      <c r="C187" s="288"/>
    </row>
    <row r="188" spans="1:3">
      <c r="A188" s="288"/>
      <c r="B188" s="288"/>
      <c r="C188" s="288"/>
    </row>
    <row r="189" spans="1:3">
      <c r="A189" s="288"/>
      <c r="B189" s="288"/>
      <c r="C189" s="288"/>
    </row>
    <row r="190" spans="1:3">
      <c r="A190" s="288"/>
      <c r="B190" s="288"/>
      <c r="C190" s="288"/>
    </row>
    <row r="191" spans="1:3">
      <c r="A191" s="288"/>
      <c r="B191" s="288"/>
      <c r="C191" s="288"/>
    </row>
    <row r="192" spans="1:3">
      <c r="A192" s="288"/>
      <c r="B192" s="288"/>
      <c r="C192" s="288"/>
    </row>
    <row r="193" spans="1:3">
      <c r="A193" s="288"/>
      <c r="B193" s="288"/>
      <c r="C193" s="288"/>
    </row>
    <row r="194" spans="1:3">
      <c r="A194" s="288"/>
      <c r="B194" s="288"/>
      <c r="C194" s="288"/>
    </row>
    <row r="195" spans="1:3">
      <c r="A195" s="288"/>
      <c r="B195" s="288"/>
      <c r="C195" s="288"/>
    </row>
    <row r="196" spans="1:3">
      <c r="A196" s="288"/>
      <c r="B196" s="288"/>
      <c r="C196" s="288"/>
    </row>
    <row r="197" spans="1:3">
      <c r="A197" s="288"/>
      <c r="B197" s="288"/>
      <c r="C197" s="288"/>
    </row>
    <row r="198" spans="1:3">
      <c r="A198" s="288"/>
      <c r="B198" s="288"/>
      <c r="C198" s="288"/>
    </row>
    <row r="199" spans="1:3">
      <c r="A199" s="288"/>
      <c r="B199" s="288"/>
      <c r="C199" s="288"/>
    </row>
    <row r="200" spans="1:3">
      <c r="A200" s="288"/>
      <c r="B200" s="288"/>
      <c r="C200" s="288"/>
    </row>
    <row r="201" spans="1:3">
      <c r="A201" s="288"/>
      <c r="B201" s="288"/>
      <c r="C201" s="288"/>
    </row>
    <row r="202" spans="1:3">
      <c r="A202" s="288"/>
      <c r="B202" s="288"/>
      <c r="C202" s="288"/>
    </row>
    <row r="203" spans="1:3">
      <c r="A203" s="288"/>
      <c r="B203" s="288"/>
      <c r="C203" s="288"/>
    </row>
    <row r="204" spans="1:3">
      <c r="A204" s="288"/>
      <c r="B204" s="288"/>
      <c r="C204" s="288"/>
    </row>
    <row r="205" spans="1:3">
      <c r="A205" s="288"/>
      <c r="B205" s="288"/>
      <c r="C205" s="288"/>
    </row>
    <row r="206" spans="1:3">
      <c r="A206" s="288"/>
      <c r="B206" s="288"/>
      <c r="C206" s="288"/>
    </row>
    <row r="207" spans="1:3">
      <c r="A207" s="288"/>
      <c r="B207" s="288"/>
      <c r="C207" s="288"/>
    </row>
    <row r="208" spans="1:3">
      <c r="A208" s="288"/>
      <c r="B208" s="288"/>
      <c r="C208" s="288"/>
    </row>
    <row r="209" spans="1:3">
      <c r="A209" s="288"/>
      <c r="B209" s="288"/>
      <c r="C209" s="288"/>
    </row>
    <row r="210" spans="1:3">
      <c r="A210" s="288"/>
      <c r="B210" s="288"/>
      <c r="C210" s="288"/>
    </row>
    <row r="211" spans="1:3">
      <c r="A211" s="288"/>
      <c r="B211" s="288"/>
      <c r="C211" s="288"/>
    </row>
    <row r="212" spans="1:3">
      <c r="A212" s="288"/>
      <c r="B212" s="288"/>
      <c r="C212" s="288"/>
    </row>
    <row r="213" spans="1:3">
      <c r="A213" s="288"/>
      <c r="B213" s="288"/>
      <c r="C213" s="288"/>
    </row>
    <row r="214" spans="1:3">
      <c r="A214" s="288"/>
      <c r="B214" s="288"/>
      <c r="C214" s="288"/>
    </row>
    <row r="215" spans="1:3">
      <c r="A215" s="288"/>
      <c r="B215" s="288"/>
      <c r="C215" s="288"/>
    </row>
    <row r="216" spans="1:3">
      <c r="A216" s="288"/>
      <c r="B216" s="288"/>
      <c r="C216" s="288"/>
    </row>
    <row r="217" spans="1:3">
      <c r="A217" s="288"/>
      <c r="B217" s="288"/>
      <c r="C217" s="288"/>
    </row>
    <row r="218" spans="1:3">
      <c r="A218" s="288"/>
      <c r="B218" s="288"/>
      <c r="C218" s="288"/>
    </row>
    <row r="219" spans="1:3">
      <c r="A219" s="288"/>
      <c r="B219" s="288"/>
      <c r="C219" s="288"/>
    </row>
    <row r="220" spans="1:3">
      <c r="A220" s="288"/>
      <c r="B220" s="288"/>
      <c r="C220" s="288"/>
    </row>
    <row r="221" spans="1:3">
      <c r="A221" s="288"/>
      <c r="B221" s="288"/>
      <c r="C221" s="288"/>
    </row>
    <row r="222" spans="1:3">
      <c r="A222" s="288"/>
      <c r="B222" s="288"/>
      <c r="C222" s="288"/>
    </row>
    <row r="223" spans="1:3">
      <c r="A223" s="288"/>
      <c r="B223" s="288"/>
      <c r="C223" s="288"/>
    </row>
    <row r="224" spans="1:3">
      <c r="A224" s="288"/>
      <c r="B224" s="288"/>
      <c r="C224" s="288"/>
    </row>
    <row r="225" spans="1:3">
      <c r="A225" s="288"/>
      <c r="B225" s="288"/>
      <c r="C225" s="288"/>
    </row>
    <row r="226" spans="1:3">
      <c r="A226" s="288"/>
      <c r="B226" s="288"/>
      <c r="C226" s="288"/>
    </row>
    <row r="227" spans="1:3">
      <c r="A227" s="288"/>
      <c r="B227" s="288"/>
      <c r="C227" s="288"/>
    </row>
    <row r="228" spans="1:3">
      <c r="A228" s="288"/>
      <c r="B228" s="288"/>
      <c r="C228" s="288"/>
    </row>
    <row r="229" spans="1:3">
      <c r="A229" s="288"/>
      <c r="B229" s="288"/>
      <c r="C229" s="288"/>
    </row>
    <row r="230" spans="1:3">
      <c r="A230" s="288"/>
      <c r="B230" s="288"/>
      <c r="C230" s="288"/>
    </row>
    <row r="231" spans="1:3">
      <c r="A231" s="288"/>
      <c r="B231" s="288"/>
      <c r="C231" s="288"/>
    </row>
    <row r="232" spans="1:3">
      <c r="A232" s="288"/>
      <c r="B232" s="288"/>
      <c r="C232" s="288"/>
    </row>
    <row r="233" spans="1:3">
      <c r="A233" s="288"/>
      <c r="B233" s="288"/>
      <c r="C233" s="288"/>
    </row>
    <row r="234" spans="1:3">
      <c r="A234" s="288"/>
      <c r="B234" s="288"/>
      <c r="C234" s="288"/>
    </row>
    <row r="235" spans="1:3">
      <c r="A235" s="288"/>
      <c r="B235" s="288"/>
      <c r="C235" s="288"/>
    </row>
    <row r="236" spans="1:3">
      <c r="A236" s="288"/>
      <c r="B236" s="288"/>
      <c r="C236" s="288"/>
    </row>
    <row r="237" spans="1:3">
      <c r="A237" s="288"/>
      <c r="B237" s="288"/>
      <c r="C237" s="288"/>
    </row>
    <row r="238" spans="1:3">
      <c r="A238" s="288"/>
      <c r="B238" s="288"/>
      <c r="C238" s="288"/>
    </row>
    <row r="239" spans="1:3">
      <c r="A239" s="288"/>
      <c r="B239" s="288"/>
      <c r="C239" s="288"/>
    </row>
    <row r="240" spans="1:3">
      <c r="A240" s="288"/>
      <c r="B240" s="288"/>
      <c r="C240" s="288"/>
    </row>
    <row r="241" spans="1:3">
      <c r="A241" s="288"/>
      <c r="B241" s="288"/>
      <c r="C241" s="288"/>
    </row>
    <row r="242" spans="1:3">
      <c r="A242" s="288"/>
      <c r="B242" s="288"/>
      <c r="C242" s="288"/>
    </row>
    <row r="243" spans="1:3">
      <c r="A243" s="288"/>
      <c r="B243" s="288"/>
      <c r="C243" s="288"/>
    </row>
    <row r="244" spans="1:3">
      <c r="A244" s="288"/>
      <c r="B244" s="288"/>
      <c r="C244" s="288"/>
    </row>
    <row r="245" spans="1:3">
      <c r="A245" s="288"/>
      <c r="B245" s="288"/>
      <c r="C245" s="288"/>
    </row>
    <row r="246" spans="1:3">
      <c r="A246" s="288"/>
      <c r="B246" s="288"/>
      <c r="C246" s="288"/>
    </row>
    <row r="247" spans="1:3">
      <c r="A247" s="288"/>
      <c r="B247" s="288"/>
      <c r="C247" s="288"/>
    </row>
    <row r="248" spans="1:3">
      <c r="A248" s="288"/>
      <c r="B248" s="288"/>
      <c r="C248" s="288"/>
    </row>
    <row r="249" spans="1:3">
      <c r="A249" s="288"/>
      <c r="B249" s="288"/>
      <c r="C249" s="288"/>
    </row>
    <row r="250" spans="1:3">
      <c r="A250" s="288"/>
      <c r="B250" s="288"/>
      <c r="C250" s="288"/>
    </row>
    <row r="251" spans="1:3">
      <c r="A251" s="288"/>
      <c r="B251" s="288"/>
      <c r="C251" s="288"/>
    </row>
    <row r="252" spans="1:3">
      <c r="A252" s="288"/>
      <c r="B252" s="288"/>
      <c r="C252" s="288"/>
    </row>
    <row r="253" spans="1:3">
      <c r="A253" s="288"/>
      <c r="B253" s="288"/>
      <c r="C253" s="288"/>
    </row>
    <row r="254" spans="1:3">
      <c r="A254" s="288"/>
      <c r="B254" s="288"/>
      <c r="C254" s="288"/>
    </row>
    <row r="255" spans="1:3">
      <c r="A255" s="288"/>
      <c r="B255" s="288"/>
      <c r="C255" s="288"/>
    </row>
    <row r="256" spans="1:3">
      <c r="A256" s="288"/>
      <c r="B256" s="288"/>
      <c r="C256" s="288"/>
    </row>
    <row r="257" spans="1:3">
      <c r="A257" s="288"/>
      <c r="B257" s="288"/>
      <c r="C257" s="288"/>
    </row>
    <row r="258" spans="1:3">
      <c r="A258" s="288"/>
      <c r="B258" s="288"/>
      <c r="C258" s="288"/>
    </row>
    <row r="259" spans="1:3">
      <c r="A259" s="288"/>
      <c r="B259" s="288"/>
      <c r="C259" s="288"/>
    </row>
    <row r="260" spans="1:3">
      <c r="A260" s="288"/>
      <c r="B260" s="288"/>
      <c r="C260" s="288"/>
    </row>
    <row r="261" spans="1:3">
      <c r="A261" s="288"/>
      <c r="B261" s="288"/>
      <c r="C261" s="288"/>
    </row>
    <row r="262" spans="1:3">
      <c r="A262" s="288"/>
      <c r="B262" s="288"/>
      <c r="C262" s="288"/>
    </row>
    <row r="263" spans="1:3">
      <c r="A263" s="288"/>
      <c r="B263" s="288"/>
      <c r="C263" s="288"/>
    </row>
    <row r="264" spans="1:3">
      <c r="A264" s="288"/>
      <c r="B264" s="288"/>
      <c r="C264" s="288"/>
    </row>
    <row r="265" spans="1:3">
      <c r="A265" s="288"/>
      <c r="B265" s="288"/>
      <c r="C265" s="288"/>
    </row>
    <row r="266" spans="1:3">
      <c r="A266" s="288"/>
      <c r="B266" s="288"/>
      <c r="C266" s="288"/>
    </row>
    <row r="267" spans="1:3">
      <c r="A267" s="288"/>
      <c r="B267" s="288"/>
      <c r="C267" s="288"/>
    </row>
    <row r="268" spans="1:3">
      <c r="A268" s="288"/>
      <c r="B268" s="288"/>
      <c r="C268" s="288"/>
    </row>
    <row r="269" spans="1:3">
      <c r="A269" s="288"/>
      <c r="B269" s="288"/>
      <c r="C269" s="288"/>
    </row>
    <row r="270" spans="1:3">
      <c r="A270" s="288"/>
      <c r="B270" s="288"/>
      <c r="C270" s="288"/>
    </row>
    <row r="271" spans="1:3">
      <c r="A271" s="288"/>
      <c r="B271" s="288"/>
      <c r="C271" s="288"/>
    </row>
    <row r="272" spans="1:3">
      <c r="A272" s="288"/>
      <c r="B272" s="288"/>
      <c r="C272" s="288"/>
    </row>
    <row r="273" spans="1:3">
      <c r="A273" s="288"/>
      <c r="B273" s="288"/>
      <c r="C273" s="288"/>
    </row>
    <row r="274" spans="1:3">
      <c r="A274" s="288"/>
      <c r="B274" s="288"/>
      <c r="C274" s="288"/>
    </row>
    <row r="275" spans="1:3">
      <c r="A275" s="288"/>
      <c r="B275" s="288"/>
      <c r="C275" s="288"/>
    </row>
    <row r="276" spans="1:3">
      <c r="A276" s="288"/>
      <c r="B276" s="288"/>
      <c r="C276" s="288"/>
    </row>
    <row r="277" spans="1:3">
      <c r="A277" s="288"/>
      <c r="B277" s="288"/>
      <c r="C277" s="288"/>
    </row>
    <row r="278" spans="1:3">
      <c r="A278" s="288"/>
      <c r="B278" s="288"/>
      <c r="C278" s="288"/>
    </row>
    <row r="279" spans="1:3">
      <c r="A279" s="288"/>
      <c r="B279" s="288"/>
      <c r="C279" s="288"/>
    </row>
    <row r="280" spans="1:3">
      <c r="A280" s="288"/>
      <c r="B280" s="288"/>
      <c r="C280" s="288"/>
    </row>
    <row r="281" spans="1:3">
      <c r="A281" s="288"/>
      <c r="B281" s="288"/>
      <c r="C281" s="288"/>
    </row>
    <row r="282" spans="1:3">
      <c r="A282" s="288"/>
      <c r="B282" s="288"/>
      <c r="C282" s="288"/>
    </row>
    <row r="283" spans="1:3">
      <c r="A283" s="288"/>
      <c r="B283" s="288"/>
      <c r="C283" s="288"/>
    </row>
    <row r="284" spans="1:3">
      <c r="A284" s="288"/>
      <c r="B284" s="288"/>
      <c r="C284" s="288"/>
    </row>
    <row r="285" spans="1:3">
      <c r="A285" s="288"/>
      <c r="B285" s="288"/>
      <c r="C285" s="288"/>
    </row>
    <row r="286" spans="1:3">
      <c r="A286" s="288"/>
      <c r="B286" s="288"/>
      <c r="C286" s="288"/>
    </row>
    <row r="287" spans="1:3">
      <c r="A287" s="288"/>
      <c r="B287" s="288"/>
      <c r="C287" s="288"/>
    </row>
    <row r="288" spans="1:3">
      <c r="A288" s="288"/>
      <c r="B288" s="288"/>
      <c r="C288" s="288"/>
    </row>
    <row r="289" spans="1:3">
      <c r="A289" s="288"/>
      <c r="B289" s="288"/>
      <c r="C289" s="288"/>
    </row>
    <row r="290" spans="1:3">
      <c r="A290" s="288"/>
      <c r="B290" s="288"/>
      <c r="C290" s="288"/>
    </row>
    <row r="291" spans="1:3">
      <c r="A291" s="288"/>
      <c r="B291" s="288"/>
      <c r="C291" s="288"/>
    </row>
    <row r="292" spans="1:3">
      <c r="A292" s="288"/>
      <c r="B292" s="288"/>
      <c r="C292" s="288"/>
    </row>
    <row r="293" spans="1:3">
      <c r="A293" s="288"/>
      <c r="B293" s="288"/>
      <c r="C293" s="288"/>
    </row>
    <row r="294" spans="1:3">
      <c r="A294" s="288"/>
      <c r="B294" s="288"/>
      <c r="C294" s="288"/>
    </row>
    <row r="295" spans="1:3">
      <c r="A295" s="288"/>
      <c r="B295" s="288"/>
      <c r="C295" s="288"/>
    </row>
    <row r="296" spans="1:3">
      <c r="A296" s="288"/>
      <c r="B296" s="288"/>
      <c r="C296" s="288"/>
    </row>
    <row r="297" spans="1:3">
      <c r="A297" s="288"/>
      <c r="B297" s="288"/>
      <c r="C297" s="288"/>
    </row>
    <row r="298" spans="1:3">
      <c r="A298" s="288"/>
      <c r="B298" s="288"/>
      <c r="C298" s="288"/>
    </row>
    <row r="299" spans="1:3">
      <c r="A299" s="288"/>
      <c r="B299" s="288"/>
      <c r="C299" s="288"/>
    </row>
    <row r="300" spans="1:3">
      <c r="A300" s="288"/>
      <c r="B300" s="288"/>
      <c r="C300" s="288"/>
    </row>
    <row r="301" spans="1:3">
      <c r="A301" s="288"/>
      <c r="B301" s="288"/>
      <c r="C301" s="288"/>
    </row>
    <row r="302" spans="1:3">
      <c r="A302" s="288"/>
      <c r="B302" s="288"/>
      <c r="C302" s="288"/>
    </row>
    <row r="303" spans="1:3">
      <c r="A303" s="288"/>
      <c r="B303" s="288"/>
      <c r="C303" s="288"/>
    </row>
    <row r="304" spans="1:3">
      <c r="A304" s="288"/>
      <c r="B304" s="288"/>
      <c r="C304" s="288"/>
    </row>
    <row r="305" spans="1:3">
      <c r="A305" s="288"/>
      <c r="B305" s="288"/>
      <c r="C305" s="288"/>
    </row>
    <row r="306" spans="1:3">
      <c r="A306" s="288"/>
      <c r="B306" s="288"/>
      <c r="C306" s="288"/>
    </row>
    <row r="307" spans="1:3">
      <c r="A307" s="288"/>
      <c r="B307" s="288"/>
      <c r="C307" s="288"/>
    </row>
    <row r="308" spans="1:3">
      <c r="A308" s="288"/>
      <c r="B308" s="288"/>
      <c r="C308" s="288"/>
    </row>
    <row r="309" spans="1:3">
      <c r="A309" s="288"/>
      <c r="B309" s="288"/>
      <c r="C309" s="288"/>
    </row>
    <row r="310" spans="1:3">
      <c r="A310" s="288"/>
      <c r="B310" s="288"/>
      <c r="C310" s="288"/>
    </row>
    <row r="311" spans="1:3">
      <c r="A311" s="288"/>
      <c r="B311" s="288"/>
      <c r="C311" s="288"/>
    </row>
    <row r="312" spans="1:3">
      <c r="A312" s="288"/>
      <c r="B312" s="288"/>
      <c r="C312" s="288"/>
    </row>
    <row r="313" spans="1:3">
      <c r="A313" s="288"/>
      <c r="B313" s="288"/>
      <c r="C313" s="288"/>
    </row>
    <row r="314" spans="1:3">
      <c r="A314" s="288"/>
      <c r="B314" s="288"/>
      <c r="C314" s="288"/>
    </row>
    <row r="315" spans="1:3">
      <c r="A315" s="288"/>
      <c r="B315" s="288"/>
      <c r="C315" s="288"/>
    </row>
    <row r="316" spans="1:3">
      <c r="A316" s="288"/>
      <c r="B316" s="288"/>
      <c r="C316" s="288"/>
    </row>
    <row r="317" spans="1:3">
      <c r="A317" s="288"/>
      <c r="B317" s="288"/>
      <c r="C317" s="288"/>
    </row>
    <row r="318" spans="1:3">
      <c r="A318" s="288"/>
      <c r="B318" s="288"/>
      <c r="C318" s="288"/>
    </row>
    <row r="319" spans="1:3">
      <c r="A319" s="288"/>
      <c r="B319" s="288"/>
      <c r="C319" s="288"/>
    </row>
    <row r="320" spans="1:3">
      <c r="A320" s="288"/>
      <c r="B320" s="288"/>
      <c r="C320" s="288"/>
    </row>
    <row r="321" spans="1:3">
      <c r="A321" s="288"/>
      <c r="B321" s="288"/>
      <c r="C321" s="288"/>
    </row>
    <row r="322" spans="1:3">
      <c r="A322" s="288"/>
      <c r="B322" s="288"/>
      <c r="C322" s="288"/>
    </row>
    <row r="323" spans="1:3">
      <c r="A323" s="288"/>
      <c r="B323" s="288"/>
      <c r="C323" s="288"/>
    </row>
    <row r="324" spans="1:3">
      <c r="A324" s="288"/>
      <c r="B324" s="288"/>
      <c r="C324" s="288"/>
    </row>
    <row r="325" spans="1:3">
      <c r="A325" s="288"/>
      <c r="B325" s="288"/>
      <c r="C325" s="288"/>
    </row>
    <row r="326" spans="1:3">
      <c r="A326" s="288"/>
      <c r="B326" s="288"/>
      <c r="C326" s="288"/>
    </row>
    <row r="327" spans="1:3">
      <c r="A327" s="288"/>
      <c r="B327" s="288"/>
      <c r="C327" s="288"/>
    </row>
    <row r="328" spans="1:3">
      <c r="A328" s="288"/>
      <c r="B328" s="288"/>
      <c r="C328" s="288"/>
    </row>
    <row r="329" spans="1:3">
      <c r="A329" s="288"/>
      <c r="B329" s="288"/>
      <c r="C329" s="288"/>
    </row>
    <row r="330" spans="1:3">
      <c r="A330" s="288"/>
      <c r="B330" s="288"/>
      <c r="C330" s="288"/>
    </row>
    <row r="331" spans="1:3">
      <c r="A331" s="288"/>
      <c r="B331" s="288"/>
      <c r="C331" s="288"/>
    </row>
    <row r="332" spans="1:3">
      <c r="A332" s="288"/>
      <c r="B332" s="288"/>
      <c r="C332" s="288"/>
    </row>
    <row r="333" spans="1:3">
      <c r="A333" s="288"/>
      <c r="B333" s="288"/>
      <c r="C333" s="288"/>
    </row>
    <row r="334" spans="1:3">
      <c r="A334" s="288"/>
      <c r="B334" s="288"/>
      <c r="C334" s="288"/>
    </row>
    <row r="335" spans="1:3">
      <c r="A335" s="288"/>
      <c r="B335" s="288"/>
      <c r="C335" s="288"/>
    </row>
    <row r="336" spans="1:3">
      <c r="A336" s="288"/>
      <c r="B336" s="288"/>
      <c r="C336" s="288"/>
    </row>
    <row r="337" spans="1:3">
      <c r="A337" s="288"/>
      <c r="B337" s="288"/>
      <c r="C337" s="288"/>
    </row>
    <row r="338" spans="1:3">
      <c r="A338" s="288"/>
      <c r="B338" s="288"/>
      <c r="C338" s="288"/>
    </row>
    <row r="339" spans="1:3">
      <c r="A339" s="288"/>
      <c r="B339" s="288"/>
      <c r="C339" s="288"/>
    </row>
    <row r="340" spans="1:3">
      <c r="A340" s="288"/>
      <c r="B340" s="288"/>
      <c r="C340" s="288"/>
    </row>
    <row r="341" spans="1:3">
      <c r="A341" s="288"/>
      <c r="B341" s="288"/>
      <c r="C341" s="288"/>
    </row>
    <row r="342" spans="1:3">
      <c r="A342" s="288"/>
      <c r="B342" s="288"/>
      <c r="C342" s="288"/>
    </row>
    <row r="343" spans="1:3">
      <c r="A343" s="288"/>
      <c r="B343" s="288"/>
      <c r="C343" s="288"/>
    </row>
    <row r="344" spans="1:3">
      <c r="A344" s="288"/>
      <c r="B344" s="288"/>
      <c r="C344" s="288"/>
    </row>
    <row r="345" spans="1:3">
      <c r="A345" s="288"/>
      <c r="B345" s="288"/>
      <c r="C345" s="288"/>
    </row>
    <row r="346" spans="1:3">
      <c r="A346" s="288"/>
      <c r="B346" s="288"/>
      <c r="C346" s="288"/>
    </row>
    <row r="347" spans="1:3">
      <c r="A347" s="288"/>
      <c r="B347" s="288"/>
      <c r="C347" s="288"/>
    </row>
    <row r="348" spans="1:3">
      <c r="A348" s="288"/>
      <c r="B348" s="288"/>
      <c r="C348" s="288"/>
    </row>
    <row r="349" spans="1:3">
      <c r="A349" s="288"/>
      <c r="B349" s="288"/>
      <c r="C349" s="288"/>
    </row>
    <row r="350" spans="1:3">
      <c r="A350" s="288"/>
      <c r="B350" s="288"/>
      <c r="C350" s="288"/>
    </row>
    <row r="351" spans="1:3">
      <c r="A351" s="288"/>
      <c r="B351" s="288"/>
      <c r="C351" s="288"/>
    </row>
    <row r="352" spans="1:3">
      <c r="A352" s="288"/>
      <c r="B352" s="288"/>
      <c r="C352" s="288"/>
    </row>
    <row r="353" spans="1:3">
      <c r="A353" s="288"/>
      <c r="B353" s="288"/>
      <c r="C353" s="288"/>
    </row>
    <row r="354" spans="1:3">
      <c r="A354" s="288"/>
      <c r="B354" s="288"/>
      <c r="C354" s="288"/>
    </row>
    <row r="355" spans="1:3">
      <c r="A355" s="288"/>
      <c r="B355" s="288"/>
      <c r="C355" s="288"/>
    </row>
    <row r="356" spans="1:3">
      <c r="A356" s="288"/>
      <c r="B356" s="288"/>
      <c r="C356" s="288"/>
    </row>
    <row r="357" spans="1:3">
      <c r="A357" s="288"/>
      <c r="B357" s="288"/>
      <c r="C357" s="288"/>
    </row>
    <row r="358" spans="1:3">
      <c r="A358" s="288"/>
      <c r="B358" s="288"/>
      <c r="C358" s="288"/>
    </row>
    <row r="359" spans="1:3">
      <c r="A359" s="288"/>
      <c r="B359" s="288"/>
      <c r="C359" s="288"/>
    </row>
    <row r="360" spans="1:3">
      <c r="A360" s="288"/>
      <c r="B360" s="288"/>
      <c r="C360" s="288"/>
    </row>
    <row r="361" spans="1:3">
      <c r="A361" s="288"/>
      <c r="B361" s="288"/>
      <c r="C361" s="288"/>
    </row>
    <row r="362" spans="1:3">
      <c r="A362" s="288"/>
      <c r="B362" s="288"/>
      <c r="C362" s="288"/>
    </row>
    <row r="363" spans="1:3">
      <c r="A363" s="288"/>
      <c r="B363" s="288"/>
      <c r="C363" s="288"/>
    </row>
    <row r="364" spans="1:3">
      <c r="A364" s="288"/>
      <c r="B364" s="288"/>
      <c r="C364" s="288"/>
    </row>
    <row r="365" spans="1:3">
      <c r="A365" s="288"/>
      <c r="B365" s="288"/>
      <c r="C365" s="288"/>
    </row>
    <row r="366" spans="1:3">
      <c r="A366" s="288"/>
      <c r="B366" s="288"/>
      <c r="C366" s="288"/>
    </row>
    <row r="367" spans="1:3">
      <c r="A367" s="288"/>
      <c r="B367" s="288"/>
      <c r="C367" s="288"/>
    </row>
    <row r="368" spans="1:3">
      <c r="A368" s="288"/>
      <c r="B368" s="288"/>
      <c r="C368" s="288"/>
    </row>
    <row r="369" spans="1:3">
      <c r="A369" s="288"/>
      <c r="B369" s="288"/>
      <c r="C369" s="288"/>
    </row>
    <row r="370" spans="1:3">
      <c r="A370" s="288"/>
      <c r="B370" s="288"/>
      <c r="C370" s="288"/>
    </row>
    <row r="371" spans="1:3">
      <c r="A371" s="288"/>
      <c r="B371" s="288"/>
      <c r="C371" s="288"/>
    </row>
    <row r="372" spans="1:3">
      <c r="A372" s="288"/>
      <c r="B372" s="288"/>
      <c r="C372" s="288"/>
    </row>
    <row r="373" spans="1:3">
      <c r="A373" s="288"/>
      <c r="B373" s="288"/>
      <c r="C373" s="288"/>
    </row>
    <row r="374" spans="1:3">
      <c r="A374" s="288"/>
      <c r="B374" s="288"/>
      <c r="C374" s="288"/>
    </row>
    <row r="375" spans="1:3">
      <c r="A375" s="288"/>
      <c r="B375" s="288"/>
      <c r="C375" s="288"/>
    </row>
    <row r="376" spans="1:3">
      <c r="A376" s="288"/>
      <c r="B376" s="288"/>
      <c r="C376" s="288"/>
    </row>
    <row r="377" spans="1:3">
      <c r="A377" s="288"/>
      <c r="B377" s="288"/>
      <c r="C377" s="288"/>
    </row>
    <row r="378" spans="1:3">
      <c r="A378" s="288"/>
      <c r="B378" s="288"/>
      <c r="C378" s="288"/>
    </row>
    <row r="379" spans="1:3">
      <c r="A379" s="288"/>
      <c r="B379" s="288"/>
      <c r="C379" s="288"/>
    </row>
    <row r="380" spans="1:3">
      <c r="A380" s="288"/>
      <c r="B380" s="288"/>
      <c r="C380" s="288"/>
    </row>
    <row r="381" spans="1:3">
      <c r="A381" s="288"/>
      <c r="B381" s="288"/>
      <c r="C381" s="288"/>
    </row>
    <row r="382" spans="1:3">
      <c r="A382" s="288"/>
      <c r="B382" s="288"/>
      <c r="C382" s="288"/>
    </row>
    <row r="383" spans="1:3">
      <c r="A383" s="288"/>
      <c r="B383" s="288"/>
      <c r="C383" s="288"/>
    </row>
    <row r="384" spans="1:3">
      <c r="A384" s="288"/>
      <c r="B384" s="288"/>
      <c r="C384" s="288"/>
    </row>
    <row r="385" spans="1:3">
      <c r="A385" s="288"/>
      <c r="B385" s="288"/>
      <c r="C385" s="288"/>
    </row>
    <row r="386" spans="1:3">
      <c r="A386" s="288"/>
      <c r="B386" s="288"/>
      <c r="C386" s="288"/>
    </row>
    <row r="387" spans="1:3">
      <c r="A387" s="288"/>
      <c r="B387" s="288"/>
      <c r="C387" s="288"/>
    </row>
    <row r="388" spans="1:3">
      <c r="A388" s="288"/>
      <c r="B388" s="288"/>
      <c r="C388" s="288"/>
    </row>
    <row r="389" spans="1:3">
      <c r="A389" s="288"/>
      <c r="B389" s="288"/>
      <c r="C389" s="288"/>
    </row>
    <row r="390" spans="1:3">
      <c r="A390" s="288"/>
      <c r="B390" s="288"/>
      <c r="C390" s="288"/>
    </row>
    <row r="391" spans="1:3">
      <c r="A391" s="288"/>
      <c r="B391" s="288"/>
      <c r="C391" s="288"/>
    </row>
    <row r="392" spans="1:3">
      <c r="A392" s="288"/>
      <c r="B392" s="288"/>
      <c r="C392" s="288"/>
    </row>
    <row r="393" spans="1:3">
      <c r="A393" s="288"/>
      <c r="B393" s="288"/>
      <c r="C393" s="288"/>
    </row>
    <row r="394" spans="1:3">
      <c r="A394" s="288"/>
      <c r="B394" s="288"/>
      <c r="C394" s="288"/>
    </row>
    <row r="395" spans="1:3">
      <c r="A395" s="288"/>
      <c r="B395" s="288"/>
      <c r="C395" s="288"/>
    </row>
    <row r="396" spans="1:3">
      <c r="A396" s="288"/>
      <c r="B396" s="288"/>
      <c r="C396" s="288"/>
    </row>
    <row r="397" spans="1:3">
      <c r="A397" s="288"/>
      <c r="B397" s="288"/>
      <c r="C397" s="288"/>
    </row>
    <row r="398" spans="1:3">
      <c r="A398" s="288"/>
      <c r="B398" s="288"/>
      <c r="C398" s="288"/>
    </row>
    <row r="399" spans="1:3">
      <c r="A399" s="288"/>
      <c r="B399" s="288"/>
      <c r="C399" s="288"/>
    </row>
    <row r="400" spans="1:3">
      <c r="A400" s="288"/>
      <c r="B400" s="288"/>
      <c r="C400" s="288"/>
    </row>
    <row r="401" spans="1:3">
      <c r="A401" s="288"/>
      <c r="B401" s="288"/>
      <c r="C401" s="288"/>
    </row>
    <row r="402" spans="1:3">
      <c r="A402" s="288"/>
      <c r="B402" s="288"/>
      <c r="C402" s="288"/>
    </row>
    <row r="403" spans="1:3">
      <c r="A403" s="288"/>
      <c r="B403" s="288"/>
      <c r="C403" s="288"/>
    </row>
    <row r="404" spans="1:3">
      <c r="A404" s="288"/>
      <c r="B404" s="288"/>
      <c r="C404" s="288"/>
    </row>
    <row r="405" spans="1:3">
      <c r="A405" s="288"/>
      <c r="B405" s="288"/>
      <c r="C405" s="288"/>
    </row>
    <row r="406" spans="1:3">
      <c r="A406" s="288"/>
      <c r="B406" s="288"/>
      <c r="C406" s="288"/>
    </row>
    <row r="407" spans="1:3">
      <c r="A407" s="288"/>
      <c r="B407" s="288"/>
      <c r="C407" s="288"/>
    </row>
    <row r="408" spans="1:3">
      <c r="A408" s="288"/>
      <c r="B408" s="288"/>
      <c r="C408" s="288"/>
    </row>
    <row r="409" spans="1:3">
      <c r="A409" s="288"/>
      <c r="B409" s="288"/>
      <c r="C409" s="288"/>
    </row>
    <row r="410" spans="1:3">
      <c r="A410" s="288"/>
      <c r="B410" s="288"/>
      <c r="C410" s="288"/>
    </row>
    <row r="411" spans="1:3">
      <c r="A411" s="288"/>
      <c r="B411" s="288"/>
      <c r="C411" s="288"/>
    </row>
    <row r="412" spans="1:3">
      <c r="A412" s="288"/>
      <c r="B412" s="288"/>
      <c r="C412" s="288"/>
    </row>
    <row r="413" spans="1:3">
      <c r="A413" s="288"/>
      <c r="B413" s="288"/>
      <c r="C413" s="288"/>
    </row>
    <row r="414" spans="1:3">
      <c r="A414" s="288"/>
      <c r="B414" s="288"/>
      <c r="C414" s="288"/>
    </row>
    <row r="415" spans="1:3">
      <c r="A415" s="288"/>
      <c r="B415" s="288"/>
      <c r="C415" s="288"/>
    </row>
    <row r="416" spans="1:3">
      <c r="A416" s="288"/>
      <c r="B416" s="288"/>
      <c r="C416" s="288"/>
    </row>
    <row r="417" spans="1:3">
      <c r="A417" s="288"/>
      <c r="B417" s="288"/>
      <c r="C417" s="288"/>
    </row>
    <row r="418" spans="1:3">
      <c r="A418" s="288"/>
      <c r="B418" s="288"/>
      <c r="C418" s="288"/>
    </row>
    <row r="419" spans="1:3">
      <c r="A419" s="288"/>
      <c r="B419" s="288"/>
      <c r="C419" s="288"/>
    </row>
    <row r="420" spans="1:3">
      <c r="A420" s="288"/>
      <c r="B420" s="288"/>
      <c r="C420" s="288"/>
    </row>
    <row r="421" spans="1:3">
      <c r="A421" s="288"/>
      <c r="B421" s="288"/>
      <c r="C421" s="288"/>
    </row>
    <row r="422" spans="1:3">
      <c r="A422" s="288"/>
      <c r="B422" s="288"/>
      <c r="C422" s="288"/>
    </row>
    <row r="423" spans="1:3">
      <c r="A423" s="288"/>
      <c r="B423" s="288"/>
      <c r="C423" s="288"/>
    </row>
    <row r="424" spans="1:3">
      <c r="A424" s="288"/>
      <c r="B424" s="288"/>
      <c r="C424" s="288"/>
    </row>
    <row r="425" spans="1:3">
      <c r="A425" s="288"/>
      <c r="B425" s="288"/>
      <c r="C425" s="288"/>
    </row>
    <row r="426" spans="1:3">
      <c r="A426" s="288"/>
      <c r="B426" s="288"/>
      <c r="C426" s="288"/>
    </row>
    <row r="427" spans="1:3">
      <c r="A427" s="288"/>
      <c r="B427" s="288"/>
      <c r="C427" s="288"/>
    </row>
    <row r="428" spans="1:3">
      <c r="A428" s="288"/>
      <c r="B428" s="288"/>
      <c r="C428" s="288"/>
    </row>
    <row r="429" spans="1:3">
      <c r="A429" s="288"/>
      <c r="B429" s="288"/>
      <c r="C429" s="288"/>
    </row>
    <row r="430" spans="1:3">
      <c r="A430" s="288"/>
      <c r="B430" s="288"/>
      <c r="C430" s="288"/>
    </row>
    <row r="431" spans="1:3">
      <c r="A431" s="288"/>
      <c r="B431" s="288"/>
      <c r="C431" s="288"/>
    </row>
    <row r="432" spans="1:3">
      <c r="A432" s="288"/>
      <c r="B432" s="288"/>
      <c r="C432" s="288"/>
    </row>
    <row r="433" spans="1:3">
      <c r="A433" s="288"/>
      <c r="B433" s="288"/>
      <c r="C433" s="288"/>
    </row>
    <row r="434" spans="1:3">
      <c r="A434" s="288"/>
      <c r="B434" s="288"/>
      <c r="C434" s="288"/>
    </row>
    <row r="435" spans="1:3">
      <c r="A435" s="288"/>
      <c r="B435" s="288"/>
      <c r="C435" s="288"/>
    </row>
    <row r="436" spans="1:3">
      <c r="A436" s="288"/>
      <c r="B436" s="288"/>
      <c r="C436" s="288"/>
    </row>
    <row r="437" spans="1:3">
      <c r="A437" s="288"/>
      <c r="B437" s="288"/>
      <c r="C437" s="288"/>
    </row>
    <row r="438" spans="1:3">
      <c r="A438" s="288"/>
      <c r="B438" s="288"/>
      <c r="C438" s="288"/>
    </row>
    <row r="439" spans="1:3">
      <c r="A439" s="288"/>
      <c r="B439" s="288"/>
      <c r="C439" s="288"/>
    </row>
    <row r="440" spans="1:3">
      <c r="A440" s="288"/>
      <c r="B440" s="288"/>
      <c r="C440" s="288"/>
    </row>
    <row r="441" spans="1:3">
      <c r="A441" s="288"/>
      <c r="B441" s="288"/>
      <c r="C441" s="288"/>
    </row>
    <row r="442" spans="1:3">
      <c r="A442" s="288"/>
      <c r="B442" s="288"/>
      <c r="C442" s="288"/>
    </row>
    <row r="443" spans="1:3">
      <c r="A443" s="288"/>
      <c r="B443" s="288"/>
      <c r="C443" s="288"/>
    </row>
    <row r="444" spans="1:3">
      <c r="A444" s="288"/>
      <c r="B444" s="288"/>
      <c r="C444" s="288"/>
    </row>
    <row r="445" spans="1:3">
      <c r="A445" s="288"/>
      <c r="B445" s="288"/>
      <c r="C445" s="288"/>
    </row>
    <row r="446" spans="1:3">
      <c r="A446" s="288"/>
      <c r="B446" s="288"/>
      <c r="C446" s="288"/>
    </row>
    <row r="447" spans="1:3">
      <c r="A447" s="288"/>
      <c r="B447" s="288"/>
      <c r="C447" s="288"/>
    </row>
    <row r="448" spans="1:3">
      <c r="A448" s="288"/>
      <c r="B448" s="288"/>
      <c r="C448" s="288"/>
    </row>
    <row r="449" spans="1:3">
      <c r="A449" s="288"/>
      <c r="B449" s="288"/>
      <c r="C449" s="288"/>
    </row>
    <row r="450" spans="1:3">
      <c r="A450" s="288"/>
      <c r="B450" s="288"/>
      <c r="C450" s="288"/>
    </row>
    <row r="451" spans="1:3">
      <c r="A451" s="288"/>
      <c r="B451" s="288"/>
      <c r="C451" s="288"/>
    </row>
    <row r="452" spans="1:3">
      <c r="A452" s="288"/>
      <c r="B452" s="288"/>
      <c r="C452" s="288"/>
    </row>
    <row r="453" spans="1:3">
      <c r="A453" s="288"/>
      <c r="B453" s="288"/>
      <c r="C453" s="288"/>
    </row>
    <row r="454" spans="1:3">
      <c r="A454" s="288"/>
      <c r="B454" s="288"/>
      <c r="C454" s="288"/>
    </row>
    <row r="455" spans="1:3">
      <c r="A455" s="288"/>
      <c r="B455" s="288"/>
      <c r="C455" s="288"/>
    </row>
    <row r="456" spans="1:3">
      <c r="A456" s="288"/>
      <c r="B456" s="288"/>
      <c r="C456" s="288"/>
    </row>
    <row r="457" spans="1:3">
      <c r="A457" s="288"/>
      <c r="B457" s="288"/>
      <c r="C457" s="288"/>
    </row>
    <row r="458" spans="1:3">
      <c r="A458" s="288"/>
      <c r="B458" s="288"/>
      <c r="C458" s="288"/>
    </row>
    <row r="459" spans="1:3">
      <c r="A459" s="288"/>
      <c r="B459" s="288"/>
      <c r="C459" s="288"/>
    </row>
    <row r="460" spans="1:3">
      <c r="A460" s="288"/>
      <c r="B460" s="288"/>
      <c r="C460" s="288"/>
    </row>
    <row r="461" spans="1:3">
      <c r="A461" s="288"/>
      <c r="B461" s="288"/>
      <c r="C461" s="288"/>
    </row>
    <row r="462" spans="1:3">
      <c r="A462" s="288"/>
      <c r="B462" s="288"/>
      <c r="C462" s="288"/>
    </row>
    <row r="463" spans="1:3">
      <c r="A463" s="288"/>
      <c r="B463" s="288"/>
      <c r="C463" s="288"/>
    </row>
    <row r="464" spans="1:3">
      <c r="A464" s="288"/>
      <c r="B464" s="288"/>
      <c r="C464" s="288"/>
    </row>
    <row r="465" spans="1:3">
      <c r="A465" s="288"/>
      <c r="B465" s="288"/>
      <c r="C465" s="288"/>
    </row>
    <row r="466" spans="1:3">
      <c r="A466" s="288"/>
      <c r="B466" s="288"/>
      <c r="C466" s="288"/>
    </row>
    <row r="467" spans="1:3">
      <c r="A467" s="288"/>
      <c r="B467" s="288"/>
      <c r="C467" s="288"/>
    </row>
    <row r="468" spans="1:3">
      <c r="A468" s="288"/>
      <c r="B468" s="288"/>
      <c r="C468" s="288"/>
    </row>
    <row r="469" spans="1:3">
      <c r="A469" s="288"/>
      <c r="B469" s="288"/>
      <c r="C469" s="288"/>
    </row>
    <row r="470" spans="1:3">
      <c r="A470" s="288"/>
      <c r="B470" s="288"/>
      <c r="C470" s="288"/>
    </row>
    <row r="471" spans="1:3">
      <c r="A471" s="288"/>
      <c r="B471" s="288"/>
      <c r="C471" s="288"/>
    </row>
    <row r="472" spans="1:3">
      <c r="A472" s="288"/>
      <c r="B472" s="288"/>
      <c r="C472" s="288"/>
    </row>
    <row r="473" spans="1:3">
      <c r="A473" s="288"/>
      <c r="B473" s="288"/>
      <c r="C473" s="288"/>
    </row>
    <row r="474" spans="1:3">
      <c r="A474" s="288"/>
      <c r="B474" s="288"/>
      <c r="C474" s="288"/>
    </row>
    <row r="475" spans="1:3">
      <c r="A475" s="288"/>
      <c r="B475" s="288"/>
      <c r="C475" s="288"/>
    </row>
    <row r="476" spans="1:3">
      <c r="A476" s="288"/>
      <c r="B476" s="288"/>
      <c r="C476" s="288"/>
    </row>
    <row r="477" spans="1:3">
      <c r="A477" s="288"/>
      <c r="B477" s="288"/>
      <c r="C477" s="288"/>
    </row>
    <row r="478" spans="1:3">
      <c r="A478" s="288"/>
      <c r="B478" s="288"/>
      <c r="C478" s="288"/>
    </row>
    <row r="479" spans="1:3">
      <c r="A479" s="288"/>
      <c r="B479" s="288"/>
      <c r="C479" s="288"/>
    </row>
    <row r="480" spans="1:3">
      <c r="A480" s="288"/>
      <c r="B480" s="288"/>
      <c r="C480" s="288"/>
    </row>
    <row r="481" spans="1:3">
      <c r="A481" s="288"/>
      <c r="B481" s="288"/>
      <c r="C481" s="288"/>
    </row>
    <row r="482" spans="1:3">
      <c r="A482" s="288"/>
      <c r="B482" s="288"/>
      <c r="C482" s="288"/>
    </row>
    <row r="483" spans="1:3">
      <c r="A483" s="288"/>
      <c r="B483" s="288"/>
      <c r="C483" s="288"/>
    </row>
    <row r="484" spans="1:3">
      <c r="A484" s="288"/>
      <c r="B484" s="288"/>
      <c r="C484" s="288"/>
    </row>
    <row r="485" spans="1:3">
      <c r="A485" s="288"/>
      <c r="B485" s="288"/>
      <c r="C485" s="288"/>
    </row>
    <row r="486" spans="1:3">
      <c r="A486" s="288"/>
      <c r="B486" s="288"/>
      <c r="C486" s="288"/>
    </row>
    <row r="487" spans="1:3">
      <c r="A487" s="288"/>
      <c r="B487" s="288"/>
      <c r="C487" s="288"/>
    </row>
    <row r="488" spans="1:3">
      <c r="A488" s="288"/>
      <c r="B488" s="288"/>
      <c r="C488" s="288"/>
    </row>
    <row r="489" spans="1:3">
      <c r="A489" s="288"/>
      <c r="B489" s="288"/>
      <c r="C489" s="288"/>
    </row>
    <row r="490" spans="1:3">
      <c r="A490" s="288"/>
      <c r="B490" s="288"/>
      <c r="C490" s="288"/>
    </row>
    <row r="491" spans="1:3">
      <c r="A491" s="288"/>
      <c r="B491" s="288"/>
      <c r="C491" s="288"/>
    </row>
    <row r="492" spans="1:3">
      <c r="A492" s="288"/>
      <c r="B492" s="288"/>
      <c r="C492" s="288"/>
    </row>
    <row r="493" spans="1:3">
      <c r="A493" s="288"/>
      <c r="B493" s="288"/>
      <c r="C493" s="288"/>
    </row>
    <row r="494" spans="1:3">
      <c r="A494" s="288"/>
      <c r="B494" s="288"/>
      <c r="C494" s="288"/>
    </row>
    <row r="495" spans="1:3">
      <c r="A495" s="288"/>
      <c r="B495" s="288"/>
      <c r="C495" s="288"/>
    </row>
    <row r="496" spans="1:3">
      <c r="A496" s="288"/>
      <c r="B496" s="288"/>
      <c r="C496" s="288"/>
    </row>
    <row r="497" spans="1:3">
      <c r="A497" s="288"/>
      <c r="B497" s="288"/>
      <c r="C497" s="288"/>
    </row>
    <row r="498" spans="1:3">
      <c r="A498" s="288"/>
      <c r="B498" s="288"/>
      <c r="C498" s="288"/>
    </row>
    <row r="499" spans="1:3">
      <c r="A499" s="288"/>
      <c r="B499" s="288"/>
      <c r="C499" s="288"/>
    </row>
    <row r="500" spans="1:3">
      <c r="A500" s="288"/>
      <c r="B500" s="288"/>
      <c r="C500" s="288"/>
    </row>
    <row r="501" spans="1:3">
      <c r="A501" s="288"/>
      <c r="B501" s="288"/>
      <c r="C501" s="288"/>
    </row>
    <row r="502" spans="1:3">
      <c r="A502" s="288"/>
      <c r="B502" s="288"/>
      <c r="C502" s="288"/>
    </row>
    <row r="503" spans="1:3">
      <c r="A503" s="288"/>
      <c r="B503" s="288"/>
      <c r="C503" s="288"/>
    </row>
    <row r="504" spans="1:3">
      <c r="A504" s="288"/>
      <c r="B504" s="288"/>
      <c r="C504" s="288"/>
    </row>
    <row r="505" spans="1:3">
      <c r="A505" s="288"/>
      <c r="B505" s="288"/>
      <c r="C505" s="288"/>
    </row>
    <row r="506" spans="1:3">
      <c r="A506" s="288"/>
      <c r="B506" s="288"/>
      <c r="C506" s="288"/>
    </row>
    <row r="507" spans="1:3">
      <c r="A507" s="288"/>
      <c r="B507" s="288"/>
      <c r="C507" s="288"/>
    </row>
    <row r="508" spans="1:3">
      <c r="A508" s="288"/>
      <c r="B508" s="288"/>
      <c r="C508" s="288"/>
    </row>
    <row r="509" spans="1:3">
      <c r="A509" s="288"/>
      <c r="B509" s="288"/>
      <c r="C509" s="288"/>
    </row>
    <row r="510" spans="1:3">
      <c r="A510" s="288"/>
      <c r="B510" s="288"/>
      <c r="C510" s="288"/>
    </row>
    <row r="511" spans="1:3">
      <c r="A511" s="288"/>
      <c r="B511" s="288"/>
      <c r="C511" s="288"/>
    </row>
    <row r="512" spans="1:3">
      <c r="A512" s="288"/>
      <c r="B512" s="288"/>
      <c r="C512" s="288"/>
    </row>
    <row r="513" spans="1:3">
      <c r="A513" s="288"/>
      <c r="B513" s="288"/>
      <c r="C513" s="288"/>
    </row>
    <row r="514" spans="1:3">
      <c r="A514" s="288"/>
      <c r="B514" s="288"/>
      <c r="C514" s="288"/>
    </row>
    <row r="515" spans="1:3">
      <c r="A515" s="288"/>
      <c r="B515" s="288"/>
      <c r="C515" s="288"/>
    </row>
    <row r="516" spans="1:3">
      <c r="A516" s="288"/>
      <c r="B516" s="288"/>
      <c r="C516" s="288"/>
    </row>
    <row r="517" spans="1:3">
      <c r="A517" s="288"/>
      <c r="B517" s="288"/>
      <c r="C517" s="288"/>
    </row>
    <row r="518" spans="1:3">
      <c r="A518" s="288"/>
      <c r="B518" s="288"/>
      <c r="C518" s="288"/>
    </row>
    <row r="519" spans="1:3">
      <c r="A519" s="288"/>
      <c r="B519" s="288"/>
      <c r="C519" s="288"/>
    </row>
    <row r="520" spans="1:3">
      <c r="A520" s="288"/>
      <c r="B520" s="288"/>
      <c r="C520" s="288"/>
    </row>
    <row r="521" spans="1:3">
      <c r="A521" s="288"/>
      <c r="B521" s="288"/>
      <c r="C521" s="288"/>
    </row>
    <row r="522" spans="1:3">
      <c r="A522" s="288"/>
      <c r="B522" s="288"/>
      <c r="C522" s="288"/>
    </row>
    <row r="523" spans="1:3">
      <c r="A523" s="288"/>
      <c r="B523" s="288"/>
      <c r="C523" s="288"/>
    </row>
    <row r="524" spans="1:3">
      <c r="A524" s="288"/>
      <c r="B524" s="288"/>
      <c r="C524" s="288"/>
    </row>
    <row r="525" spans="1:3">
      <c r="A525" s="288"/>
      <c r="B525" s="288"/>
      <c r="C525" s="288"/>
    </row>
    <row r="526" spans="1:3">
      <c r="A526" s="288"/>
      <c r="B526" s="288"/>
      <c r="C526" s="288"/>
    </row>
    <row r="527" spans="1:3">
      <c r="A527" s="288"/>
      <c r="B527" s="288"/>
      <c r="C527" s="288"/>
    </row>
    <row r="528" spans="1:3">
      <c r="A528" s="288"/>
      <c r="B528" s="288"/>
      <c r="C528" s="288"/>
    </row>
    <row r="529" spans="1:3">
      <c r="A529" s="288"/>
      <c r="B529" s="288"/>
      <c r="C529" s="288"/>
    </row>
    <row r="530" spans="1:3">
      <c r="A530" s="288"/>
      <c r="B530" s="288"/>
      <c r="C530" s="288"/>
    </row>
    <row r="531" spans="1:3">
      <c r="A531" s="288"/>
      <c r="B531" s="288"/>
      <c r="C531" s="288"/>
    </row>
    <row r="532" spans="1:3">
      <c r="A532" s="288"/>
      <c r="B532" s="288"/>
      <c r="C532" s="288"/>
    </row>
    <row r="533" spans="1:3">
      <c r="A533" s="288"/>
      <c r="B533" s="288"/>
      <c r="C533" s="288"/>
    </row>
    <row r="534" spans="1:3">
      <c r="A534" s="288"/>
      <c r="B534" s="288"/>
      <c r="C534" s="288"/>
    </row>
    <row r="535" spans="1:3">
      <c r="A535" s="288"/>
      <c r="B535" s="288"/>
      <c r="C535" s="288"/>
    </row>
    <row r="536" spans="1:3">
      <c r="A536" s="288"/>
      <c r="B536" s="288"/>
      <c r="C536" s="288"/>
    </row>
    <row r="537" spans="1:3">
      <c r="A537" s="288"/>
      <c r="B537" s="288"/>
      <c r="C537" s="288"/>
    </row>
    <row r="538" spans="1:3">
      <c r="A538" s="288"/>
      <c r="B538" s="288"/>
      <c r="C538" s="288"/>
    </row>
    <row r="539" spans="1:3">
      <c r="A539" s="288"/>
      <c r="B539" s="288"/>
      <c r="C539" s="288"/>
    </row>
    <row r="540" spans="1:3">
      <c r="A540" s="288"/>
      <c r="B540" s="288"/>
      <c r="C540" s="288"/>
    </row>
    <row r="541" spans="1:3">
      <c r="A541" s="288"/>
      <c r="B541" s="288"/>
      <c r="C541" s="288"/>
    </row>
    <row r="542" spans="1:3">
      <c r="A542" s="288"/>
      <c r="B542" s="288"/>
      <c r="C542" s="288"/>
    </row>
    <row r="543" spans="1:3">
      <c r="A543" s="288"/>
      <c r="B543" s="288"/>
      <c r="C543" s="288"/>
    </row>
    <row r="544" spans="1:3">
      <c r="A544" s="288"/>
      <c r="B544" s="288"/>
      <c r="C544" s="288"/>
    </row>
    <row r="545" spans="1:3">
      <c r="A545" s="288"/>
      <c r="B545" s="288"/>
      <c r="C545" s="288"/>
    </row>
    <row r="546" spans="1:3">
      <c r="A546" s="288"/>
      <c r="B546" s="288"/>
      <c r="C546" s="288"/>
    </row>
    <row r="547" spans="1:3">
      <c r="A547" s="288"/>
      <c r="B547" s="288"/>
      <c r="C547" s="288"/>
    </row>
    <row r="548" spans="1:3">
      <c r="A548" s="288"/>
      <c r="B548" s="288"/>
      <c r="C548" s="288"/>
    </row>
    <row r="549" spans="1:3">
      <c r="A549" s="288"/>
      <c r="B549" s="288"/>
      <c r="C549" s="288"/>
    </row>
    <row r="550" spans="1:3">
      <c r="A550" s="288"/>
      <c r="B550" s="288"/>
      <c r="C550" s="288"/>
    </row>
    <row r="551" spans="1:3">
      <c r="A551" s="288"/>
      <c r="B551" s="288"/>
      <c r="C551" s="288"/>
    </row>
    <row r="552" spans="1:3">
      <c r="A552" s="288"/>
      <c r="B552" s="288"/>
      <c r="C552" s="288"/>
    </row>
    <row r="553" spans="1:3">
      <c r="A553" s="288"/>
      <c r="B553" s="288"/>
      <c r="C553" s="288"/>
    </row>
    <row r="554" spans="1:3">
      <c r="A554" s="288"/>
      <c r="B554" s="288"/>
      <c r="C554" s="288"/>
    </row>
    <row r="555" spans="1:3">
      <c r="A555" s="288"/>
      <c r="B555" s="288"/>
      <c r="C555" s="288"/>
    </row>
    <row r="556" spans="1:3">
      <c r="A556" s="288"/>
      <c r="B556" s="288"/>
      <c r="C556" s="288"/>
    </row>
    <row r="557" spans="1:3">
      <c r="A557" s="288"/>
      <c r="B557" s="288"/>
      <c r="C557" s="288"/>
    </row>
    <row r="558" spans="1:3">
      <c r="A558" s="288"/>
      <c r="B558" s="288"/>
      <c r="C558" s="288"/>
    </row>
    <row r="559" spans="1:3">
      <c r="A559" s="288"/>
      <c r="B559" s="288"/>
      <c r="C559" s="288"/>
    </row>
    <row r="560" spans="1:3">
      <c r="A560" s="288"/>
      <c r="B560" s="288"/>
      <c r="C560" s="288"/>
    </row>
    <row r="561" spans="1:3">
      <c r="A561" s="288"/>
      <c r="B561" s="288"/>
      <c r="C561" s="288"/>
    </row>
    <row r="562" spans="1:3">
      <c r="A562" s="288"/>
      <c r="B562" s="288"/>
      <c r="C562" s="288"/>
    </row>
    <row r="563" spans="1:3">
      <c r="A563" s="288"/>
      <c r="B563" s="288"/>
      <c r="C563" s="288"/>
    </row>
    <row r="564" spans="1:3">
      <c r="A564" s="288"/>
      <c r="B564" s="288"/>
      <c r="C564" s="288"/>
    </row>
    <row r="565" spans="1:3">
      <c r="A565" s="288"/>
      <c r="B565" s="288"/>
      <c r="C565" s="288"/>
    </row>
    <row r="566" spans="1:3">
      <c r="A566" s="288"/>
      <c r="B566" s="288"/>
      <c r="C566" s="288"/>
    </row>
    <row r="567" spans="1:3">
      <c r="A567" s="288"/>
      <c r="B567" s="288"/>
      <c r="C567" s="288"/>
    </row>
    <row r="568" spans="1:3">
      <c r="A568" s="288"/>
      <c r="B568" s="288"/>
      <c r="C568" s="288"/>
    </row>
    <row r="569" spans="1:3">
      <c r="A569" s="288"/>
      <c r="B569" s="288"/>
      <c r="C569" s="288"/>
    </row>
    <row r="570" spans="1:3">
      <c r="A570" s="288"/>
      <c r="B570" s="288"/>
      <c r="C570" s="288"/>
    </row>
    <row r="571" spans="1:3">
      <c r="A571" s="288"/>
      <c r="B571" s="288"/>
      <c r="C571" s="288"/>
    </row>
    <row r="572" spans="1:3">
      <c r="A572" s="288"/>
      <c r="B572" s="288"/>
      <c r="C572" s="288"/>
    </row>
    <row r="573" spans="1:3">
      <c r="A573" s="288"/>
      <c r="B573" s="288"/>
      <c r="C573" s="288"/>
    </row>
    <row r="574" spans="1:3">
      <c r="A574" s="288"/>
      <c r="B574" s="288"/>
      <c r="C574" s="288"/>
    </row>
    <row r="575" spans="1:3">
      <c r="A575" s="288"/>
      <c r="B575" s="288"/>
      <c r="C575" s="288"/>
    </row>
    <row r="576" spans="1:3">
      <c r="A576" s="288"/>
      <c r="B576" s="288"/>
      <c r="C576" s="288"/>
    </row>
    <row r="577" spans="1:3">
      <c r="A577" s="288"/>
      <c r="B577" s="288"/>
      <c r="C577" s="288"/>
    </row>
    <row r="578" spans="1:3">
      <c r="A578" s="288"/>
      <c r="B578" s="288"/>
      <c r="C578" s="288"/>
    </row>
    <row r="579" spans="1:3">
      <c r="A579" s="288"/>
      <c r="B579" s="288"/>
      <c r="C579" s="288"/>
    </row>
    <row r="580" spans="1:3">
      <c r="A580" s="288"/>
      <c r="B580" s="288"/>
      <c r="C580" s="288"/>
    </row>
    <row r="581" spans="1:3">
      <c r="A581" s="288"/>
      <c r="B581" s="288"/>
      <c r="C581" s="288"/>
    </row>
    <row r="582" spans="1:3">
      <c r="A582" s="288"/>
      <c r="B582" s="288"/>
      <c r="C582" s="288"/>
    </row>
    <row r="583" spans="1:3">
      <c r="A583" s="288"/>
      <c r="B583" s="288"/>
      <c r="C583" s="288"/>
    </row>
    <row r="584" spans="1:3">
      <c r="A584" s="288"/>
      <c r="B584" s="288"/>
      <c r="C584" s="288"/>
    </row>
    <row r="585" spans="1:3">
      <c r="A585" s="288"/>
      <c r="B585" s="288"/>
      <c r="C585" s="288"/>
    </row>
    <row r="586" spans="1:3">
      <c r="A586" s="288"/>
      <c r="B586" s="288"/>
      <c r="C586" s="288"/>
    </row>
    <row r="587" spans="1:3">
      <c r="A587" s="288"/>
      <c r="B587" s="288"/>
      <c r="C587" s="288"/>
    </row>
    <row r="588" spans="1:3">
      <c r="A588" s="288"/>
      <c r="B588" s="288"/>
      <c r="C588" s="288"/>
    </row>
    <row r="589" spans="1:3">
      <c r="A589" s="288"/>
      <c r="B589" s="288"/>
      <c r="C589" s="288"/>
    </row>
    <row r="590" spans="1:3">
      <c r="A590" s="288"/>
      <c r="B590" s="288"/>
      <c r="C590" s="288"/>
    </row>
    <row r="591" spans="1:3">
      <c r="A591" s="288"/>
      <c r="B591" s="288"/>
      <c r="C591" s="288"/>
    </row>
    <row r="592" spans="1:3">
      <c r="A592" s="288"/>
      <c r="B592" s="288"/>
      <c r="C592" s="288"/>
    </row>
    <row r="593" spans="1:3">
      <c r="A593" s="288"/>
      <c r="B593" s="288"/>
      <c r="C593" s="288"/>
    </row>
    <row r="594" spans="1:3">
      <c r="A594" s="288"/>
      <c r="B594" s="288"/>
      <c r="C594" s="288"/>
    </row>
    <row r="595" spans="1:3">
      <c r="A595" s="288"/>
      <c r="B595" s="288"/>
      <c r="C595" s="288"/>
    </row>
    <row r="596" spans="1:3">
      <c r="A596" s="288"/>
      <c r="B596" s="288"/>
      <c r="C596" s="288"/>
    </row>
    <row r="597" spans="1:3">
      <c r="A597" s="288"/>
      <c r="B597" s="288"/>
      <c r="C597" s="288"/>
    </row>
    <row r="598" spans="1:3">
      <c r="A598" s="288"/>
      <c r="B598" s="288"/>
      <c r="C598" s="288"/>
    </row>
    <row r="599" spans="1:3">
      <c r="A599" s="288"/>
      <c r="B599" s="288"/>
      <c r="C599" s="288"/>
    </row>
    <row r="600" spans="1:3">
      <c r="A600" s="288"/>
      <c r="B600" s="288"/>
      <c r="C600" s="288"/>
    </row>
    <row r="601" spans="1:3">
      <c r="A601" s="288"/>
      <c r="B601" s="288"/>
      <c r="C601" s="288"/>
    </row>
    <row r="602" spans="1:3">
      <c r="A602" s="288"/>
      <c r="B602" s="288"/>
      <c r="C602" s="288"/>
    </row>
    <row r="603" spans="1:3">
      <c r="A603" s="288"/>
      <c r="B603" s="288"/>
      <c r="C603" s="288"/>
    </row>
    <row r="604" spans="1:3">
      <c r="A604" s="288"/>
      <c r="B604" s="288"/>
      <c r="C604" s="288"/>
    </row>
    <row r="605" spans="1:3">
      <c r="A605" s="288"/>
      <c r="B605" s="288"/>
      <c r="C605" s="288"/>
    </row>
    <row r="606" spans="1:3">
      <c r="A606" s="288"/>
      <c r="B606" s="288"/>
      <c r="C606" s="288"/>
    </row>
    <row r="607" spans="1:3">
      <c r="A607" s="288"/>
      <c r="B607" s="288"/>
      <c r="C607" s="288"/>
    </row>
    <row r="608" spans="1:3">
      <c r="A608" s="288"/>
      <c r="B608" s="288"/>
      <c r="C608" s="288"/>
    </row>
    <row r="609" spans="1:3">
      <c r="A609" s="288"/>
      <c r="B609" s="288"/>
      <c r="C609" s="288"/>
    </row>
    <row r="610" spans="1:3">
      <c r="A610" s="288"/>
      <c r="B610" s="288"/>
      <c r="C610" s="288"/>
    </row>
    <row r="611" spans="1:3">
      <c r="A611" s="288"/>
      <c r="B611" s="288"/>
      <c r="C611" s="288"/>
    </row>
    <row r="612" spans="1:3">
      <c r="A612" s="288"/>
      <c r="B612" s="288"/>
      <c r="C612" s="288"/>
    </row>
    <row r="613" spans="1:3">
      <c r="A613" s="288"/>
      <c r="B613" s="288"/>
      <c r="C613" s="288"/>
    </row>
    <row r="614" spans="1:3">
      <c r="A614" s="288"/>
      <c r="B614" s="288"/>
      <c r="C614" s="288"/>
    </row>
    <row r="615" spans="1:3">
      <c r="A615" s="288"/>
      <c r="B615" s="288"/>
      <c r="C615" s="288"/>
    </row>
    <row r="616" spans="1:3">
      <c r="A616" s="288"/>
      <c r="B616" s="288"/>
      <c r="C616" s="288"/>
    </row>
    <row r="617" spans="1:3">
      <c r="A617" s="288"/>
      <c r="B617" s="288"/>
      <c r="C617" s="288"/>
    </row>
    <row r="618" spans="1:3">
      <c r="A618" s="288"/>
      <c r="B618" s="288"/>
      <c r="C618" s="288"/>
    </row>
    <row r="619" spans="1:3">
      <c r="A619" s="288"/>
      <c r="B619" s="288"/>
      <c r="C619" s="288"/>
    </row>
    <row r="620" spans="1:3">
      <c r="A620" s="288"/>
      <c r="B620" s="288"/>
      <c r="C620" s="288"/>
    </row>
    <row r="621" spans="1:3">
      <c r="A621" s="288"/>
      <c r="B621" s="288"/>
      <c r="C621" s="288"/>
    </row>
    <row r="622" spans="1:3">
      <c r="A622" s="288"/>
      <c r="B622" s="288"/>
      <c r="C622" s="288"/>
    </row>
    <row r="623" spans="1:3">
      <c r="A623" s="288"/>
      <c r="B623" s="288"/>
      <c r="C623" s="288"/>
    </row>
    <row r="624" spans="1:3">
      <c r="A624" s="288"/>
      <c r="B624" s="288"/>
      <c r="C624" s="288"/>
    </row>
    <row r="625" spans="1:3">
      <c r="A625" s="288"/>
      <c r="B625" s="288"/>
      <c r="C625" s="288"/>
    </row>
    <row r="626" spans="1:3">
      <c r="A626" s="288"/>
      <c r="B626" s="288"/>
      <c r="C626" s="288"/>
    </row>
    <row r="627" spans="1:3">
      <c r="A627" s="288"/>
      <c r="B627" s="288"/>
      <c r="C627" s="288"/>
    </row>
    <row r="628" spans="1:3">
      <c r="A628" s="288"/>
      <c r="B628" s="288"/>
      <c r="C628" s="288"/>
    </row>
    <row r="629" spans="1:3">
      <c r="A629" s="288"/>
      <c r="B629" s="288"/>
      <c r="C629" s="288"/>
    </row>
    <row r="630" spans="1:3">
      <c r="A630" s="288"/>
      <c r="B630" s="288"/>
      <c r="C630" s="288"/>
    </row>
    <row r="631" spans="1:3">
      <c r="A631" s="288"/>
      <c r="B631" s="288"/>
      <c r="C631" s="288"/>
    </row>
    <row r="632" spans="1:3">
      <c r="A632" s="288"/>
      <c r="B632" s="288"/>
      <c r="C632" s="288"/>
    </row>
    <row r="633" spans="1:3">
      <c r="A633" s="288"/>
      <c r="B633" s="288"/>
      <c r="C633" s="288"/>
    </row>
    <row r="634" spans="1:3">
      <c r="A634" s="288"/>
      <c r="B634" s="288"/>
      <c r="C634" s="288"/>
    </row>
    <row r="635" spans="1:3">
      <c r="A635" s="288"/>
      <c r="B635" s="288"/>
      <c r="C635" s="288"/>
    </row>
    <row r="636" spans="1:3">
      <c r="A636" s="288"/>
      <c r="B636" s="288"/>
      <c r="C636" s="288"/>
    </row>
    <row r="637" spans="1:3">
      <c r="A637" s="288"/>
      <c r="B637" s="288"/>
      <c r="C637" s="288"/>
    </row>
    <row r="638" spans="1:3">
      <c r="A638" s="288"/>
      <c r="B638" s="288"/>
      <c r="C638" s="288"/>
    </row>
    <row r="639" spans="1:3">
      <c r="A639" s="288"/>
      <c r="B639" s="288"/>
      <c r="C639" s="288"/>
    </row>
    <row r="640" spans="1:3">
      <c r="A640" s="288"/>
      <c r="B640" s="288"/>
      <c r="C640" s="288"/>
    </row>
    <row r="641" spans="1:3">
      <c r="A641" s="288"/>
      <c r="B641" s="288"/>
      <c r="C641" s="288"/>
    </row>
    <row r="642" spans="1:3">
      <c r="A642" s="288"/>
      <c r="B642" s="288"/>
      <c r="C642" s="288"/>
    </row>
    <row r="643" spans="1:3">
      <c r="A643" s="288"/>
      <c r="B643" s="288"/>
      <c r="C643" s="288"/>
    </row>
    <row r="644" spans="1:3">
      <c r="A644" s="288"/>
      <c r="B644" s="288"/>
      <c r="C644" s="288"/>
    </row>
    <row r="645" spans="1:3">
      <c r="A645" s="288"/>
      <c r="B645" s="288"/>
      <c r="C645" s="288"/>
    </row>
    <row r="646" spans="1:3">
      <c r="A646" s="288"/>
      <c r="B646" s="288"/>
      <c r="C646" s="288"/>
    </row>
    <row r="647" spans="1:3">
      <c r="A647" s="288"/>
      <c r="B647" s="288"/>
      <c r="C647" s="288"/>
    </row>
    <row r="648" spans="1:3">
      <c r="A648" s="288"/>
      <c r="B648" s="288"/>
      <c r="C648" s="288"/>
    </row>
    <row r="649" spans="1:3">
      <c r="A649" s="288"/>
      <c r="B649" s="288"/>
      <c r="C649" s="288"/>
    </row>
    <row r="650" spans="1:3">
      <c r="A650" s="288"/>
      <c r="B650" s="288"/>
      <c r="C650" s="288"/>
    </row>
    <row r="651" spans="1:3">
      <c r="A651" s="288"/>
      <c r="B651" s="288"/>
      <c r="C651" s="288"/>
    </row>
    <row r="652" spans="1:3">
      <c r="A652" s="288"/>
      <c r="B652" s="288"/>
      <c r="C652" s="288"/>
    </row>
    <row r="653" spans="1:3">
      <c r="A653" s="288"/>
      <c r="B653" s="288"/>
      <c r="C653" s="288"/>
    </row>
    <row r="654" spans="1:3">
      <c r="A654" s="288"/>
      <c r="B654" s="288"/>
      <c r="C654" s="288"/>
    </row>
    <row r="655" spans="1:3">
      <c r="A655" s="288"/>
      <c r="B655" s="288"/>
      <c r="C655" s="288"/>
    </row>
    <row r="656" spans="1:3">
      <c r="A656" s="288"/>
      <c r="B656" s="288"/>
      <c r="C656" s="288"/>
    </row>
    <row r="657" spans="1:3">
      <c r="A657" s="288"/>
      <c r="B657" s="288"/>
      <c r="C657" s="288"/>
    </row>
    <row r="658" spans="1:3">
      <c r="A658" s="288"/>
      <c r="B658" s="288"/>
      <c r="C658" s="288"/>
    </row>
    <row r="659" spans="1:3">
      <c r="A659" s="288"/>
      <c r="B659" s="288"/>
      <c r="C659" s="288"/>
    </row>
    <row r="660" spans="1:3">
      <c r="A660" s="288"/>
      <c r="B660" s="288"/>
      <c r="C660" s="288"/>
    </row>
    <row r="661" spans="1:3">
      <c r="A661" s="288"/>
      <c r="B661" s="288"/>
      <c r="C661" s="288"/>
    </row>
    <row r="662" spans="1:3">
      <c r="A662" s="288"/>
      <c r="B662" s="288"/>
      <c r="C662" s="288"/>
    </row>
    <row r="663" spans="1:3">
      <c r="A663" s="288"/>
      <c r="B663" s="288"/>
      <c r="C663" s="288"/>
    </row>
    <row r="664" spans="1:3">
      <c r="A664" s="288"/>
      <c r="B664" s="288"/>
      <c r="C664" s="288"/>
    </row>
    <row r="665" spans="1:3">
      <c r="A665" s="288"/>
      <c r="B665" s="288"/>
      <c r="C665" s="288"/>
    </row>
    <row r="666" spans="1:3">
      <c r="A666" s="288"/>
      <c r="B666" s="288"/>
      <c r="C666" s="288"/>
    </row>
    <row r="667" spans="1:3">
      <c r="A667" s="288"/>
      <c r="B667" s="288"/>
      <c r="C667" s="288"/>
    </row>
    <row r="668" spans="1:3">
      <c r="A668" s="288"/>
      <c r="B668" s="288"/>
      <c r="C668" s="288"/>
    </row>
    <row r="669" spans="1:3">
      <c r="A669" s="288"/>
      <c r="B669" s="288"/>
      <c r="C669" s="288"/>
    </row>
    <row r="670" spans="1:3">
      <c r="A670" s="288"/>
      <c r="B670" s="288"/>
      <c r="C670" s="288"/>
    </row>
    <row r="671" spans="1:3">
      <c r="A671" s="288"/>
      <c r="B671" s="288"/>
      <c r="C671" s="288"/>
    </row>
    <row r="672" spans="1:3">
      <c r="A672" s="288"/>
      <c r="B672" s="288"/>
      <c r="C672" s="288"/>
    </row>
    <row r="673" spans="1:3">
      <c r="A673" s="288"/>
      <c r="B673" s="288"/>
      <c r="C673" s="288"/>
    </row>
    <row r="674" spans="1:3">
      <c r="A674" s="288"/>
      <c r="B674" s="288"/>
      <c r="C674" s="288"/>
    </row>
    <row r="675" spans="1:3">
      <c r="A675" s="288"/>
      <c r="B675" s="288"/>
      <c r="C675" s="288"/>
    </row>
    <row r="676" spans="1:3">
      <c r="A676" s="288"/>
      <c r="B676" s="288"/>
      <c r="C676" s="288"/>
    </row>
    <row r="677" spans="1:3">
      <c r="A677" s="288"/>
      <c r="B677" s="288"/>
      <c r="C677" s="288"/>
    </row>
    <row r="678" spans="1:3">
      <c r="A678" s="288"/>
      <c r="B678" s="288"/>
      <c r="C678" s="288"/>
    </row>
    <row r="679" spans="1:3">
      <c r="A679" s="288"/>
      <c r="B679" s="288"/>
      <c r="C679" s="288"/>
    </row>
    <row r="680" spans="1:3">
      <c r="A680" s="288"/>
      <c r="B680" s="288"/>
      <c r="C680" s="288"/>
    </row>
    <row r="681" spans="1:3">
      <c r="A681" s="288"/>
      <c r="B681" s="288"/>
      <c r="C681" s="288"/>
    </row>
    <row r="682" spans="1:3">
      <c r="A682" s="288"/>
      <c r="B682" s="288"/>
      <c r="C682" s="288"/>
    </row>
    <row r="683" spans="1:3">
      <c r="A683" s="288"/>
      <c r="B683" s="288"/>
      <c r="C683" s="288"/>
    </row>
    <row r="684" spans="1:3">
      <c r="A684" s="288"/>
      <c r="B684" s="288"/>
      <c r="C684" s="288"/>
    </row>
    <row r="685" spans="1:3">
      <c r="A685" s="288"/>
      <c r="B685" s="288"/>
      <c r="C685" s="288"/>
    </row>
    <row r="686" spans="1:3">
      <c r="A686" s="288"/>
      <c r="B686" s="288"/>
      <c r="C686" s="288"/>
    </row>
    <row r="687" spans="1:3">
      <c r="A687" s="288"/>
      <c r="B687" s="288"/>
      <c r="C687" s="288"/>
    </row>
    <row r="688" spans="1:3">
      <c r="A688" s="288"/>
      <c r="B688" s="288"/>
      <c r="C688" s="288"/>
    </row>
    <row r="689" spans="1:3">
      <c r="A689" s="288"/>
      <c r="B689" s="288"/>
      <c r="C689" s="288"/>
    </row>
    <row r="690" spans="1:3">
      <c r="A690" s="288"/>
      <c r="B690" s="288"/>
      <c r="C690" s="288"/>
    </row>
    <row r="691" spans="1:3">
      <c r="A691" s="288"/>
      <c r="B691" s="288"/>
      <c r="C691" s="288"/>
    </row>
    <row r="692" spans="1:3">
      <c r="A692" s="288"/>
      <c r="B692" s="288"/>
      <c r="C692" s="288"/>
    </row>
    <row r="693" spans="1:3">
      <c r="A693" s="288"/>
      <c r="B693" s="288"/>
      <c r="C693" s="288"/>
    </row>
    <row r="694" spans="1:3">
      <c r="A694" s="288"/>
      <c r="B694" s="288"/>
      <c r="C694" s="288"/>
    </row>
    <row r="695" spans="1:3">
      <c r="A695" s="288"/>
      <c r="B695" s="288"/>
      <c r="C695" s="288"/>
    </row>
    <row r="696" spans="1:3">
      <c r="A696" s="288"/>
      <c r="B696" s="288"/>
      <c r="C696" s="288"/>
    </row>
    <row r="697" spans="1:3">
      <c r="A697" s="288"/>
      <c r="B697" s="288"/>
      <c r="C697" s="288"/>
    </row>
    <row r="698" spans="1:3">
      <c r="A698" s="288"/>
      <c r="B698" s="288"/>
      <c r="C698" s="288"/>
    </row>
    <row r="699" spans="1:3">
      <c r="A699" s="288"/>
      <c r="B699" s="288"/>
      <c r="C699" s="288"/>
    </row>
    <row r="700" spans="1:3">
      <c r="A700" s="288"/>
      <c r="B700" s="288"/>
      <c r="C700" s="288"/>
    </row>
    <row r="701" spans="1:3">
      <c r="A701" s="288"/>
      <c r="B701" s="288"/>
      <c r="C701" s="288"/>
    </row>
    <row r="702" spans="1:3">
      <c r="A702" s="288"/>
      <c r="B702" s="288"/>
      <c r="C702" s="288"/>
    </row>
    <row r="703" spans="1:3">
      <c r="A703" s="288"/>
      <c r="B703" s="288"/>
      <c r="C703" s="288"/>
    </row>
    <row r="704" spans="1:3">
      <c r="A704" s="288"/>
      <c r="B704" s="288"/>
      <c r="C704" s="288"/>
    </row>
    <row r="705" spans="1:3">
      <c r="A705" s="288"/>
      <c r="B705" s="288"/>
      <c r="C705" s="288"/>
    </row>
    <row r="706" spans="1:3">
      <c r="A706" s="288"/>
      <c r="B706" s="288"/>
      <c r="C706" s="288"/>
    </row>
    <row r="707" spans="1:3">
      <c r="A707" s="288"/>
      <c r="B707" s="288"/>
      <c r="C707" s="288"/>
    </row>
    <row r="708" spans="1:3">
      <c r="A708" s="288"/>
      <c r="B708" s="288"/>
      <c r="C708" s="288"/>
    </row>
    <row r="709" spans="1:3">
      <c r="A709" s="288"/>
      <c r="B709" s="288"/>
      <c r="C709" s="288"/>
    </row>
    <row r="710" spans="1:3">
      <c r="A710" s="288"/>
      <c r="B710" s="288"/>
      <c r="C710" s="288"/>
    </row>
    <row r="711" spans="1:3">
      <c r="A711" s="288"/>
      <c r="B711" s="288"/>
      <c r="C711" s="288"/>
    </row>
    <row r="712" spans="1:3">
      <c r="A712" s="288"/>
      <c r="B712" s="288"/>
      <c r="C712" s="288"/>
    </row>
    <row r="713" spans="1:3">
      <c r="A713" s="288"/>
      <c r="B713" s="288"/>
      <c r="C713" s="288"/>
    </row>
    <row r="714" spans="1:3">
      <c r="A714" s="288"/>
      <c r="B714" s="288"/>
      <c r="C714" s="288"/>
    </row>
    <row r="715" spans="1:3">
      <c r="A715" s="288"/>
      <c r="B715" s="288"/>
      <c r="C715" s="288"/>
    </row>
    <row r="716" spans="1:3">
      <c r="A716" s="288"/>
      <c r="B716" s="288"/>
      <c r="C716" s="288"/>
    </row>
    <row r="717" spans="1:3">
      <c r="A717" s="288"/>
      <c r="B717" s="288"/>
      <c r="C717" s="288"/>
    </row>
    <row r="718" spans="1:3">
      <c r="A718" s="288"/>
      <c r="B718" s="288"/>
      <c r="C718" s="288"/>
    </row>
    <row r="719" spans="1:3">
      <c r="A719" s="288"/>
      <c r="B719" s="288"/>
      <c r="C719" s="288"/>
    </row>
    <row r="720" spans="1:3">
      <c r="A720" s="288"/>
      <c r="B720" s="288"/>
      <c r="C720" s="288"/>
    </row>
    <row r="721" spans="1:3">
      <c r="A721" s="288"/>
      <c r="B721" s="288"/>
      <c r="C721" s="288"/>
    </row>
    <row r="722" spans="1:3">
      <c r="A722" s="288"/>
      <c r="B722" s="288"/>
      <c r="C722" s="288"/>
    </row>
    <row r="723" spans="1:3">
      <c r="A723" s="288"/>
      <c r="B723" s="288"/>
      <c r="C723" s="288"/>
    </row>
    <row r="724" spans="1:3">
      <c r="A724" s="288"/>
      <c r="B724" s="288"/>
      <c r="C724" s="288"/>
    </row>
    <row r="725" spans="1:3">
      <c r="A725" s="288"/>
      <c r="B725" s="288"/>
      <c r="C725" s="288"/>
    </row>
    <row r="726" spans="1:3">
      <c r="A726" s="288"/>
      <c r="B726" s="288"/>
      <c r="C726" s="288"/>
    </row>
    <row r="727" spans="1:3">
      <c r="A727" s="288"/>
      <c r="B727" s="288"/>
      <c r="C727" s="288"/>
    </row>
    <row r="728" spans="1:3">
      <c r="A728" s="288"/>
      <c r="B728" s="288"/>
      <c r="C728" s="288"/>
    </row>
    <row r="729" spans="1:3">
      <c r="A729" s="288"/>
      <c r="B729" s="288"/>
      <c r="C729" s="288"/>
    </row>
    <row r="730" spans="1:3">
      <c r="A730" s="288"/>
      <c r="B730" s="288"/>
      <c r="C730" s="288"/>
    </row>
    <row r="731" spans="1:3">
      <c r="A731" s="288"/>
      <c r="B731" s="288"/>
      <c r="C731" s="288"/>
    </row>
    <row r="732" spans="1:3">
      <c r="A732" s="288"/>
      <c r="B732" s="288"/>
      <c r="C732" s="288"/>
    </row>
    <row r="733" spans="1:3">
      <c r="A733" s="288"/>
      <c r="B733" s="288"/>
      <c r="C733" s="288"/>
    </row>
    <row r="734" spans="1:3">
      <c r="A734" s="288"/>
      <c r="B734" s="288"/>
      <c r="C734" s="288"/>
    </row>
    <row r="735" spans="1:3">
      <c r="A735" s="288"/>
      <c r="B735" s="288"/>
      <c r="C735" s="288"/>
    </row>
    <row r="736" spans="1:3">
      <c r="A736" s="288"/>
      <c r="B736" s="288"/>
      <c r="C736" s="288"/>
    </row>
    <row r="737" spans="1:3">
      <c r="A737" s="288"/>
      <c r="B737" s="288"/>
      <c r="C737" s="288"/>
    </row>
    <row r="738" spans="1:3">
      <c r="A738" s="288"/>
      <c r="B738" s="288"/>
      <c r="C738" s="288"/>
    </row>
    <row r="739" spans="1:3">
      <c r="A739" s="288"/>
      <c r="B739" s="288"/>
      <c r="C739" s="288"/>
    </row>
    <row r="740" spans="1:3">
      <c r="A740" s="288"/>
      <c r="B740" s="288"/>
      <c r="C740" s="288"/>
    </row>
    <row r="741" spans="1:3">
      <c r="A741" s="288"/>
      <c r="B741" s="288"/>
      <c r="C741" s="288"/>
    </row>
    <row r="742" spans="1:3">
      <c r="A742" s="288"/>
      <c r="B742" s="288"/>
      <c r="C742" s="288"/>
    </row>
    <row r="743" spans="1:3">
      <c r="A743" s="288"/>
      <c r="B743" s="288"/>
      <c r="C743" s="288"/>
    </row>
    <row r="744" spans="1:3">
      <c r="A744" s="288"/>
      <c r="B744" s="288"/>
      <c r="C744" s="288"/>
    </row>
    <row r="745" spans="1:3">
      <c r="A745" s="288"/>
      <c r="B745" s="288"/>
      <c r="C745" s="288"/>
    </row>
    <row r="746" spans="1:3">
      <c r="A746" s="288"/>
      <c r="B746" s="288"/>
      <c r="C746" s="288"/>
    </row>
    <row r="747" spans="1:3">
      <c r="A747" s="288"/>
      <c r="B747" s="288"/>
      <c r="C747" s="288"/>
    </row>
    <row r="748" spans="1:3">
      <c r="A748" s="288"/>
      <c r="B748" s="288"/>
      <c r="C748" s="288"/>
    </row>
    <row r="749" spans="1:3">
      <c r="A749" s="288"/>
      <c r="B749" s="288"/>
      <c r="C749" s="288"/>
    </row>
    <row r="750" spans="1:3">
      <c r="A750" s="288"/>
      <c r="B750" s="288"/>
      <c r="C750" s="288"/>
    </row>
    <row r="751" spans="1:3">
      <c r="A751" s="288"/>
      <c r="B751" s="288"/>
      <c r="C751" s="288"/>
    </row>
    <row r="752" spans="1:3">
      <c r="A752" s="288"/>
      <c r="B752" s="288"/>
      <c r="C752" s="288"/>
    </row>
    <row r="753" spans="1:3">
      <c r="A753" s="288"/>
      <c r="B753" s="288"/>
      <c r="C753" s="288"/>
    </row>
    <row r="754" spans="1:3">
      <c r="A754" s="288"/>
      <c r="B754" s="288"/>
      <c r="C754" s="288"/>
    </row>
    <row r="755" spans="1:3">
      <c r="A755" s="288"/>
      <c r="B755" s="288"/>
      <c r="C755" s="288"/>
    </row>
    <row r="756" spans="1:3">
      <c r="A756" s="288"/>
      <c r="B756" s="288"/>
      <c r="C756" s="288"/>
    </row>
    <row r="757" spans="1:3">
      <c r="A757" s="288"/>
      <c r="B757" s="288"/>
      <c r="C757" s="288"/>
    </row>
    <row r="758" spans="1:3">
      <c r="A758" s="288"/>
      <c r="B758" s="288"/>
      <c r="C758" s="288"/>
    </row>
    <row r="759" spans="1:3">
      <c r="A759" s="288"/>
      <c r="B759" s="288"/>
      <c r="C759" s="288"/>
    </row>
    <row r="760" spans="1:3">
      <c r="A760" s="288"/>
      <c r="B760" s="288"/>
      <c r="C760" s="288"/>
    </row>
    <row r="761" spans="1:3">
      <c r="A761" s="288"/>
      <c r="B761" s="288"/>
      <c r="C761" s="288"/>
    </row>
    <row r="762" spans="1:3">
      <c r="A762" s="288"/>
      <c r="B762" s="288"/>
      <c r="C762" s="288"/>
    </row>
    <row r="763" spans="1:3">
      <c r="A763" s="288"/>
      <c r="B763" s="288"/>
      <c r="C763" s="288"/>
    </row>
    <row r="764" spans="1:3">
      <c r="A764" s="288"/>
      <c r="B764" s="288"/>
      <c r="C764" s="288"/>
    </row>
    <row r="765" spans="1:3">
      <c r="A765" s="288"/>
      <c r="B765" s="288"/>
      <c r="C765" s="288"/>
    </row>
    <row r="766" spans="1:3">
      <c r="A766" s="288"/>
      <c r="B766" s="288"/>
      <c r="C766" s="288"/>
    </row>
    <row r="767" spans="1:3">
      <c r="A767" s="288"/>
      <c r="B767" s="288"/>
      <c r="C767" s="288"/>
    </row>
    <row r="768" spans="1:3">
      <c r="A768" s="288"/>
      <c r="B768" s="288"/>
      <c r="C768" s="288"/>
    </row>
    <row r="769" spans="1:3">
      <c r="A769" s="288"/>
      <c r="B769" s="288"/>
      <c r="C769" s="288"/>
    </row>
    <row r="770" spans="1:3">
      <c r="A770" s="288"/>
      <c r="B770" s="288"/>
      <c r="C770" s="288"/>
    </row>
    <row r="771" spans="1:3">
      <c r="A771" s="288"/>
      <c r="B771" s="288"/>
      <c r="C771" s="288"/>
    </row>
    <row r="772" spans="1:3">
      <c r="A772" s="288"/>
      <c r="B772" s="288"/>
      <c r="C772" s="288"/>
    </row>
    <row r="773" spans="1:3">
      <c r="A773" s="288"/>
      <c r="B773" s="288"/>
      <c r="C773" s="288"/>
    </row>
    <row r="774" spans="1:3">
      <c r="A774" s="288"/>
      <c r="B774" s="288"/>
      <c r="C774" s="288"/>
    </row>
    <row r="775" spans="1:3">
      <c r="A775" s="288"/>
      <c r="B775" s="288"/>
      <c r="C775" s="288"/>
    </row>
    <row r="776" spans="1:3">
      <c r="A776" s="288"/>
      <c r="B776" s="288"/>
      <c r="C776" s="288"/>
    </row>
    <row r="777" spans="1:3">
      <c r="A777" s="288"/>
      <c r="B777" s="288"/>
      <c r="C777" s="288"/>
    </row>
    <row r="778" spans="1:3">
      <c r="A778" s="288"/>
      <c r="B778" s="288"/>
      <c r="C778" s="288"/>
    </row>
    <row r="779" spans="1:3">
      <c r="A779" s="288"/>
      <c r="B779" s="288"/>
      <c r="C779" s="288"/>
    </row>
    <row r="780" spans="1:3">
      <c r="A780" s="288"/>
      <c r="B780" s="288"/>
      <c r="C780" s="288"/>
    </row>
    <row r="781" spans="1:3">
      <c r="A781" s="288"/>
      <c r="B781" s="288"/>
      <c r="C781" s="288"/>
    </row>
    <row r="782" spans="1:3">
      <c r="A782" s="288"/>
      <c r="B782" s="288"/>
      <c r="C782" s="288"/>
    </row>
    <row r="783" spans="1:3">
      <c r="A783" s="288"/>
      <c r="B783" s="288"/>
      <c r="C783" s="288"/>
    </row>
    <row r="784" spans="1:3">
      <c r="A784" s="288"/>
      <c r="B784" s="288"/>
      <c r="C784" s="288"/>
    </row>
    <row r="785" spans="1:3">
      <c r="A785" s="288"/>
      <c r="B785" s="288"/>
      <c r="C785" s="288"/>
    </row>
    <row r="786" spans="1:3">
      <c r="A786" s="288"/>
      <c r="B786" s="288"/>
      <c r="C786" s="288"/>
    </row>
    <row r="787" spans="1:3">
      <c r="A787" s="288"/>
      <c r="B787" s="288"/>
      <c r="C787" s="288"/>
    </row>
    <row r="788" spans="1:3">
      <c r="A788" s="288"/>
      <c r="B788" s="288"/>
      <c r="C788" s="288"/>
    </row>
    <row r="789" spans="1:3">
      <c r="A789" s="288"/>
      <c r="B789" s="288"/>
      <c r="C789" s="288"/>
    </row>
    <row r="790" spans="1:3">
      <c r="A790" s="288"/>
      <c r="B790" s="288"/>
      <c r="C790" s="288"/>
    </row>
    <row r="791" spans="1:3">
      <c r="A791" s="288"/>
      <c r="B791" s="288"/>
      <c r="C791" s="288"/>
    </row>
    <row r="792" spans="1:3">
      <c r="A792" s="288"/>
      <c r="B792" s="288"/>
      <c r="C792" s="288"/>
    </row>
    <row r="793" spans="1:3">
      <c r="A793" s="288"/>
      <c r="B793" s="288"/>
      <c r="C793" s="288"/>
    </row>
    <row r="794" spans="1:3">
      <c r="A794" s="288"/>
      <c r="B794" s="288"/>
      <c r="C794" s="288"/>
    </row>
    <row r="795" spans="1:3">
      <c r="A795" s="288"/>
      <c r="B795" s="288"/>
      <c r="C795" s="288"/>
    </row>
    <row r="796" spans="1:3">
      <c r="A796" s="288"/>
      <c r="B796" s="288"/>
      <c r="C796" s="288"/>
    </row>
    <row r="797" spans="1:3">
      <c r="A797" s="288"/>
      <c r="B797" s="288"/>
      <c r="C797" s="288"/>
    </row>
    <row r="798" spans="1:3">
      <c r="A798" s="288"/>
      <c r="B798" s="288"/>
      <c r="C798" s="288"/>
    </row>
    <row r="799" spans="1:3">
      <c r="A799" s="288"/>
      <c r="B799" s="288"/>
      <c r="C799" s="288"/>
    </row>
    <row r="800" spans="1:3">
      <c r="A800" s="288"/>
      <c r="B800" s="288"/>
      <c r="C800" s="288"/>
    </row>
    <row r="801" spans="1:3">
      <c r="A801" s="288"/>
      <c r="B801" s="288"/>
      <c r="C801" s="288"/>
    </row>
    <row r="802" spans="1:3">
      <c r="A802" s="288"/>
      <c r="B802" s="288"/>
      <c r="C802" s="288"/>
    </row>
    <row r="803" spans="1:3">
      <c r="A803" s="288"/>
      <c r="B803" s="288"/>
      <c r="C803" s="288"/>
    </row>
    <row r="804" spans="1:3">
      <c r="A804" s="288"/>
      <c r="B804" s="288"/>
      <c r="C804" s="288"/>
    </row>
    <row r="805" spans="1:3">
      <c r="A805" s="288"/>
      <c r="B805" s="288"/>
      <c r="C805" s="288"/>
    </row>
    <row r="806" spans="1:3">
      <c r="A806" s="288"/>
      <c r="B806" s="288"/>
      <c r="C806" s="288"/>
    </row>
    <row r="807" spans="1:3">
      <c r="A807" s="288"/>
      <c r="B807" s="288"/>
      <c r="C807" s="288"/>
    </row>
    <row r="808" spans="1:3">
      <c r="A808" s="288"/>
      <c r="B808" s="288"/>
      <c r="C808" s="288"/>
    </row>
    <row r="809" spans="1:3">
      <c r="A809" s="288"/>
      <c r="B809" s="288"/>
      <c r="C809" s="288"/>
    </row>
    <row r="810" spans="1:3">
      <c r="A810" s="288"/>
      <c r="B810" s="288"/>
      <c r="C810" s="288"/>
    </row>
    <row r="811" spans="1:3">
      <c r="A811" s="288"/>
      <c r="B811" s="288"/>
      <c r="C811" s="288"/>
    </row>
    <row r="812" spans="1:3">
      <c r="A812" s="288"/>
      <c r="B812" s="288"/>
      <c r="C812" s="288"/>
    </row>
    <row r="813" spans="1:3">
      <c r="A813" s="288"/>
      <c r="B813" s="288"/>
      <c r="C813" s="288"/>
    </row>
    <row r="814" spans="1:3">
      <c r="A814" s="288"/>
      <c r="B814" s="288"/>
      <c r="C814" s="288"/>
    </row>
    <row r="815" spans="1:3">
      <c r="A815" s="288"/>
      <c r="B815" s="288"/>
      <c r="C815" s="288"/>
    </row>
    <row r="816" spans="1:3">
      <c r="A816" s="288"/>
      <c r="B816" s="288"/>
      <c r="C816" s="288"/>
    </row>
    <row r="817" spans="1:3">
      <c r="A817" s="288"/>
      <c r="B817" s="288"/>
      <c r="C817" s="288"/>
    </row>
    <row r="818" spans="1:3">
      <c r="A818" s="288"/>
      <c r="B818" s="288"/>
      <c r="C818" s="288"/>
    </row>
    <row r="819" spans="1:3">
      <c r="A819" s="288"/>
      <c r="B819" s="288"/>
      <c r="C819" s="288"/>
    </row>
    <row r="820" spans="1:3">
      <c r="A820" s="288"/>
      <c r="B820" s="288"/>
      <c r="C820" s="288"/>
    </row>
    <row r="821" spans="1:3">
      <c r="A821" s="288"/>
      <c r="B821" s="288"/>
      <c r="C821" s="288"/>
    </row>
    <row r="822" spans="1:3">
      <c r="A822" s="288"/>
      <c r="B822" s="288"/>
      <c r="C822" s="288"/>
    </row>
    <row r="823" spans="1:3">
      <c r="A823" s="288"/>
      <c r="B823" s="288"/>
      <c r="C823" s="288"/>
    </row>
    <row r="824" spans="1:3">
      <c r="A824" s="288"/>
      <c r="B824" s="288"/>
      <c r="C824" s="288"/>
    </row>
    <row r="825" spans="1:3">
      <c r="A825" s="288"/>
      <c r="B825" s="288"/>
      <c r="C825" s="288"/>
    </row>
    <row r="826" spans="1:3">
      <c r="A826" s="288"/>
      <c r="B826" s="288"/>
      <c r="C826" s="288"/>
    </row>
    <row r="827" spans="1:3">
      <c r="A827" s="288"/>
      <c r="B827" s="288"/>
      <c r="C827" s="288"/>
    </row>
    <row r="828" spans="1:3">
      <c r="A828" s="288"/>
      <c r="B828" s="288"/>
      <c r="C828" s="288"/>
    </row>
    <row r="829" spans="1:3">
      <c r="A829" s="288"/>
      <c r="B829" s="288"/>
      <c r="C829" s="288"/>
    </row>
    <row r="830" spans="1:3">
      <c r="A830" s="288"/>
      <c r="B830" s="288"/>
      <c r="C830" s="288"/>
    </row>
    <row r="831" spans="1:3">
      <c r="A831" s="288"/>
      <c r="B831" s="288"/>
      <c r="C831" s="288"/>
    </row>
    <row r="832" spans="1:3">
      <c r="A832" s="288"/>
      <c r="B832" s="288"/>
      <c r="C832" s="288"/>
    </row>
    <row r="833" spans="1:3">
      <c r="A833" s="288"/>
      <c r="B833" s="288"/>
      <c r="C833" s="288"/>
    </row>
    <row r="834" spans="1:3">
      <c r="A834" s="288"/>
      <c r="B834" s="288"/>
      <c r="C834" s="288"/>
    </row>
    <row r="835" spans="1:3">
      <c r="A835" s="288"/>
      <c r="B835" s="288"/>
      <c r="C835" s="288"/>
    </row>
    <row r="836" spans="1:3">
      <c r="A836" s="288"/>
      <c r="B836" s="288"/>
      <c r="C836" s="288"/>
    </row>
    <row r="837" spans="1:3">
      <c r="A837" s="288"/>
      <c r="B837" s="288"/>
      <c r="C837" s="288"/>
    </row>
    <row r="838" spans="1:3">
      <c r="A838" s="288"/>
      <c r="B838" s="288"/>
      <c r="C838" s="288"/>
    </row>
    <row r="839" spans="1:3">
      <c r="A839" s="288"/>
      <c r="B839" s="288"/>
      <c r="C839" s="288"/>
    </row>
    <row r="840" spans="1:3">
      <c r="A840" s="288"/>
      <c r="B840" s="288"/>
      <c r="C840" s="288"/>
    </row>
    <row r="841" spans="1:3">
      <c r="A841" s="288"/>
      <c r="B841" s="288"/>
      <c r="C841" s="288"/>
    </row>
    <row r="842" spans="1:3">
      <c r="A842" s="288"/>
      <c r="B842" s="288"/>
      <c r="C842" s="288"/>
    </row>
    <row r="843" spans="1:3">
      <c r="A843" s="288"/>
      <c r="B843" s="288"/>
      <c r="C843" s="288"/>
    </row>
    <row r="844" spans="1:3">
      <c r="A844" s="288"/>
      <c r="B844" s="288"/>
      <c r="C844" s="288"/>
    </row>
    <row r="845" spans="1:3">
      <c r="A845" s="288"/>
      <c r="B845" s="288"/>
      <c r="C845" s="288"/>
    </row>
    <row r="846" spans="1:3">
      <c r="A846" s="288"/>
      <c r="B846" s="288"/>
      <c r="C846" s="288"/>
    </row>
    <row r="847" spans="1:3">
      <c r="A847" s="288"/>
      <c r="B847" s="288"/>
      <c r="C847" s="288"/>
    </row>
    <row r="848" spans="1:3">
      <c r="A848" s="288"/>
      <c r="B848" s="288"/>
      <c r="C848" s="288"/>
    </row>
    <row r="849" spans="1:3">
      <c r="A849" s="288"/>
      <c r="B849" s="288"/>
      <c r="C849" s="288"/>
    </row>
    <row r="850" spans="1:3">
      <c r="A850" s="288"/>
      <c r="B850" s="288"/>
      <c r="C850" s="288"/>
    </row>
    <row r="851" spans="1:3">
      <c r="A851" s="288"/>
      <c r="B851" s="288"/>
      <c r="C851" s="288"/>
    </row>
    <row r="852" spans="1:3">
      <c r="A852" s="288"/>
      <c r="B852" s="288"/>
      <c r="C852" s="288"/>
    </row>
    <row r="853" spans="1:3">
      <c r="A853" s="288"/>
      <c r="B853" s="288"/>
      <c r="C853" s="288"/>
    </row>
    <row r="854" spans="1:3">
      <c r="A854" s="288"/>
      <c r="B854" s="288"/>
      <c r="C854" s="288"/>
    </row>
    <row r="855" spans="1:3">
      <c r="A855" s="288"/>
      <c r="B855" s="288"/>
      <c r="C855" s="288"/>
    </row>
    <row r="856" spans="1:3">
      <c r="A856" s="288"/>
      <c r="B856" s="288"/>
      <c r="C856" s="288"/>
    </row>
    <row r="857" spans="1:3">
      <c r="A857" s="288"/>
      <c r="B857" s="288"/>
      <c r="C857" s="288"/>
    </row>
    <row r="858" spans="1:3">
      <c r="A858" s="288"/>
      <c r="B858" s="288"/>
      <c r="C858" s="288"/>
    </row>
    <row r="859" spans="1:3">
      <c r="A859" s="288"/>
      <c r="B859" s="288"/>
      <c r="C859" s="288"/>
    </row>
    <row r="860" spans="1:3">
      <c r="A860" s="288"/>
      <c r="B860" s="288"/>
      <c r="C860" s="288"/>
    </row>
    <row r="861" spans="1:3">
      <c r="A861" s="288"/>
      <c r="B861" s="288"/>
      <c r="C861" s="288"/>
    </row>
    <row r="862" spans="1:3">
      <c r="A862" s="288"/>
      <c r="B862" s="288"/>
      <c r="C862" s="288"/>
    </row>
    <row r="863" spans="1:3">
      <c r="A863" s="288"/>
      <c r="B863" s="288"/>
      <c r="C863" s="288"/>
    </row>
    <row r="864" spans="1:3">
      <c r="A864" s="288"/>
      <c r="B864" s="288"/>
      <c r="C864" s="288"/>
    </row>
    <row r="865" spans="1:3">
      <c r="A865" s="288"/>
      <c r="B865" s="288"/>
      <c r="C865" s="288"/>
    </row>
    <row r="866" spans="1:3">
      <c r="A866" s="288"/>
      <c r="B866" s="288"/>
      <c r="C866" s="288"/>
    </row>
    <row r="867" spans="1:3">
      <c r="A867" s="288"/>
      <c r="B867" s="288"/>
      <c r="C867" s="288"/>
    </row>
    <row r="868" spans="1:3">
      <c r="A868" s="288"/>
      <c r="B868" s="288"/>
      <c r="C868" s="288"/>
    </row>
    <row r="869" spans="1:3">
      <c r="A869" s="288"/>
      <c r="B869" s="288"/>
      <c r="C869" s="288"/>
    </row>
    <row r="870" spans="1:3">
      <c r="A870" s="288"/>
      <c r="B870" s="288"/>
      <c r="C870" s="288"/>
    </row>
    <row r="871" spans="1:3">
      <c r="A871" s="288"/>
      <c r="B871" s="288"/>
      <c r="C871" s="288"/>
    </row>
    <row r="872" spans="1:3">
      <c r="A872" s="288"/>
      <c r="B872" s="288"/>
      <c r="C872" s="288"/>
    </row>
    <row r="873" spans="1:3">
      <c r="A873" s="288"/>
      <c r="B873" s="288"/>
      <c r="C873" s="288"/>
    </row>
    <row r="874" spans="1:3">
      <c r="A874" s="288"/>
      <c r="B874" s="288"/>
      <c r="C874" s="288"/>
    </row>
    <row r="875" spans="1:3">
      <c r="A875" s="288"/>
      <c r="B875" s="288"/>
      <c r="C875" s="288"/>
    </row>
    <row r="876" spans="1:3">
      <c r="A876" s="288"/>
      <c r="B876" s="288"/>
      <c r="C876" s="288"/>
    </row>
    <row r="877" spans="1:3">
      <c r="A877" s="288"/>
      <c r="B877" s="288"/>
      <c r="C877" s="288"/>
    </row>
    <row r="878" spans="1:3">
      <c r="A878" s="288"/>
      <c r="B878" s="288"/>
      <c r="C878" s="288"/>
    </row>
    <row r="879" spans="1:3">
      <c r="A879" s="288"/>
      <c r="B879" s="288"/>
      <c r="C879" s="288"/>
    </row>
    <row r="880" spans="1:3">
      <c r="A880" s="288"/>
      <c r="B880" s="288"/>
      <c r="C880" s="288"/>
    </row>
    <row r="881" spans="1:3">
      <c r="A881" s="288"/>
      <c r="B881" s="288"/>
      <c r="C881" s="288"/>
    </row>
    <row r="882" spans="1:3">
      <c r="A882" s="288"/>
      <c r="B882" s="288"/>
      <c r="C882" s="288"/>
    </row>
    <row r="883" spans="1:3">
      <c r="A883" s="288"/>
      <c r="B883" s="288"/>
      <c r="C883" s="288"/>
    </row>
    <row r="884" spans="1:3">
      <c r="A884" s="288"/>
      <c r="B884" s="288"/>
      <c r="C884" s="288"/>
    </row>
    <row r="885" spans="1:3">
      <c r="A885" s="288"/>
      <c r="B885" s="288"/>
      <c r="C885" s="288"/>
    </row>
    <row r="886" spans="1:3">
      <c r="A886" s="288"/>
      <c r="B886" s="288"/>
      <c r="C886" s="288"/>
    </row>
    <row r="887" spans="1:3">
      <c r="A887" s="288"/>
      <c r="B887" s="288"/>
      <c r="C887" s="288"/>
    </row>
    <row r="888" spans="1:3">
      <c r="A888" s="288"/>
      <c r="B888" s="288"/>
      <c r="C888" s="288"/>
    </row>
    <row r="889" spans="1:3">
      <c r="A889" s="288"/>
      <c r="B889" s="288"/>
      <c r="C889" s="288"/>
    </row>
    <row r="890" spans="1:3">
      <c r="A890" s="288"/>
      <c r="B890" s="288"/>
      <c r="C890" s="288"/>
    </row>
    <row r="891" spans="1:3">
      <c r="A891" s="288"/>
      <c r="B891" s="288"/>
      <c r="C891" s="288"/>
    </row>
    <row r="892" spans="1:3">
      <c r="A892" s="288"/>
      <c r="B892" s="288"/>
      <c r="C892" s="288"/>
    </row>
    <row r="893" spans="1:3">
      <c r="A893" s="288"/>
      <c r="B893" s="288"/>
      <c r="C893" s="288"/>
    </row>
    <row r="894" spans="1:3">
      <c r="A894" s="288"/>
      <c r="B894" s="288"/>
      <c r="C894" s="288"/>
    </row>
    <row r="895" spans="1:3">
      <c r="A895" s="288"/>
      <c r="B895" s="288"/>
      <c r="C895" s="288"/>
    </row>
    <row r="896" spans="1:3">
      <c r="A896" s="288"/>
      <c r="B896" s="288"/>
      <c r="C896" s="288"/>
    </row>
    <row r="897" spans="1:3">
      <c r="A897" s="288"/>
      <c r="B897" s="288"/>
      <c r="C897" s="288"/>
    </row>
    <row r="898" spans="1:3">
      <c r="A898" s="288"/>
      <c r="B898" s="288"/>
      <c r="C898" s="288"/>
    </row>
    <row r="899" spans="1:3">
      <c r="A899" s="288"/>
      <c r="B899" s="288"/>
      <c r="C899" s="288"/>
    </row>
    <row r="900" spans="1:3">
      <c r="A900" s="288"/>
      <c r="B900" s="288"/>
      <c r="C900" s="288"/>
    </row>
    <row r="901" spans="1:3">
      <c r="A901" s="288"/>
      <c r="B901" s="288"/>
      <c r="C901" s="288"/>
    </row>
    <row r="902" spans="1:3">
      <c r="A902" s="288"/>
      <c r="B902" s="288"/>
      <c r="C902" s="288"/>
    </row>
    <row r="903" spans="1:3">
      <c r="A903" s="288"/>
      <c r="B903" s="288"/>
      <c r="C903" s="288"/>
    </row>
    <row r="904" spans="1:3">
      <c r="A904" s="288"/>
      <c r="B904" s="288"/>
      <c r="C904" s="288"/>
    </row>
    <row r="905" spans="1:3">
      <c r="A905" s="288"/>
      <c r="B905" s="288"/>
      <c r="C905" s="288"/>
    </row>
    <row r="906" spans="1:3">
      <c r="A906" s="288"/>
      <c r="B906" s="288"/>
      <c r="C906" s="288"/>
    </row>
    <row r="907" spans="1:3">
      <c r="A907" s="288"/>
      <c r="B907" s="288"/>
      <c r="C907" s="288"/>
    </row>
    <row r="908" spans="1:3">
      <c r="A908" s="288"/>
      <c r="B908" s="288"/>
      <c r="C908" s="288"/>
    </row>
    <row r="909" spans="1:3">
      <c r="A909" s="288"/>
      <c r="B909" s="288"/>
      <c r="C909" s="288"/>
    </row>
    <row r="910" spans="1:3">
      <c r="A910" s="288"/>
      <c r="B910" s="288"/>
      <c r="C910" s="288"/>
    </row>
    <row r="911" spans="1:3">
      <c r="A911" s="288"/>
      <c r="B911" s="288"/>
      <c r="C911" s="288"/>
    </row>
    <row r="912" spans="1:3">
      <c r="A912" s="288"/>
      <c r="B912" s="288"/>
      <c r="C912" s="288"/>
    </row>
    <row r="913" spans="1:3">
      <c r="A913" s="288"/>
      <c r="B913" s="288"/>
      <c r="C913" s="288"/>
    </row>
    <row r="914" spans="1:3">
      <c r="A914" s="288"/>
      <c r="B914" s="288"/>
      <c r="C914" s="288"/>
    </row>
    <row r="915" spans="1:3">
      <c r="A915" s="288"/>
      <c r="B915" s="288"/>
      <c r="C915" s="288"/>
    </row>
    <row r="916" spans="1:3">
      <c r="A916" s="288"/>
      <c r="B916" s="288"/>
      <c r="C916" s="288"/>
    </row>
    <row r="917" spans="1:3">
      <c r="A917" s="288"/>
      <c r="B917" s="288"/>
      <c r="C917" s="288"/>
    </row>
    <row r="918" spans="1:3">
      <c r="A918" s="288"/>
      <c r="B918" s="288"/>
      <c r="C918" s="288"/>
    </row>
    <row r="919" spans="1:3">
      <c r="A919" s="288"/>
      <c r="B919" s="288"/>
      <c r="C919" s="288"/>
    </row>
    <row r="920" spans="1:3">
      <c r="A920" s="288"/>
      <c r="B920" s="288"/>
      <c r="C920" s="288"/>
    </row>
    <row r="921" spans="1:3">
      <c r="A921" s="288"/>
      <c r="B921" s="288"/>
      <c r="C921" s="288"/>
    </row>
    <row r="922" spans="1:3">
      <c r="A922" s="288"/>
      <c r="B922" s="288"/>
      <c r="C922" s="288"/>
    </row>
    <row r="923" spans="1:3">
      <c r="A923" s="288"/>
      <c r="B923" s="288"/>
      <c r="C923" s="288"/>
    </row>
    <row r="924" spans="1:3">
      <c r="A924" s="288"/>
      <c r="B924" s="288"/>
      <c r="C924" s="288"/>
    </row>
    <row r="925" spans="1:3">
      <c r="A925" s="288"/>
      <c r="B925" s="288"/>
      <c r="C925" s="288"/>
    </row>
    <row r="926" spans="1:3">
      <c r="A926" s="288"/>
      <c r="B926" s="288"/>
      <c r="C926" s="288"/>
    </row>
    <row r="927" spans="1:3">
      <c r="A927" s="288"/>
      <c r="B927" s="288"/>
      <c r="C927" s="288"/>
    </row>
    <row r="928" spans="1:3">
      <c r="A928" s="288"/>
      <c r="B928" s="288"/>
      <c r="C928" s="288"/>
    </row>
    <row r="929" spans="1:3">
      <c r="A929" s="288"/>
      <c r="B929" s="288"/>
      <c r="C929" s="288"/>
    </row>
    <row r="930" spans="1:3">
      <c r="A930" s="288"/>
      <c r="B930" s="288"/>
      <c r="C930" s="288"/>
    </row>
    <row r="931" spans="1:3">
      <c r="A931" s="288"/>
      <c r="B931" s="288"/>
      <c r="C931" s="288"/>
    </row>
    <row r="932" spans="1:3">
      <c r="A932" s="288"/>
      <c r="B932" s="288"/>
      <c r="C932" s="288"/>
    </row>
    <row r="933" spans="1:3">
      <c r="A933" s="288"/>
      <c r="B933" s="288"/>
      <c r="C933" s="288"/>
    </row>
    <row r="934" spans="1:3">
      <c r="A934" s="288"/>
      <c r="B934" s="288"/>
      <c r="C934" s="288"/>
    </row>
    <row r="935" spans="1:3">
      <c r="A935" s="288"/>
      <c r="B935" s="288"/>
      <c r="C935" s="288"/>
    </row>
    <row r="936" spans="1:3">
      <c r="A936" s="288"/>
      <c r="B936" s="288"/>
      <c r="C936" s="288"/>
    </row>
    <row r="937" spans="1:3">
      <c r="A937" s="288"/>
      <c r="B937" s="288"/>
      <c r="C937" s="288"/>
    </row>
    <row r="938" spans="1:3">
      <c r="A938" s="288"/>
      <c r="B938" s="288"/>
      <c r="C938" s="288"/>
    </row>
    <row r="939" spans="1:3">
      <c r="A939" s="288"/>
      <c r="B939" s="288"/>
      <c r="C939" s="288"/>
    </row>
    <row r="940" spans="1:3">
      <c r="A940" s="288"/>
      <c r="B940" s="288"/>
      <c r="C940" s="288"/>
    </row>
    <row r="941" spans="1:3">
      <c r="A941" s="288"/>
      <c r="B941" s="288"/>
      <c r="C941" s="288"/>
    </row>
    <row r="942" spans="1:3">
      <c r="A942" s="288"/>
      <c r="B942" s="288"/>
      <c r="C942" s="288"/>
    </row>
    <row r="943" spans="1:3">
      <c r="A943" s="288"/>
      <c r="B943" s="288"/>
      <c r="C943" s="288"/>
    </row>
    <row r="944" spans="1:3">
      <c r="A944" s="288"/>
      <c r="B944" s="288"/>
      <c r="C944" s="288"/>
    </row>
    <row r="945" spans="1:3">
      <c r="A945" s="288"/>
      <c r="B945" s="288"/>
      <c r="C945" s="288"/>
    </row>
    <row r="946" spans="1:3">
      <c r="A946" s="288"/>
      <c r="B946" s="288"/>
      <c r="C946" s="288"/>
    </row>
    <row r="947" spans="1:3">
      <c r="A947" s="288"/>
      <c r="B947" s="288"/>
      <c r="C947" s="288"/>
    </row>
    <row r="948" spans="1:3">
      <c r="A948" s="288"/>
      <c r="B948" s="288"/>
      <c r="C948" s="288"/>
    </row>
    <row r="949" spans="1:3">
      <c r="A949" s="288"/>
      <c r="B949" s="288"/>
      <c r="C949" s="288"/>
    </row>
    <row r="950" spans="1:3">
      <c r="A950" s="288"/>
      <c r="B950" s="288"/>
      <c r="C950" s="288"/>
    </row>
    <row r="951" spans="1:3">
      <c r="A951" s="288"/>
      <c r="B951" s="288"/>
      <c r="C951" s="288"/>
    </row>
    <row r="952" spans="1:3">
      <c r="A952" s="288"/>
      <c r="B952" s="288"/>
      <c r="C952" s="288"/>
    </row>
    <row r="953" spans="1:3">
      <c r="A953" s="288"/>
      <c r="B953" s="288"/>
      <c r="C953" s="288"/>
    </row>
    <row r="954" spans="1:3">
      <c r="A954" s="288"/>
      <c r="B954" s="288"/>
      <c r="C954" s="288"/>
    </row>
    <row r="955" spans="1:3">
      <c r="A955" s="288"/>
      <c r="B955" s="288"/>
      <c r="C955" s="288"/>
    </row>
    <row r="956" spans="1:3">
      <c r="A956" s="288"/>
      <c r="B956" s="288"/>
      <c r="C956" s="288"/>
    </row>
    <row r="957" spans="1:3">
      <c r="A957" s="288"/>
      <c r="B957" s="288"/>
      <c r="C957" s="288"/>
    </row>
    <row r="958" spans="1:3">
      <c r="A958" s="288"/>
      <c r="B958" s="288"/>
      <c r="C958" s="288"/>
    </row>
    <row r="959" spans="1:3">
      <c r="A959" s="288"/>
      <c r="B959" s="288"/>
      <c r="C959" s="288"/>
    </row>
    <row r="960" spans="1:3">
      <c r="A960" s="288"/>
      <c r="B960" s="288"/>
      <c r="C960" s="288"/>
    </row>
    <row r="961" spans="1:3">
      <c r="A961" s="288"/>
      <c r="B961" s="288"/>
      <c r="C961" s="288"/>
    </row>
    <row r="962" spans="1:3">
      <c r="A962" s="288"/>
      <c r="B962" s="288"/>
      <c r="C962" s="288"/>
    </row>
    <row r="963" spans="1:3">
      <c r="A963" s="288"/>
      <c r="B963" s="288"/>
      <c r="C963" s="288"/>
    </row>
    <row r="964" spans="1:3">
      <c r="A964" s="288"/>
      <c r="B964" s="288"/>
      <c r="C964" s="288"/>
    </row>
    <row r="965" spans="1:3">
      <c r="A965" s="288"/>
      <c r="B965" s="288"/>
      <c r="C965" s="288"/>
    </row>
    <row r="966" spans="1:3">
      <c r="A966" s="288"/>
      <c r="B966" s="288"/>
      <c r="C966" s="288"/>
    </row>
    <row r="967" spans="1:3">
      <c r="A967" s="288"/>
      <c r="B967" s="288"/>
      <c r="C967" s="288"/>
    </row>
    <row r="968" spans="1:3">
      <c r="A968" s="288"/>
      <c r="B968" s="288"/>
      <c r="C968" s="288"/>
    </row>
    <row r="969" spans="1:3">
      <c r="A969" s="288"/>
      <c r="B969" s="288"/>
      <c r="C969" s="288"/>
    </row>
    <row r="970" spans="1:3">
      <c r="A970" s="288"/>
      <c r="B970" s="288"/>
      <c r="C970" s="288"/>
    </row>
    <row r="971" spans="1:3">
      <c r="A971" s="288"/>
      <c r="B971" s="288"/>
      <c r="C971" s="288"/>
    </row>
    <row r="972" spans="1:3">
      <c r="A972" s="288"/>
      <c r="B972" s="288"/>
      <c r="C972" s="288"/>
    </row>
    <row r="973" spans="1:3">
      <c r="A973" s="288"/>
      <c r="B973" s="288"/>
      <c r="C973" s="288"/>
    </row>
    <row r="974" spans="1:3">
      <c r="A974" s="288"/>
      <c r="B974" s="288"/>
      <c r="C974" s="288"/>
    </row>
    <row r="975" spans="1:3">
      <c r="A975" s="288"/>
      <c r="B975" s="288"/>
      <c r="C975" s="288"/>
    </row>
    <row r="976" spans="1:3">
      <c r="A976" s="288"/>
      <c r="B976" s="288"/>
      <c r="C976" s="288"/>
    </row>
    <row r="977" spans="1:3">
      <c r="A977" s="288"/>
      <c r="B977" s="288"/>
      <c r="C977" s="288"/>
    </row>
    <row r="978" spans="1:3">
      <c r="A978" s="288"/>
      <c r="B978" s="288"/>
      <c r="C978" s="288"/>
    </row>
    <row r="979" spans="1:3">
      <c r="A979" s="288"/>
      <c r="B979" s="288"/>
      <c r="C979" s="288"/>
    </row>
    <row r="980" spans="1:3">
      <c r="A980" s="288"/>
      <c r="B980" s="288"/>
      <c r="C980" s="288"/>
    </row>
    <row r="981" spans="1:3">
      <c r="A981" s="288"/>
      <c r="B981" s="288"/>
      <c r="C981" s="288"/>
    </row>
    <row r="982" spans="1:3">
      <c r="A982" s="288"/>
      <c r="B982" s="288"/>
      <c r="C982" s="288"/>
    </row>
    <row r="983" spans="1:3">
      <c r="A983" s="288"/>
      <c r="B983" s="288"/>
      <c r="C983" s="288"/>
    </row>
    <row r="984" spans="1:3">
      <c r="A984" s="288"/>
      <c r="B984" s="288"/>
      <c r="C984" s="288"/>
    </row>
    <row r="985" spans="1:3">
      <c r="A985" s="288"/>
      <c r="B985" s="288"/>
      <c r="C985" s="288"/>
    </row>
    <row r="986" spans="1:3">
      <c r="A986" s="288"/>
      <c r="B986" s="288"/>
      <c r="C986" s="288"/>
    </row>
    <row r="987" spans="1:3">
      <c r="A987" s="288"/>
      <c r="B987" s="288"/>
      <c r="C987" s="288"/>
    </row>
    <row r="988" spans="1:3">
      <c r="A988" s="288"/>
      <c r="B988" s="288"/>
      <c r="C988" s="288"/>
    </row>
    <row r="989" spans="1:3">
      <c r="A989" s="288"/>
      <c r="B989" s="288"/>
      <c r="C989" s="288"/>
    </row>
    <row r="990" spans="1:3">
      <c r="A990" s="288"/>
      <c r="B990" s="288"/>
      <c r="C990" s="288"/>
    </row>
    <row r="991" spans="1:3">
      <c r="A991" s="288"/>
      <c r="B991" s="288"/>
      <c r="C991" s="288"/>
    </row>
    <row r="992" spans="1:3">
      <c r="A992" s="288"/>
      <c r="B992" s="288"/>
      <c r="C992" s="288"/>
    </row>
    <row r="993" spans="1:3">
      <c r="A993" s="288"/>
      <c r="B993" s="288"/>
      <c r="C993" s="288"/>
    </row>
    <row r="994" spans="1:3">
      <c r="A994" s="288"/>
      <c r="B994" s="288"/>
      <c r="C994" s="288"/>
    </row>
    <row r="995" spans="1:3">
      <c r="A995" s="288"/>
      <c r="B995" s="288"/>
      <c r="C995" s="288"/>
    </row>
    <row r="996" spans="1:3">
      <c r="A996" s="288"/>
      <c r="B996" s="288"/>
      <c r="C996" s="288"/>
    </row>
    <row r="997" spans="1:3">
      <c r="A997" s="288"/>
      <c r="B997" s="288"/>
      <c r="C997" s="288"/>
    </row>
    <row r="998" spans="1:3">
      <c r="A998" s="288"/>
      <c r="B998" s="288"/>
      <c r="C998" s="288"/>
    </row>
    <row r="999" spans="1:3">
      <c r="A999" s="288"/>
      <c r="B999" s="288"/>
      <c r="C999" s="288"/>
    </row>
    <row r="1000" spans="1:3">
      <c r="A1000" s="288"/>
      <c r="B1000" s="288"/>
      <c r="C1000" s="288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E810"/>
  <sheetViews>
    <sheetView workbookViewId="0"/>
  </sheetViews>
  <sheetFormatPr defaultColWidth="11.25" defaultRowHeight="15" customHeight="1"/>
  <cols>
    <col min="2" max="2" width="16.25" customWidth="1"/>
    <col min="3" max="3" width="11.875" customWidth="1"/>
    <col min="4" max="4" width="10.875" customWidth="1"/>
    <col min="11" max="11" width="11.875" customWidth="1"/>
    <col min="16" max="16" width="48.25" customWidth="1"/>
    <col min="19" max="19" width="15.125" customWidth="1"/>
  </cols>
  <sheetData>
    <row r="1" spans="1:31" ht="45">
      <c r="A1" s="351" t="s">
        <v>0</v>
      </c>
      <c r="B1" s="351" t="s">
        <v>497</v>
      </c>
      <c r="C1" s="351" t="s">
        <v>901</v>
      </c>
      <c r="D1" s="351" t="s">
        <v>902</v>
      </c>
      <c r="E1" s="351" t="s">
        <v>903</v>
      </c>
      <c r="F1" s="351" t="s">
        <v>904</v>
      </c>
      <c r="G1" s="351" t="s">
        <v>832</v>
      </c>
      <c r="H1" s="351" t="s">
        <v>905</v>
      </c>
      <c r="I1" s="351" t="s">
        <v>906</v>
      </c>
      <c r="J1" s="351" t="s">
        <v>907</v>
      </c>
      <c r="K1" s="351" t="s">
        <v>908</v>
      </c>
      <c r="L1" s="351" t="s">
        <v>909</v>
      </c>
      <c r="M1" s="352" t="s">
        <v>910</v>
      </c>
      <c r="N1" s="353" t="s">
        <v>911</v>
      </c>
      <c r="O1" s="353" t="s">
        <v>912</v>
      </c>
      <c r="P1" s="351" t="s">
        <v>268</v>
      </c>
      <c r="Q1" s="351" t="s">
        <v>7</v>
      </c>
      <c r="R1" s="351" t="s">
        <v>912</v>
      </c>
      <c r="S1" s="354"/>
      <c r="T1" s="355"/>
      <c r="U1" s="356"/>
      <c r="V1" s="356"/>
      <c r="W1" s="356"/>
      <c r="X1" s="356"/>
      <c r="Y1" s="357"/>
      <c r="Z1" s="358"/>
      <c r="AA1" s="358"/>
      <c r="AB1" s="358"/>
      <c r="AC1" s="358"/>
      <c r="AD1" s="358"/>
      <c r="AE1" s="358"/>
    </row>
    <row r="2" spans="1:31" ht="15.75">
      <c r="A2" s="359" t="s">
        <v>913</v>
      </c>
      <c r="B2" s="360" t="s">
        <v>914</v>
      </c>
      <c r="C2" s="361">
        <v>45414.554166666669</v>
      </c>
      <c r="D2" s="360">
        <v>20</v>
      </c>
      <c r="E2" s="360">
        <v>9.7586000000000006E-2</v>
      </c>
      <c r="F2" s="360" t="s">
        <v>915</v>
      </c>
      <c r="G2" s="360">
        <v>22.5</v>
      </c>
      <c r="H2" s="360">
        <v>1298.49</v>
      </c>
      <c r="I2" s="360">
        <v>0.99990199999999996</v>
      </c>
      <c r="J2" s="360">
        <v>0.428178</v>
      </c>
      <c r="K2" s="360">
        <v>2089.1999999999998</v>
      </c>
      <c r="L2" s="360"/>
      <c r="M2" s="362" t="s">
        <v>230</v>
      </c>
      <c r="N2" s="362" t="s">
        <v>230</v>
      </c>
      <c r="O2" s="363" t="s">
        <v>13</v>
      </c>
      <c r="P2" s="360"/>
      <c r="Q2" s="364" t="s">
        <v>582</v>
      </c>
      <c r="R2" s="364"/>
      <c r="S2" s="365"/>
      <c r="T2" s="365"/>
      <c r="U2" s="366"/>
      <c r="V2" s="366"/>
      <c r="W2" s="366"/>
      <c r="X2" s="366"/>
      <c r="Y2" s="367"/>
      <c r="Z2" s="23"/>
      <c r="AA2" s="23"/>
      <c r="AB2" s="23"/>
      <c r="AC2" s="23"/>
      <c r="AD2" s="23"/>
      <c r="AE2" s="23"/>
    </row>
    <row r="3" spans="1:31" ht="15.75">
      <c r="A3" s="359" t="s">
        <v>916</v>
      </c>
      <c r="B3" s="360" t="s">
        <v>914</v>
      </c>
      <c r="C3" s="361">
        <v>45414.563888888886</v>
      </c>
      <c r="D3" s="360">
        <v>20</v>
      </c>
      <c r="E3" s="360">
        <v>9.7586000000000006E-2</v>
      </c>
      <c r="F3" s="360" t="s">
        <v>915</v>
      </c>
      <c r="G3" s="360">
        <v>22.5</v>
      </c>
      <c r="H3" s="360">
        <v>1295.105</v>
      </c>
      <c r="I3" s="360">
        <v>0.99839699999999998</v>
      </c>
      <c r="J3" s="360">
        <v>0.43632700000000002</v>
      </c>
      <c r="K3" s="360">
        <v>2129</v>
      </c>
      <c r="L3" s="360">
        <v>28.114799999999999</v>
      </c>
      <c r="M3" s="362" t="s">
        <v>230</v>
      </c>
      <c r="N3" s="362" t="s">
        <v>230</v>
      </c>
      <c r="O3" s="363" t="s">
        <v>13</v>
      </c>
      <c r="P3" s="360"/>
      <c r="Q3" s="364" t="s">
        <v>582</v>
      </c>
      <c r="R3" s="364"/>
      <c r="S3" s="365"/>
      <c r="T3" s="365"/>
      <c r="U3" s="366"/>
      <c r="V3" s="366"/>
      <c r="W3" s="366"/>
      <c r="X3" s="366"/>
      <c r="Y3" s="367"/>
      <c r="Z3" s="23"/>
      <c r="AA3" s="23"/>
      <c r="AB3" s="23"/>
      <c r="AC3" s="23"/>
      <c r="AD3" s="23"/>
      <c r="AE3" s="23"/>
    </row>
    <row r="4" spans="1:31" ht="15.75">
      <c r="A4" s="359" t="s">
        <v>917</v>
      </c>
      <c r="B4" s="360" t="s">
        <v>914</v>
      </c>
      <c r="C4" s="361">
        <v>45414.575694444444</v>
      </c>
      <c r="D4" s="360">
        <v>20</v>
      </c>
      <c r="E4" s="360">
        <v>9.7586000000000006E-2</v>
      </c>
      <c r="F4" s="360" t="s">
        <v>915</v>
      </c>
      <c r="G4" s="360">
        <v>22.5</v>
      </c>
      <c r="H4" s="360">
        <v>0</v>
      </c>
      <c r="I4" s="360">
        <v>0</v>
      </c>
      <c r="J4" s="360">
        <v>0</v>
      </c>
      <c r="K4" s="360">
        <v>0</v>
      </c>
      <c r="L4" s="360" t="s">
        <v>918</v>
      </c>
      <c r="M4" s="362" t="s">
        <v>230</v>
      </c>
      <c r="N4" s="362" t="s">
        <v>230</v>
      </c>
      <c r="O4" s="363" t="s">
        <v>13</v>
      </c>
      <c r="P4" s="360"/>
      <c r="Q4" s="364" t="s">
        <v>582</v>
      </c>
      <c r="R4" s="364"/>
      <c r="S4" s="365"/>
      <c r="T4" s="365"/>
      <c r="U4" s="366"/>
      <c r="V4" s="366"/>
      <c r="W4" s="366"/>
      <c r="X4" s="366"/>
      <c r="Y4" s="367"/>
      <c r="Z4" s="23"/>
      <c r="AA4" s="23"/>
      <c r="AB4" s="23"/>
      <c r="AC4" s="23"/>
      <c r="AD4" s="23"/>
      <c r="AE4" s="23"/>
    </row>
    <row r="5" spans="1:31" ht="15.75">
      <c r="A5" s="359" t="s">
        <v>919</v>
      </c>
      <c r="B5" s="360" t="s">
        <v>914</v>
      </c>
      <c r="C5" s="361">
        <v>45414.57708333333</v>
      </c>
      <c r="D5" s="360">
        <v>20</v>
      </c>
      <c r="E5" s="360">
        <v>9.7586000000000006E-2</v>
      </c>
      <c r="F5" s="360" t="s">
        <v>915</v>
      </c>
      <c r="G5" s="360">
        <v>22.5</v>
      </c>
      <c r="H5" s="360">
        <v>1325.778</v>
      </c>
      <c r="I5" s="360">
        <v>0.99998500000000001</v>
      </c>
      <c r="J5" s="360">
        <v>0.42871700000000001</v>
      </c>
      <c r="K5" s="360">
        <v>2091.8000000000002</v>
      </c>
      <c r="L5" s="360"/>
      <c r="M5" s="362" t="s">
        <v>230</v>
      </c>
      <c r="N5" s="362" t="s">
        <v>230</v>
      </c>
      <c r="O5" s="363" t="s">
        <v>13</v>
      </c>
      <c r="P5" s="360"/>
      <c r="Q5" s="364" t="s">
        <v>582</v>
      </c>
      <c r="R5" s="364"/>
      <c r="S5" s="365"/>
      <c r="T5" s="365"/>
      <c r="U5" s="366"/>
      <c r="V5" s="366"/>
      <c r="W5" s="366"/>
      <c r="X5" s="366"/>
      <c r="Y5" s="367"/>
      <c r="Z5" s="23"/>
      <c r="AA5" s="23"/>
      <c r="AB5" s="23"/>
      <c r="AC5" s="23"/>
      <c r="AD5" s="23"/>
      <c r="AE5" s="23"/>
    </row>
    <row r="6" spans="1:31" ht="15.75">
      <c r="A6" s="359" t="s">
        <v>920</v>
      </c>
      <c r="B6" s="360" t="s">
        <v>914</v>
      </c>
      <c r="C6" s="361">
        <v>45414.588194444441</v>
      </c>
      <c r="D6" s="360">
        <v>20</v>
      </c>
      <c r="E6" s="360">
        <v>9.7586000000000006E-2</v>
      </c>
      <c r="F6" s="360" t="s">
        <v>915</v>
      </c>
      <c r="G6" s="360">
        <v>22.5</v>
      </c>
      <c r="H6" s="360">
        <v>1318.5070000000001</v>
      </c>
      <c r="I6" s="360">
        <v>0.99996099999999999</v>
      </c>
      <c r="J6" s="360">
        <v>0.428226</v>
      </c>
      <c r="K6" s="360">
        <v>2089.4</v>
      </c>
      <c r="L6" s="360">
        <v>1.6921999999999999</v>
      </c>
      <c r="M6" s="362" t="s">
        <v>230</v>
      </c>
      <c r="N6" s="362" t="s">
        <v>230</v>
      </c>
      <c r="O6" s="363" t="s">
        <v>13</v>
      </c>
      <c r="P6" s="360"/>
      <c r="Q6" s="364" t="s">
        <v>582</v>
      </c>
      <c r="R6" s="364"/>
      <c r="S6" s="365"/>
      <c r="T6" s="365"/>
      <c r="U6" s="366"/>
      <c r="V6" s="366"/>
      <c r="W6" s="366"/>
      <c r="X6" s="366"/>
      <c r="Y6" s="367"/>
      <c r="Z6" s="23"/>
      <c r="AA6" s="23"/>
      <c r="AB6" s="23"/>
      <c r="AC6" s="23"/>
      <c r="AD6" s="23"/>
      <c r="AE6" s="23"/>
    </row>
    <row r="7" spans="1:31" ht="15.75">
      <c r="A7" s="359" t="s">
        <v>921</v>
      </c>
      <c r="B7" s="360" t="s">
        <v>914</v>
      </c>
      <c r="C7" s="361">
        <v>45414.595833333333</v>
      </c>
      <c r="D7" s="360">
        <v>20</v>
      </c>
      <c r="E7" s="360">
        <v>9.7586000000000006E-2</v>
      </c>
      <c r="F7" s="360" t="s">
        <v>915</v>
      </c>
      <c r="G7" s="360">
        <v>22.5</v>
      </c>
      <c r="H7" s="360">
        <v>1311.7760000000001</v>
      </c>
      <c r="I7" s="360">
        <v>0.99997999999999998</v>
      </c>
      <c r="J7" s="360">
        <v>0.427701</v>
      </c>
      <c r="K7" s="360">
        <v>2086.9</v>
      </c>
      <c r="L7" s="360">
        <v>1.8146</v>
      </c>
      <c r="M7" s="362" t="s">
        <v>230</v>
      </c>
      <c r="N7" s="362" t="s">
        <v>230</v>
      </c>
      <c r="O7" s="363" t="s">
        <v>13</v>
      </c>
      <c r="P7" s="360"/>
      <c r="Q7" s="364" t="s">
        <v>582</v>
      </c>
      <c r="R7" s="364"/>
      <c r="S7" s="365"/>
      <c r="T7" s="365"/>
      <c r="U7" s="366"/>
      <c r="V7" s="366"/>
      <c r="W7" s="366"/>
      <c r="X7" s="366"/>
      <c r="Y7" s="367"/>
      <c r="Z7" s="23"/>
      <c r="AA7" s="23"/>
      <c r="AB7" s="23"/>
      <c r="AC7" s="23"/>
      <c r="AD7" s="23"/>
      <c r="AE7" s="23"/>
    </row>
    <row r="8" spans="1:31" ht="15.75">
      <c r="A8" s="359" t="s">
        <v>922</v>
      </c>
      <c r="B8" s="360" t="s">
        <v>914</v>
      </c>
      <c r="C8" s="361">
        <v>45414.604861111111</v>
      </c>
      <c r="D8" s="360">
        <v>20</v>
      </c>
      <c r="E8" s="360">
        <v>9.7586000000000006E-2</v>
      </c>
      <c r="F8" s="360" t="s">
        <v>915</v>
      </c>
      <c r="G8" s="360">
        <v>22.5</v>
      </c>
      <c r="H8" s="360">
        <v>1319.74</v>
      </c>
      <c r="I8" s="360">
        <v>0.99994899999999998</v>
      </c>
      <c r="J8" s="360">
        <v>0.42843399999999998</v>
      </c>
      <c r="K8" s="360">
        <v>2090.5</v>
      </c>
      <c r="L8" s="360">
        <v>2.5314000000000001</v>
      </c>
      <c r="M8" s="362" t="s">
        <v>230</v>
      </c>
      <c r="N8" s="362" t="s">
        <v>230</v>
      </c>
      <c r="O8" s="363" t="s">
        <v>13</v>
      </c>
      <c r="P8" s="360"/>
      <c r="Q8" s="364" t="s">
        <v>582</v>
      </c>
      <c r="R8" s="364"/>
      <c r="S8" s="365"/>
      <c r="T8" s="365"/>
      <c r="U8" s="366"/>
      <c r="V8" s="366"/>
      <c r="W8" s="366"/>
      <c r="X8" s="366"/>
      <c r="Y8" s="367"/>
      <c r="Z8" s="23"/>
      <c r="AA8" s="23"/>
      <c r="AB8" s="23"/>
      <c r="AC8" s="23"/>
      <c r="AD8" s="23"/>
      <c r="AE8" s="23"/>
    </row>
    <row r="9" spans="1:31" ht="15.75">
      <c r="A9" s="359" t="s">
        <v>923</v>
      </c>
      <c r="B9" s="360" t="s">
        <v>914</v>
      </c>
      <c r="C9" s="361">
        <v>45414.611805555556</v>
      </c>
      <c r="D9" s="360">
        <v>20</v>
      </c>
      <c r="E9" s="360">
        <v>9.7586000000000006E-2</v>
      </c>
      <c r="F9" s="360" t="s">
        <v>915</v>
      </c>
      <c r="G9" s="360">
        <v>22.5</v>
      </c>
      <c r="H9" s="360">
        <v>1307.5899999999999</v>
      </c>
      <c r="I9" s="360">
        <v>0.99995999999999996</v>
      </c>
      <c r="J9" s="360">
        <v>0.42791200000000001</v>
      </c>
      <c r="K9" s="360">
        <v>2087.9</v>
      </c>
      <c r="L9" s="360">
        <v>1.8004</v>
      </c>
      <c r="M9" s="362" t="s">
        <v>230</v>
      </c>
      <c r="N9" s="362" t="s">
        <v>230</v>
      </c>
      <c r="O9" s="363" t="s">
        <v>13</v>
      </c>
      <c r="P9" s="360"/>
      <c r="Q9" s="364" t="s">
        <v>582</v>
      </c>
      <c r="R9" s="364"/>
      <c r="S9" s="365"/>
      <c r="T9" s="365"/>
      <c r="U9" s="366"/>
      <c r="V9" s="366"/>
      <c r="W9" s="366"/>
      <c r="X9" s="366"/>
      <c r="Y9" s="367"/>
      <c r="Z9" s="23"/>
      <c r="AA9" s="23"/>
      <c r="AB9" s="23"/>
      <c r="AC9" s="23"/>
      <c r="AD9" s="23"/>
      <c r="AE9" s="23"/>
    </row>
    <row r="10" spans="1:31" ht="15.75">
      <c r="A10" s="359" t="s">
        <v>924</v>
      </c>
      <c r="B10" s="360" t="s">
        <v>914</v>
      </c>
      <c r="C10" s="361">
        <v>45414.619444444441</v>
      </c>
      <c r="D10" s="360">
        <v>20</v>
      </c>
      <c r="E10" s="360">
        <v>9.7586000000000006E-2</v>
      </c>
      <c r="F10" s="360" t="s">
        <v>915</v>
      </c>
      <c r="G10" s="360">
        <v>22.5</v>
      </c>
      <c r="H10" s="360">
        <v>1313.144</v>
      </c>
      <c r="I10" s="360">
        <v>0.99994000000000005</v>
      </c>
      <c r="J10" s="360">
        <v>0.42825200000000002</v>
      </c>
      <c r="K10" s="360">
        <v>2089.6</v>
      </c>
      <c r="L10" s="360">
        <v>1.1709000000000001</v>
      </c>
      <c r="M10" s="362" t="s">
        <v>230</v>
      </c>
      <c r="N10" s="362" t="s">
        <v>230</v>
      </c>
      <c r="O10" s="363" t="s">
        <v>13</v>
      </c>
      <c r="P10" s="360"/>
      <c r="Q10" s="364" t="s">
        <v>582</v>
      </c>
      <c r="R10" s="364"/>
      <c r="S10" s="365"/>
      <c r="T10" s="365"/>
      <c r="U10" s="366"/>
      <c r="V10" s="366"/>
      <c r="W10" s="366"/>
      <c r="X10" s="366"/>
      <c r="Y10" s="367"/>
      <c r="Z10" s="23"/>
      <c r="AA10" s="23"/>
      <c r="AB10" s="23"/>
      <c r="AC10" s="23"/>
      <c r="AD10" s="23"/>
      <c r="AE10" s="23"/>
    </row>
    <row r="11" spans="1:31" ht="15.75">
      <c r="A11" s="368" t="s">
        <v>925</v>
      </c>
      <c r="B11" s="369" t="s">
        <v>926</v>
      </c>
      <c r="C11" s="370">
        <v>45414.631944444445</v>
      </c>
      <c r="D11" s="369">
        <v>20</v>
      </c>
      <c r="E11" s="369">
        <v>9.9612000000000006E-2</v>
      </c>
      <c r="F11" s="369">
        <v>1022.7</v>
      </c>
      <c r="G11" s="369">
        <v>22.5</v>
      </c>
      <c r="H11" s="369">
        <v>1099.5250000000001</v>
      </c>
      <c r="I11" s="369">
        <v>0.99980000000000002</v>
      </c>
      <c r="J11" s="369">
        <v>0.45248699999999997</v>
      </c>
      <c r="K11" s="369">
        <v>2253.6999999999998</v>
      </c>
      <c r="L11" s="369" t="s">
        <v>545</v>
      </c>
      <c r="M11" s="362" t="s">
        <v>230</v>
      </c>
      <c r="N11" s="362" t="s">
        <v>230</v>
      </c>
      <c r="O11" s="371" t="s">
        <v>13</v>
      </c>
      <c r="P11" s="369" t="s">
        <v>927</v>
      </c>
      <c r="Q11" s="364" t="s">
        <v>582</v>
      </c>
      <c r="R11" s="364"/>
      <c r="S11" s="365"/>
      <c r="T11" s="365"/>
      <c r="U11" s="366"/>
      <c r="V11" s="366"/>
      <c r="W11" s="366"/>
      <c r="X11" s="366"/>
      <c r="Y11" s="367"/>
      <c r="Z11" s="23"/>
      <c r="AA11" s="23"/>
      <c r="AB11" s="23"/>
      <c r="AC11" s="23"/>
      <c r="AD11" s="23"/>
      <c r="AE11" s="23"/>
    </row>
    <row r="12" spans="1:31" ht="15.75">
      <c r="A12" s="368" t="s">
        <v>928</v>
      </c>
      <c r="B12" s="369" t="s">
        <v>926</v>
      </c>
      <c r="C12" s="370">
        <v>45414.638194444444</v>
      </c>
      <c r="D12" s="369">
        <v>20</v>
      </c>
      <c r="E12" s="369">
        <v>9.9860000000000004E-2</v>
      </c>
      <c r="F12" s="369">
        <v>1022.7</v>
      </c>
      <c r="G12" s="369">
        <v>22.5</v>
      </c>
      <c r="H12" s="369">
        <v>1090.3699999999999</v>
      </c>
      <c r="I12" s="369">
        <v>0.99980599999999997</v>
      </c>
      <c r="J12" s="369">
        <v>0.45136599999999999</v>
      </c>
      <c r="K12" s="369">
        <v>2253.6999999999998</v>
      </c>
      <c r="L12" s="372">
        <v>5.9999999999999995E-4</v>
      </c>
      <c r="M12" s="362" t="s">
        <v>230</v>
      </c>
      <c r="N12" s="362" t="s">
        <v>230</v>
      </c>
      <c r="O12" s="371" t="s">
        <v>13</v>
      </c>
      <c r="P12" s="369" t="s">
        <v>927</v>
      </c>
      <c r="Q12" s="364" t="s">
        <v>582</v>
      </c>
      <c r="R12" s="364"/>
      <c r="S12" s="365"/>
      <c r="T12" s="365"/>
      <c r="U12" s="366"/>
      <c r="V12" s="366"/>
      <c r="W12" s="366"/>
      <c r="X12" s="366"/>
      <c r="Y12" s="367"/>
      <c r="Z12" s="23"/>
      <c r="AA12" s="23"/>
      <c r="AB12" s="23"/>
      <c r="AC12" s="23"/>
      <c r="AD12" s="23"/>
      <c r="AE12" s="23"/>
    </row>
    <row r="13" spans="1:31" ht="15.75">
      <c r="A13" s="368" t="s">
        <v>929</v>
      </c>
      <c r="B13" s="369" t="s">
        <v>926</v>
      </c>
      <c r="C13" s="370">
        <v>45414.644444444442</v>
      </c>
      <c r="D13" s="369">
        <v>20</v>
      </c>
      <c r="E13" s="369">
        <v>9.9777000000000005E-2</v>
      </c>
      <c r="F13" s="369">
        <v>1022.7</v>
      </c>
      <c r="G13" s="369">
        <v>22.5</v>
      </c>
      <c r="H13" s="369">
        <v>1098.96</v>
      </c>
      <c r="I13" s="369">
        <v>0.99972300000000003</v>
      </c>
      <c r="J13" s="369">
        <v>0.45173999999999997</v>
      </c>
      <c r="K13" s="369">
        <v>2253.6999999999998</v>
      </c>
      <c r="L13" s="372">
        <v>5.9999999999999995E-4</v>
      </c>
      <c r="M13" s="362" t="s">
        <v>230</v>
      </c>
      <c r="N13" s="362" t="s">
        <v>230</v>
      </c>
      <c r="O13" s="371" t="s">
        <v>13</v>
      </c>
      <c r="P13" s="369" t="s">
        <v>927</v>
      </c>
      <c r="Q13" s="364" t="s">
        <v>582</v>
      </c>
      <c r="R13" s="364"/>
      <c r="S13" s="365"/>
      <c r="T13" s="365"/>
      <c r="U13" s="366"/>
      <c r="V13" s="366"/>
      <c r="W13" s="366"/>
      <c r="X13" s="366"/>
      <c r="Y13" s="367"/>
      <c r="Z13" s="23"/>
      <c r="AA13" s="23"/>
      <c r="AB13" s="23"/>
      <c r="AC13" s="23"/>
      <c r="AD13" s="23"/>
      <c r="AE13" s="23"/>
    </row>
    <row r="14" spans="1:31" ht="15.75">
      <c r="A14" s="368" t="s">
        <v>930</v>
      </c>
      <c r="B14" s="369" t="s">
        <v>926</v>
      </c>
      <c r="C14" s="370">
        <v>45414.652083333334</v>
      </c>
      <c r="D14" s="369">
        <v>20</v>
      </c>
      <c r="E14" s="369">
        <v>9.9818000000000004E-2</v>
      </c>
      <c r="F14" s="369">
        <v>33.200000000000003</v>
      </c>
      <c r="G14" s="369">
        <v>22.5</v>
      </c>
      <c r="H14" s="369">
        <v>1094.4770000000001</v>
      </c>
      <c r="I14" s="369">
        <v>0.99981799999999998</v>
      </c>
      <c r="J14" s="369">
        <v>0.45192300000000002</v>
      </c>
      <c r="K14" s="369">
        <v>2255.5</v>
      </c>
      <c r="L14" s="373"/>
      <c r="M14" s="362">
        <f t="shared" ref="M14:M35" si="0">(999.842594+0.06793952*G14-0.00909529*G14^2+0.0001001685*G14^3-0.000001120083*G14^4+0.000000006536332*G14^5+(0.824493-0.0040899*G14+0.000076438*G14^2-0.00000082467*G14^3+0.0000000053875*G14^4)*F14+ (-0.00572466 + 0.00010227*G14 - 0.0000016546*G14^2)*F14^1.5 + 0.00048314*F14^2)/1000</f>
        <v>1.0227124503008802</v>
      </c>
      <c r="N14" s="374">
        <f t="shared" ref="N14:N35" si="1">K14/M14</f>
        <v>2205.4097408674706</v>
      </c>
      <c r="O14" s="375" t="s">
        <v>13</v>
      </c>
      <c r="P14" s="373"/>
      <c r="Q14" s="364" t="s">
        <v>12</v>
      </c>
      <c r="R14" s="364"/>
      <c r="S14" s="365"/>
      <c r="T14" s="365"/>
      <c r="U14" s="366"/>
      <c r="V14" s="366"/>
      <c r="W14" s="366"/>
      <c r="X14" s="366"/>
      <c r="Y14" s="367"/>
      <c r="Z14" s="23"/>
      <c r="AA14" s="23"/>
      <c r="AB14" s="23"/>
      <c r="AC14" s="23"/>
      <c r="AD14" s="23"/>
      <c r="AE14" s="23"/>
    </row>
    <row r="15" spans="1:31" ht="15.75">
      <c r="A15" s="359" t="s">
        <v>931</v>
      </c>
      <c r="B15" s="360">
        <v>40</v>
      </c>
      <c r="C15" s="361">
        <v>45414.660416666666</v>
      </c>
      <c r="D15" s="360">
        <v>20</v>
      </c>
      <c r="E15" s="360">
        <v>9.9818000000000004E-2</v>
      </c>
      <c r="F15" s="360">
        <v>36.200000000000003</v>
      </c>
      <c r="G15" s="360">
        <v>22.5</v>
      </c>
      <c r="H15" s="360">
        <v>1033.3389999999999</v>
      </c>
      <c r="I15" s="360">
        <v>0.99985100000000005</v>
      </c>
      <c r="J15" s="360">
        <v>0.48112100000000002</v>
      </c>
      <c r="K15" s="360">
        <v>2401.1999999999998</v>
      </c>
      <c r="L15" s="360"/>
      <c r="M15" s="362">
        <f t="shared" si="0"/>
        <v>1.0249895549003767</v>
      </c>
      <c r="N15" s="374">
        <f t="shared" si="1"/>
        <v>2342.6580188257462</v>
      </c>
      <c r="O15" s="363" t="s">
        <v>13</v>
      </c>
      <c r="P15" s="360"/>
      <c r="Q15" s="364" t="s">
        <v>12</v>
      </c>
      <c r="R15" s="364"/>
      <c r="S15" s="365"/>
      <c r="T15" s="365"/>
      <c r="U15" s="366"/>
      <c r="V15" s="366"/>
      <c r="W15" s="366"/>
      <c r="X15" s="366"/>
      <c r="Y15" s="367"/>
      <c r="Z15" s="23"/>
      <c r="AA15" s="23"/>
      <c r="AB15" s="23"/>
      <c r="AC15" s="23"/>
      <c r="AD15" s="23"/>
      <c r="AE15" s="23"/>
    </row>
    <row r="16" spans="1:31" ht="15.75">
      <c r="A16" s="359" t="s">
        <v>932</v>
      </c>
      <c r="B16" s="360">
        <v>41</v>
      </c>
      <c r="C16" s="361">
        <v>45414.667361111111</v>
      </c>
      <c r="D16" s="360">
        <v>20</v>
      </c>
      <c r="E16" s="360">
        <v>9.9818000000000004E-2</v>
      </c>
      <c r="F16" s="360">
        <v>37.200000000000003</v>
      </c>
      <c r="G16" s="360">
        <v>22.5</v>
      </c>
      <c r="H16" s="360">
        <v>1033.367</v>
      </c>
      <c r="I16" s="360">
        <v>0.99984700000000004</v>
      </c>
      <c r="J16" s="360">
        <v>0.48320999999999997</v>
      </c>
      <c r="K16" s="360">
        <v>2411.6999999999998</v>
      </c>
      <c r="L16" s="360"/>
      <c r="M16" s="362">
        <f t="shared" si="0"/>
        <v>1.0257494498155078</v>
      </c>
      <c r="N16" s="374">
        <f t="shared" si="1"/>
        <v>2351.158950593413</v>
      </c>
      <c r="O16" s="363" t="s">
        <v>13</v>
      </c>
      <c r="P16" s="360"/>
      <c r="Q16" s="364" t="s">
        <v>12</v>
      </c>
      <c r="R16" s="364"/>
      <c r="S16" s="365"/>
      <c r="T16" s="365"/>
      <c r="U16" s="366"/>
      <c r="V16" s="366"/>
      <c r="W16" s="366"/>
      <c r="X16" s="366"/>
      <c r="Y16" s="367"/>
      <c r="Z16" s="23"/>
      <c r="AA16" s="23"/>
      <c r="AB16" s="23"/>
      <c r="AC16" s="23"/>
      <c r="AD16" s="23"/>
      <c r="AE16" s="23"/>
    </row>
    <row r="17" spans="1:31" ht="15.75">
      <c r="A17" s="359" t="s">
        <v>933</v>
      </c>
      <c r="B17" s="360">
        <v>1</v>
      </c>
      <c r="C17" s="361">
        <v>45414.674305555556</v>
      </c>
      <c r="D17" s="360">
        <v>20</v>
      </c>
      <c r="E17" s="360">
        <v>9.9818000000000004E-2</v>
      </c>
      <c r="F17" s="360">
        <v>37.299999999999997</v>
      </c>
      <c r="G17" s="360">
        <v>22.5</v>
      </c>
      <c r="H17" s="360">
        <v>1054.8130000000001</v>
      </c>
      <c r="I17" s="360">
        <v>0.99983</v>
      </c>
      <c r="J17" s="360">
        <v>0.48171999999999998</v>
      </c>
      <c r="K17" s="360">
        <v>2404.1999999999998</v>
      </c>
      <c r="L17" s="360"/>
      <c r="M17" s="362">
        <f t="shared" si="0"/>
        <v>1.0258254635154704</v>
      </c>
      <c r="N17" s="374">
        <f t="shared" si="1"/>
        <v>2343.6735443872535</v>
      </c>
      <c r="O17" s="363" t="s">
        <v>13</v>
      </c>
      <c r="P17" s="360"/>
      <c r="Q17" s="364" t="s">
        <v>12</v>
      </c>
      <c r="R17" s="364"/>
      <c r="S17" s="365"/>
      <c r="T17" s="365"/>
      <c r="U17" s="366"/>
      <c r="V17" s="366"/>
      <c r="W17" s="366"/>
      <c r="X17" s="366"/>
      <c r="Y17" s="367"/>
      <c r="Z17" s="23"/>
      <c r="AA17" s="23"/>
      <c r="AB17" s="23"/>
      <c r="AC17" s="23"/>
      <c r="AD17" s="23"/>
      <c r="AE17" s="23"/>
    </row>
    <row r="18" spans="1:31" ht="15.75">
      <c r="A18" s="359" t="s">
        <v>934</v>
      </c>
      <c r="B18" s="360">
        <v>2</v>
      </c>
      <c r="C18" s="361">
        <v>45414.681250000001</v>
      </c>
      <c r="D18" s="360">
        <v>20</v>
      </c>
      <c r="E18" s="360">
        <v>9.9818000000000004E-2</v>
      </c>
      <c r="F18" s="360">
        <v>37.200000000000003</v>
      </c>
      <c r="G18" s="360">
        <v>22.5</v>
      </c>
      <c r="H18" s="360">
        <v>1042.854</v>
      </c>
      <c r="I18" s="360">
        <v>0.99986399999999998</v>
      </c>
      <c r="J18" s="360">
        <v>0.48184300000000002</v>
      </c>
      <c r="K18" s="360">
        <v>2404.8000000000002</v>
      </c>
      <c r="L18" s="360"/>
      <c r="M18" s="362">
        <f t="shared" si="0"/>
        <v>1.0257494498155078</v>
      </c>
      <c r="N18" s="374">
        <f t="shared" si="1"/>
        <v>2344.4321617062819</v>
      </c>
      <c r="O18" s="363" t="s">
        <v>13</v>
      </c>
      <c r="P18" s="360"/>
      <c r="Q18" s="364" t="s">
        <v>12</v>
      </c>
      <c r="R18" s="364"/>
      <c r="S18" s="365"/>
      <c r="T18" s="365"/>
      <c r="U18" s="366"/>
      <c r="V18" s="366"/>
      <c r="W18" s="366"/>
      <c r="X18" s="366"/>
      <c r="Y18" s="367"/>
      <c r="Z18" s="23"/>
      <c r="AA18" s="23"/>
      <c r="AB18" s="23"/>
      <c r="AC18" s="23"/>
      <c r="AD18" s="23"/>
      <c r="AE18" s="23"/>
    </row>
    <row r="19" spans="1:31" ht="15.75">
      <c r="A19" s="359" t="s">
        <v>935</v>
      </c>
      <c r="B19" s="360">
        <v>14</v>
      </c>
      <c r="C19" s="361">
        <v>45414.6875</v>
      </c>
      <c r="D19" s="360">
        <v>20</v>
      </c>
      <c r="E19" s="360">
        <v>9.9818000000000004E-2</v>
      </c>
      <c r="F19" s="360">
        <v>37.200000000000003</v>
      </c>
      <c r="G19" s="360">
        <v>22.5</v>
      </c>
      <c r="H19" s="360">
        <v>0</v>
      </c>
      <c r="I19" s="360">
        <v>0</v>
      </c>
      <c r="J19" s="360">
        <v>0</v>
      </c>
      <c r="K19" s="360">
        <v>0</v>
      </c>
      <c r="L19" s="360" t="s">
        <v>918</v>
      </c>
      <c r="M19" s="362">
        <f t="shared" si="0"/>
        <v>1.0257494498155078</v>
      </c>
      <c r="N19" s="374">
        <f t="shared" si="1"/>
        <v>0</v>
      </c>
      <c r="O19" s="363" t="s">
        <v>13</v>
      </c>
      <c r="P19" s="360"/>
      <c r="Q19" s="364" t="s">
        <v>582</v>
      </c>
      <c r="R19" s="364"/>
      <c r="S19" s="365"/>
      <c r="T19" s="365"/>
      <c r="U19" s="366"/>
      <c r="V19" s="366"/>
      <c r="W19" s="366"/>
      <c r="X19" s="366"/>
      <c r="Y19" s="367"/>
      <c r="Z19" s="23"/>
      <c r="AA19" s="23"/>
      <c r="AB19" s="23"/>
      <c r="AC19" s="23"/>
      <c r="AD19" s="23"/>
      <c r="AE19" s="23"/>
    </row>
    <row r="20" spans="1:31" ht="15.75">
      <c r="A20" s="359" t="s">
        <v>936</v>
      </c>
      <c r="B20" s="360">
        <v>14</v>
      </c>
      <c r="C20" s="361">
        <v>45414.714583333334</v>
      </c>
      <c r="D20" s="360">
        <v>20</v>
      </c>
      <c r="E20" s="360">
        <v>9.9818000000000004E-2</v>
      </c>
      <c r="F20" s="360">
        <v>37.200000000000003</v>
      </c>
      <c r="G20" s="360">
        <v>22.5</v>
      </c>
      <c r="H20" s="360">
        <v>1086.2819999999999</v>
      </c>
      <c r="I20" s="360">
        <v>0.99983200000000005</v>
      </c>
      <c r="J20" s="360">
        <v>0.479825</v>
      </c>
      <c r="K20" s="360">
        <v>2394.8000000000002</v>
      </c>
      <c r="L20" s="360"/>
      <c r="M20" s="362">
        <f t="shared" si="0"/>
        <v>1.0257494498155078</v>
      </c>
      <c r="N20" s="374">
        <f t="shared" si="1"/>
        <v>2334.6831923046425</v>
      </c>
      <c r="O20" s="363" t="s">
        <v>13</v>
      </c>
      <c r="P20" s="360"/>
      <c r="Q20" s="364" t="s">
        <v>12</v>
      </c>
      <c r="R20" s="364"/>
      <c r="S20" s="365"/>
      <c r="T20" s="365"/>
      <c r="U20" s="366"/>
      <c r="V20" s="366"/>
      <c r="W20" s="366"/>
      <c r="X20" s="366"/>
      <c r="Y20" s="367"/>
      <c r="Z20" s="23"/>
      <c r="AA20" s="23"/>
      <c r="AB20" s="23"/>
      <c r="AC20" s="23"/>
      <c r="AD20" s="23"/>
      <c r="AE20" s="23"/>
    </row>
    <row r="21" spans="1:31" ht="15.75">
      <c r="A21" s="359" t="s">
        <v>937</v>
      </c>
      <c r="B21" s="360">
        <v>15</v>
      </c>
      <c r="C21" s="361">
        <v>45414.722222222219</v>
      </c>
      <c r="D21" s="360">
        <v>20</v>
      </c>
      <c r="E21" s="360">
        <v>9.9818000000000004E-2</v>
      </c>
      <c r="F21" s="360">
        <v>37.200000000000003</v>
      </c>
      <c r="G21" s="360">
        <v>22.5</v>
      </c>
      <c r="H21" s="360">
        <v>1080.3689999999999</v>
      </c>
      <c r="I21" s="360">
        <v>0.99981699999999996</v>
      </c>
      <c r="J21" s="360">
        <v>0.47942499999999999</v>
      </c>
      <c r="K21" s="360">
        <v>2392.8000000000002</v>
      </c>
      <c r="L21" s="360"/>
      <c r="M21" s="362">
        <f t="shared" si="0"/>
        <v>1.0257494498155078</v>
      </c>
      <c r="N21" s="374">
        <f t="shared" si="1"/>
        <v>2332.7333984243146</v>
      </c>
      <c r="O21" s="363" t="s">
        <v>13</v>
      </c>
      <c r="P21" s="360"/>
      <c r="Q21" s="364" t="s">
        <v>12</v>
      </c>
      <c r="R21" s="364"/>
      <c r="S21" s="365"/>
      <c r="T21" s="365"/>
      <c r="U21" s="366"/>
      <c r="V21" s="366"/>
      <c r="W21" s="366"/>
      <c r="X21" s="366"/>
      <c r="Y21" s="367"/>
      <c r="Z21" s="23"/>
      <c r="AA21" s="23"/>
      <c r="AB21" s="23"/>
      <c r="AC21" s="23"/>
      <c r="AD21" s="23"/>
      <c r="AE21" s="23"/>
    </row>
    <row r="22" spans="1:31" ht="15.75">
      <c r="A22" s="359" t="s">
        <v>938</v>
      </c>
      <c r="B22" s="360">
        <v>66</v>
      </c>
      <c r="C22" s="361">
        <v>45414.727777777778</v>
      </c>
      <c r="D22" s="360">
        <v>20</v>
      </c>
      <c r="E22" s="360">
        <v>9.9818000000000004E-2</v>
      </c>
      <c r="F22" s="360">
        <v>36.9</v>
      </c>
      <c r="G22" s="360">
        <v>22.5</v>
      </c>
      <c r="H22" s="360">
        <v>1085.9580000000001</v>
      </c>
      <c r="I22" s="360">
        <v>0.999807</v>
      </c>
      <c r="J22" s="360">
        <v>0.48133999999999999</v>
      </c>
      <c r="K22" s="360">
        <v>2402.3000000000002</v>
      </c>
      <c r="L22" s="360"/>
      <c r="M22" s="362">
        <f t="shared" si="0"/>
        <v>1.0255214352246484</v>
      </c>
      <c r="N22" s="374">
        <f t="shared" si="1"/>
        <v>2342.5156388601058</v>
      </c>
      <c r="O22" s="363" t="s">
        <v>13</v>
      </c>
      <c r="P22" s="360"/>
      <c r="Q22" s="364" t="s">
        <v>12</v>
      </c>
      <c r="R22" s="364"/>
      <c r="S22" s="365"/>
      <c r="T22" s="365"/>
      <c r="U22" s="366"/>
      <c r="V22" s="366"/>
      <c r="W22" s="366"/>
      <c r="X22" s="366"/>
      <c r="Y22" s="367"/>
      <c r="Z22" s="23"/>
      <c r="AA22" s="23"/>
      <c r="AB22" s="23"/>
      <c r="AC22" s="23"/>
      <c r="AD22" s="23"/>
      <c r="AE22" s="23"/>
    </row>
    <row r="23" spans="1:31" ht="15.75">
      <c r="A23" s="359" t="s">
        <v>939</v>
      </c>
      <c r="B23" s="360">
        <v>67</v>
      </c>
      <c r="C23" s="361">
        <v>45414.73541666667</v>
      </c>
      <c r="D23" s="360">
        <v>20</v>
      </c>
      <c r="E23" s="360">
        <v>9.9818000000000004E-2</v>
      </c>
      <c r="F23" s="360">
        <v>36.9</v>
      </c>
      <c r="G23" s="360">
        <v>22.5</v>
      </c>
      <c r="H23" s="360">
        <v>1089.3610000000001</v>
      </c>
      <c r="I23" s="360">
        <v>0.99981600000000004</v>
      </c>
      <c r="J23" s="360">
        <v>0.48106199999999999</v>
      </c>
      <c r="K23" s="360">
        <v>2400.9</v>
      </c>
      <c r="L23" s="360"/>
      <c r="M23" s="362">
        <f t="shared" si="0"/>
        <v>1.0255214352246484</v>
      </c>
      <c r="N23" s="374">
        <f t="shared" si="1"/>
        <v>2341.1504796816503</v>
      </c>
      <c r="O23" s="363" t="s">
        <v>13</v>
      </c>
      <c r="P23" s="360"/>
      <c r="Q23" s="364" t="s">
        <v>12</v>
      </c>
      <c r="R23" s="364"/>
      <c r="S23" s="365"/>
      <c r="T23" s="365"/>
      <c r="U23" s="366"/>
      <c r="V23" s="366"/>
      <c r="W23" s="366"/>
      <c r="X23" s="366"/>
      <c r="Y23" s="367"/>
      <c r="Z23" s="23"/>
      <c r="AA23" s="23"/>
      <c r="AB23" s="23"/>
      <c r="AC23" s="23"/>
      <c r="AD23" s="23"/>
      <c r="AE23" s="23"/>
    </row>
    <row r="24" spans="1:31" ht="15.75">
      <c r="A24" s="359" t="s">
        <v>940</v>
      </c>
      <c r="B24" s="360">
        <v>92</v>
      </c>
      <c r="C24" s="361">
        <v>45414.743750000001</v>
      </c>
      <c r="D24" s="360">
        <v>20</v>
      </c>
      <c r="E24" s="360">
        <v>9.9818000000000004E-2</v>
      </c>
      <c r="F24" s="360">
        <v>37</v>
      </c>
      <c r="G24" s="360">
        <v>22.5</v>
      </c>
      <c r="H24" s="360">
        <v>1091.4469999999999</v>
      </c>
      <c r="I24" s="360">
        <v>0.99984600000000001</v>
      </c>
      <c r="J24" s="360">
        <v>0.48148600000000003</v>
      </c>
      <c r="K24" s="360">
        <v>2403.1</v>
      </c>
      <c r="L24" s="360"/>
      <c r="M24" s="362">
        <f t="shared" si="0"/>
        <v>1.0255974356771682</v>
      </c>
      <c r="N24" s="374">
        <f t="shared" si="1"/>
        <v>2343.1220831917467</v>
      </c>
      <c r="O24" s="363" t="s">
        <v>13</v>
      </c>
      <c r="P24" s="360"/>
      <c r="Q24" s="364" t="s">
        <v>12</v>
      </c>
      <c r="R24" s="364"/>
      <c r="S24" s="365"/>
      <c r="T24" s="365"/>
      <c r="U24" s="366"/>
      <c r="V24" s="366"/>
      <c r="W24" s="366"/>
      <c r="X24" s="366"/>
      <c r="Y24" s="367"/>
      <c r="Z24" s="23"/>
      <c r="AA24" s="23"/>
      <c r="AB24" s="23"/>
      <c r="AC24" s="23"/>
      <c r="AD24" s="23"/>
      <c r="AE24" s="23"/>
    </row>
    <row r="25" spans="1:31" ht="15.75">
      <c r="A25" s="359" t="s">
        <v>941</v>
      </c>
      <c r="B25" s="360">
        <v>93</v>
      </c>
      <c r="C25" s="361">
        <v>45414.750694444447</v>
      </c>
      <c r="D25" s="360">
        <v>20</v>
      </c>
      <c r="E25" s="360">
        <v>9.9818000000000004E-2</v>
      </c>
      <c r="F25" s="360">
        <v>36.9</v>
      </c>
      <c r="G25" s="360">
        <v>22.5</v>
      </c>
      <c r="H25" s="360">
        <v>1082.6189999999999</v>
      </c>
      <c r="I25" s="360">
        <v>0.99980800000000003</v>
      </c>
      <c r="J25" s="360">
        <v>0.48073500000000002</v>
      </c>
      <c r="K25" s="360">
        <v>2399.3000000000002</v>
      </c>
      <c r="L25" s="360"/>
      <c r="M25" s="362">
        <f t="shared" si="0"/>
        <v>1.0255214352246484</v>
      </c>
      <c r="N25" s="374">
        <f t="shared" si="1"/>
        <v>2339.590297763415</v>
      </c>
      <c r="O25" s="363" t="s">
        <v>13</v>
      </c>
      <c r="P25" s="360"/>
      <c r="Q25" s="364" t="s">
        <v>12</v>
      </c>
      <c r="R25" s="364"/>
      <c r="S25" s="365"/>
      <c r="T25" s="365"/>
      <c r="U25" s="366"/>
      <c r="V25" s="366"/>
      <c r="W25" s="366"/>
      <c r="X25" s="366"/>
      <c r="Y25" s="367"/>
      <c r="Z25" s="23"/>
      <c r="AA25" s="23"/>
      <c r="AB25" s="23"/>
      <c r="AC25" s="23"/>
      <c r="AD25" s="23"/>
      <c r="AE25" s="23"/>
    </row>
    <row r="26" spans="1:31" ht="15.75">
      <c r="A26" s="368" t="s">
        <v>942</v>
      </c>
      <c r="B26" s="369" t="s">
        <v>926</v>
      </c>
      <c r="C26" s="370">
        <v>45414.756944444445</v>
      </c>
      <c r="D26" s="369">
        <v>20</v>
      </c>
      <c r="E26" s="369">
        <v>9.9818000000000004E-2</v>
      </c>
      <c r="F26" s="369">
        <v>33.200000000000003</v>
      </c>
      <c r="G26" s="369">
        <v>22.5</v>
      </c>
      <c r="H26" s="369">
        <v>1092.54</v>
      </c>
      <c r="I26" s="369">
        <v>0.99979600000000002</v>
      </c>
      <c r="J26" s="369">
        <v>0.45156200000000002</v>
      </c>
      <c r="K26" s="369">
        <v>2253.6999999999998</v>
      </c>
      <c r="L26" s="360"/>
      <c r="M26" s="362">
        <f t="shared" si="0"/>
        <v>1.0227124503008802</v>
      </c>
      <c r="N26" s="374">
        <f t="shared" si="1"/>
        <v>2203.6497153593518</v>
      </c>
      <c r="O26" s="363" t="s">
        <v>13</v>
      </c>
      <c r="P26" s="360"/>
      <c r="Q26" s="364" t="s">
        <v>12</v>
      </c>
      <c r="R26" s="364"/>
      <c r="S26" s="365"/>
      <c r="T26" s="365"/>
      <c r="U26" s="366"/>
      <c r="V26" s="366"/>
      <c r="W26" s="366"/>
      <c r="X26" s="366"/>
      <c r="Y26" s="367"/>
      <c r="Z26" s="23"/>
      <c r="AA26" s="23"/>
      <c r="AB26" s="23"/>
      <c r="AC26" s="23"/>
      <c r="AD26" s="23"/>
      <c r="AE26" s="23"/>
    </row>
    <row r="27" spans="1:31" ht="15.75">
      <c r="A27" s="359" t="s">
        <v>943</v>
      </c>
      <c r="B27" s="360">
        <v>27</v>
      </c>
      <c r="C27" s="361">
        <v>45414.770138888889</v>
      </c>
      <c r="D27" s="360">
        <v>20</v>
      </c>
      <c r="E27" s="360">
        <v>9.9818000000000004E-2</v>
      </c>
      <c r="F27" s="360">
        <v>37</v>
      </c>
      <c r="G27" s="360">
        <v>22.5</v>
      </c>
      <c r="H27" s="360">
        <v>1087.2180000000001</v>
      </c>
      <c r="I27" s="360">
        <v>0.999861</v>
      </c>
      <c r="J27" s="360">
        <v>0.48066300000000001</v>
      </c>
      <c r="K27" s="360">
        <v>2398.9</v>
      </c>
      <c r="L27" s="360"/>
      <c r="M27" s="362">
        <f t="shared" si="0"/>
        <v>1.0255974356771682</v>
      </c>
      <c r="N27" s="374">
        <f t="shared" si="1"/>
        <v>2339.0269091459704</v>
      </c>
      <c r="O27" s="363" t="s">
        <v>13</v>
      </c>
      <c r="P27" s="360"/>
      <c r="Q27" s="364" t="s">
        <v>12</v>
      </c>
      <c r="R27" s="364"/>
      <c r="S27" s="365"/>
      <c r="T27" s="365"/>
      <c r="U27" s="366"/>
      <c r="V27" s="366"/>
      <c r="W27" s="366"/>
      <c r="X27" s="366"/>
      <c r="Y27" s="367"/>
      <c r="Z27" s="23"/>
      <c r="AA27" s="23"/>
      <c r="AB27" s="23"/>
      <c r="AC27" s="23"/>
      <c r="AD27" s="23"/>
      <c r="AE27" s="23"/>
    </row>
    <row r="28" spans="1:31" ht="15.75">
      <c r="A28" s="359" t="s">
        <v>944</v>
      </c>
      <c r="B28" s="360">
        <v>28</v>
      </c>
      <c r="C28" s="361">
        <v>45414.776388888888</v>
      </c>
      <c r="D28" s="360">
        <v>20</v>
      </c>
      <c r="E28" s="360">
        <v>9.9818000000000004E-2</v>
      </c>
      <c r="F28" s="360">
        <v>37</v>
      </c>
      <c r="G28" s="360">
        <v>22.5</v>
      </c>
      <c r="H28" s="360">
        <v>1089.4269999999999</v>
      </c>
      <c r="I28" s="360">
        <v>0.99981600000000004</v>
      </c>
      <c r="J28" s="360">
        <v>0.48232199999999997</v>
      </c>
      <c r="K28" s="360">
        <v>2407.1999999999998</v>
      </c>
      <c r="L28" s="360"/>
      <c r="M28" s="362">
        <f t="shared" si="0"/>
        <v>1.0255974356771682</v>
      </c>
      <c r="N28" s="374">
        <f t="shared" si="1"/>
        <v>2347.119753093576</v>
      </c>
      <c r="O28" s="363" t="s">
        <v>13</v>
      </c>
      <c r="P28" s="360"/>
      <c r="Q28" s="364" t="s">
        <v>12</v>
      </c>
      <c r="R28" s="364"/>
      <c r="S28" s="365"/>
      <c r="T28" s="365"/>
      <c r="U28" s="366"/>
      <c r="V28" s="366"/>
      <c r="W28" s="366"/>
      <c r="X28" s="366"/>
      <c r="Y28" s="367"/>
      <c r="Z28" s="23"/>
      <c r="AA28" s="23"/>
      <c r="AB28" s="23"/>
      <c r="AC28" s="23"/>
      <c r="AD28" s="23"/>
      <c r="AE28" s="23"/>
    </row>
    <row r="29" spans="1:31" ht="15.75">
      <c r="A29" s="359" t="s">
        <v>945</v>
      </c>
      <c r="B29" s="360">
        <v>79</v>
      </c>
      <c r="C29" s="361">
        <v>45414.783333333333</v>
      </c>
      <c r="D29" s="360">
        <v>20</v>
      </c>
      <c r="E29" s="360">
        <v>9.9818000000000004E-2</v>
      </c>
      <c r="F29" s="360">
        <v>37</v>
      </c>
      <c r="G29" s="360">
        <v>22.5</v>
      </c>
      <c r="H29" s="360">
        <v>1084.4000000000001</v>
      </c>
      <c r="I29" s="360">
        <v>0.99981299999999995</v>
      </c>
      <c r="J29" s="360">
        <v>0.48412100000000002</v>
      </c>
      <c r="K29" s="360">
        <v>2416.1999999999998</v>
      </c>
      <c r="L29" s="360"/>
      <c r="M29" s="362">
        <f t="shared" si="0"/>
        <v>1.0255974356771682</v>
      </c>
      <c r="N29" s="374">
        <f t="shared" si="1"/>
        <v>2355.8951260488111</v>
      </c>
      <c r="O29" s="363" t="s">
        <v>13</v>
      </c>
      <c r="P29" s="360"/>
      <c r="Q29" s="364" t="s">
        <v>12</v>
      </c>
      <c r="R29" s="364"/>
      <c r="S29" s="365"/>
      <c r="T29" s="365"/>
      <c r="U29" s="366"/>
      <c r="V29" s="366"/>
      <c r="W29" s="366"/>
      <c r="X29" s="366"/>
      <c r="Y29" s="367"/>
      <c r="Z29" s="23"/>
      <c r="AA29" s="23"/>
      <c r="AB29" s="23"/>
      <c r="AC29" s="23"/>
      <c r="AD29" s="23"/>
      <c r="AE29" s="23"/>
    </row>
    <row r="30" spans="1:31" ht="15.75">
      <c r="A30" s="359" t="s">
        <v>946</v>
      </c>
      <c r="B30" s="360">
        <v>80</v>
      </c>
      <c r="C30" s="361">
        <v>45414.790277777778</v>
      </c>
      <c r="D30" s="360">
        <v>20</v>
      </c>
      <c r="E30" s="360">
        <v>9.9818000000000004E-2</v>
      </c>
      <c r="F30" s="360">
        <v>37.1</v>
      </c>
      <c r="G30" s="360">
        <v>22.5</v>
      </c>
      <c r="H30" s="360">
        <v>1088.7180000000001</v>
      </c>
      <c r="I30" s="360">
        <v>0.99978800000000001</v>
      </c>
      <c r="J30" s="360">
        <v>0.48474099999999998</v>
      </c>
      <c r="K30" s="360">
        <v>2419.3000000000002</v>
      </c>
      <c r="L30" s="360"/>
      <c r="M30" s="362">
        <f t="shared" si="0"/>
        <v>1.0256734405384258</v>
      </c>
      <c r="N30" s="374">
        <f t="shared" si="1"/>
        <v>2358.7429530494542</v>
      </c>
      <c r="O30" s="363" t="s">
        <v>13</v>
      </c>
      <c r="P30" s="360"/>
      <c r="Q30" s="364" t="s">
        <v>12</v>
      </c>
      <c r="R30" s="364"/>
      <c r="S30" s="365"/>
      <c r="T30" s="365"/>
      <c r="U30" s="366"/>
      <c r="V30" s="366"/>
      <c r="W30" s="366"/>
      <c r="X30" s="366"/>
      <c r="Y30" s="367"/>
      <c r="Z30" s="23"/>
      <c r="AA30" s="23"/>
      <c r="AB30" s="23"/>
      <c r="AC30" s="23"/>
      <c r="AD30" s="23"/>
      <c r="AE30" s="23"/>
    </row>
    <row r="31" spans="1:31" ht="15.75">
      <c r="A31" s="359" t="s">
        <v>947</v>
      </c>
      <c r="B31" s="360">
        <v>118</v>
      </c>
      <c r="C31" s="361">
        <v>45414.796527777777</v>
      </c>
      <c r="D31" s="360">
        <v>20</v>
      </c>
      <c r="E31" s="360">
        <v>9.9818000000000004E-2</v>
      </c>
      <c r="F31" s="360">
        <v>36</v>
      </c>
      <c r="G31" s="360">
        <v>22.5</v>
      </c>
      <c r="H31" s="360">
        <v>1086.3140000000001</v>
      </c>
      <c r="I31" s="360">
        <v>0.99976799999999999</v>
      </c>
      <c r="J31" s="360">
        <v>0.48591600000000001</v>
      </c>
      <c r="K31" s="360">
        <v>2425.1999999999998</v>
      </c>
      <c r="L31" s="360"/>
      <c r="M31" s="362">
        <f t="shared" si="0"/>
        <v>1.0248376283616278</v>
      </c>
      <c r="N31" s="374">
        <f t="shared" si="1"/>
        <v>2366.4236488633642</v>
      </c>
      <c r="O31" s="363" t="s">
        <v>13</v>
      </c>
      <c r="P31" s="360"/>
      <c r="Q31" s="364" t="s">
        <v>12</v>
      </c>
      <c r="R31" s="364"/>
      <c r="S31" s="365"/>
      <c r="T31" s="365"/>
      <c r="U31" s="366"/>
      <c r="V31" s="366"/>
      <c r="W31" s="366"/>
      <c r="X31" s="366"/>
      <c r="Y31" s="367"/>
      <c r="Z31" s="23"/>
      <c r="AA31" s="23"/>
      <c r="AB31" s="23"/>
      <c r="AC31" s="23"/>
      <c r="AD31" s="23"/>
      <c r="AE31" s="23"/>
    </row>
    <row r="32" spans="1:31" ht="15.75">
      <c r="A32" s="359" t="s">
        <v>948</v>
      </c>
      <c r="B32" s="360">
        <v>119</v>
      </c>
      <c r="C32" s="361">
        <v>45414.803472222222</v>
      </c>
      <c r="D32" s="360">
        <v>20</v>
      </c>
      <c r="E32" s="360">
        <v>9.9818000000000004E-2</v>
      </c>
      <c r="F32" s="360">
        <v>37.200000000000003</v>
      </c>
      <c r="G32" s="360">
        <v>22.5</v>
      </c>
      <c r="H32" s="360">
        <v>1084.81</v>
      </c>
      <c r="I32" s="360">
        <v>0.99983699999999998</v>
      </c>
      <c r="J32" s="360">
        <v>0.48466799999999999</v>
      </c>
      <c r="K32" s="360">
        <v>2418.9</v>
      </c>
      <c r="L32" s="360"/>
      <c r="M32" s="362">
        <f t="shared" si="0"/>
        <v>1.0257494498155078</v>
      </c>
      <c r="N32" s="374">
        <f t="shared" si="1"/>
        <v>2358.1782085625937</v>
      </c>
      <c r="O32" s="363" t="s">
        <v>13</v>
      </c>
      <c r="P32" s="360"/>
      <c r="Q32" s="364" t="s">
        <v>12</v>
      </c>
      <c r="R32" s="364"/>
      <c r="S32" s="365"/>
      <c r="T32" s="365"/>
      <c r="U32" s="366"/>
      <c r="V32" s="366"/>
      <c r="W32" s="366"/>
      <c r="X32" s="366"/>
      <c r="Y32" s="367"/>
      <c r="Z32" s="23"/>
      <c r="AA32" s="23"/>
      <c r="AB32" s="23"/>
      <c r="AC32" s="23"/>
      <c r="AD32" s="23"/>
      <c r="AE32" s="23"/>
    </row>
    <row r="33" spans="1:31" ht="15.75">
      <c r="A33" s="359" t="s">
        <v>949</v>
      </c>
      <c r="B33" s="360">
        <v>157</v>
      </c>
      <c r="C33" s="361">
        <v>45414.810416666667</v>
      </c>
      <c r="D33" s="360">
        <v>20</v>
      </c>
      <c r="E33" s="360">
        <v>9.9818000000000004E-2</v>
      </c>
      <c r="F33" s="360">
        <v>37.200000000000003</v>
      </c>
      <c r="G33" s="360">
        <v>22.5</v>
      </c>
      <c r="H33" s="360">
        <v>1091.943</v>
      </c>
      <c r="I33" s="360">
        <v>0.99981100000000001</v>
      </c>
      <c r="J33" s="360">
        <v>0.48368</v>
      </c>
      <c r="K33" s="360">
        <v>2414</v>
      </c>
      <c r="L33" s="360"/>
      <c r="M33" s="362">
        <f t="shared" si="0"/>
        <v>1.0257494498155078</v>
      </c>
      <c r="N33" s="374">
        <f t="shared" si="1"/>
        <v>2353.40121355579</v>
      </c>
      <c r="O33" s="363" t="s">
        <v>13</v>
      </c>
      <c r="P33" s="360"/>
      <c r="Q33" s="364" t="s">
        <v>12</v>
      </c>
      <c r="R33" s="364"/>
      <c r="S33" s="365"/>
      <c r="T33" s="365"/>
      <c r="U33" s="366"/>
      <c r="V33" s="366"/>
      <c r="W33" s="366"/>
      <c r="X33" s="366"/>
      <c r="Y33" s="367"/>
      <c r="Z33" s="23"/>
      <c r="AA33" s="23"/>
      <c r="AB33" s="23"/>
      <c r="AC33" s="23"/>
      <c r="AD33" s="23"/>
      <c r="AE33" s="23"/>
    </row>
    <row r="34" spans="1:31" ht="15.75">
      <c r="A34" s="359" t="s">
        <v>950</v>
      </c>
      <c r="B34" s="360">
        <v>158</v>
      </c>
      <c r="C34" s="361">
        <v>45414.819444444445</v>
      </c>
      <c r="D34" s="360">
        <v>20</v>
      </c>
      <c r="E34" s="360">
        <v>9.9818000000000004E-2</v>
      </c>
      <c r="F34" s="360">
        <v>37.299999999999997</v>
      </c>
      <c r="G34" s="360">
        <v>22.5</v>
      </c>
      <c r="H34" s="360">
        <v>1091.172</v>
      </c>
      <c r="I34" s="360">
        <v>0.99986299999999995</v>
      </c>
      <c r="J34" s="360">
        <v>0.48330000000000001</v>
      </c>
      <c r="K34" s="360">
        <v>2412.1</v>
      </c>
      <c r="L34" s="360"/>
      <c r="M34" s="362">
        <f t="shared" si="0"/>
        <v>1.0258254635154704</v>
      </c>
      <c r="N34" s="374">
        <f t="shared" si="1"/>
        <v>2351.3746595193802</v>
      </c>
      <c r="O34" s="363" t="s">
        <v>13</v>
      </c>
      <c r="P34" s="360"/>
      <c r="Q34" s="364" t="s">
        <v>12</v>
      </c>
      <c r="R34" s="364"/>
      <c r="S34" s="365"/>
      <c r="T34" s="365"/>
      <c r="U34" s="366"/>
      <c r="V34" s="366"/>
      <c r="W34" s="366"/>
      <c r="X34" s="366"/>
      <c r="Y34" s="367"/>
      <c r="Z34" s="23"/>
      <c r="AA34" s="23"/>
      <c r="AB34" s="23"/>
      <c r="AC34" s="23"/>
      <c r="AD34" s="23"/>
      <c r="AE34" s="23"/>
    </row>
    <row r="35" spans="1:31" ht="15.75">
      <c r="A35" s="368" t="s">
        <v>951</v>
      </c>
      <c r="B35" s="369" t="s">
        <v>926</v>
      </c>
      <c r="C35" s="370">
        <v>45414.826388888891</v>
      </c>
      <c r="D35" s="369">
        <v>20</v>
      </c>
      <c r="E35" s="369">
        <v>9.9818000000000004E-2</v>
      </c>
      <c r="F35" s="369">
        <v>33.200000000000003</v>
      </c>
      <c r="G35" s="369">
        <v>22.5</v>
      </c>
      <c r="H35" s="369">
        <v>1102.0260000000001</v>
      </c>
      <c r="I35" s="369">
        <v>0.99978699999999998</v>
      </c>
      <c r="J35" s="369">
        <v>0.451795</v>
      </c>
      <c r="K35" s="369">
        <v>2254.9</v>
      </c>
      <c r="L35" s="360"/>
      <c r="M35" s="362">
        <f t="shared" si="0"/>
        <v>1.0227124503008802</v>
      </c>
      <c r="N35" s="374">
        <f t="shared" si="1"/>
        <v>2204.8230656980977</v>
      </c>
      <c r="O35" s="363" t="s">
        <v>13</v>
      </c>
      <c r="P35" s="360"/>
      <c r="Q35" s="364" t="s">
        <v>12</v>
      </c>
      <c r="R35" s="364"/>
      <c r="S35" s="365"/>
      <c r="T35" s="365"/>
      <c r="U35" s="366"/>
      <c r="V35" s="366"/>
      <c r="W35" s="366"/>
      <c r="X35" s="366"/>
      <c r="Y35" s="367"/>
      <c r="Z35" s="23"/>
      <c r="AA35" s="23"/>
      <c r="AB35" s="23"/>
      <c r="AC35" s="23"/>
      <c r="AD35" s="23"/>
      <c r="AE35" s="23"/>
    </row>
    <row r="36" spans="1:31" ht="15.75">
      <c r="A36" s="359" t="s">
        <v>913</v>
      </c>
      <c r="B36" s="360" t="s">
        <v>914</v>
      </c>
      <c r="C36" s="361">
        <v>45415.335416666669</v>
      </c>
      <c r="D36" s="360">
        <v>20</v>
      </c>
      <c r="E36" s="360">
        <v>9.9818000000000004E-2</v>
      </c>
      <c r="F36" s="360" t="s">
        <v>915</v>
      </c>
      <c r="G36" s="360">
        <v>22.5</v>
      </c>
      <c r="H36" s="360">
        <v>0</v>
      </c>
      <c r="I36" s="360">
        <v>0</v>
      </c>
      <c r="J36" s="360">
        <v>0</v>
      </c>
      <c r="K36" s="360">
        <v>0</v>
      </c>
      <c r="L36" s="360" t="s">
        <v>918</v>
      </c>
      <c r="M36" s="362" t="s">
        <v>230</v>
      </c>
      <c r="N36" s="362" t="s">
        <v>230</v>
      </c>
      <c r="O36" s="363" t="s">
        <v>13</v>
      </c>
      <c r="P36" s="360"/>
      <c r="Q36" s="364" t="s">
        <v>582</v>
      </c>
      <c r="R36" s="364"/>
      <c r="S36" s="365"/>
      <c r="T36" s="365"/>
      <c r="U36" s="366"/>
      <c r="V36" s="366"/>
      <c r="W36" s="366"/>
      <c r="X36" s="366"/>
      <c r="Y36" s="367"/>
      <c r="Z36" s="23"/>
      <c r="AA36" s="23"/>
      <c r="AB36" s="23"/>
      <c r="AC36" s="23"/>
      <c r="AD36" s="23"/>
      <c r="AE36" s="23"/>
    </row>
    <row r="37" spans="1:31" ht="15.75">
      <c r="A37" s="359" t="s">
        <v>916</v>
      </c>
      <c r="B37" s="360" t="s">
        <v>914</v>
      </c>
      <c r="C37" s="361">
        <v>45415.343055555553</v>
      </c>
      <c r="D37" s="360">
        <v>20</v>
      </c>
      <c r="E37" s="360">
        <v>9.9818000000000004E-2</v>
      </c>
      <c r="F37" s="360" t="s">
        <v>915</v>
      </c>
      <c r="G37" s="360">
        <v>22.5</v>
      </c>
      <c r="H37" s="360">
        <v>1304.4690000000001</v>
      </c>
      <c r="I37" s="360">
        <v>0.99992300000000001</v>
      </c>
      <c r="J37" s="360">
        <v>0.42851299999999998</v>
      </c>
      <c r="K37" s="360">
        <v>2138.6999999999998</v>
      </c>
      <c r="L37" s="360"/>
      <c r="M37" s="362" t="s">
        <v>230</v>
      </c>
      <c r="N37" s="362" t="s">
        <v>230</v>
      </c>
      <c r="O37" s="363" t="s">
        <v>13</v>
      </c>
      <c r="P37" s="360"/>
      <c r="Q37" s="364" t="s">
        <v>582</v>
      </c>
      <c r="R37" s="364"/>
      <c r="S37" s="365"/>
      <c r="T37" s="376"/>
      <c r="U37" s="376"/>
      <c r="V37" s="376"/>
      <c r="W37" s="376"/>
      <c r="X37" s="376"/>
      <c r="Y37" s="377"/>
    </row>
    <row r="38" spans="1:31" ht="15.75">
      <c r="A38" s="359" t="s">
        <v>917</v>
      </c>
      <c r="B38" s="360" t="s">
        <v>914</v>
      </c>
      <c r="C38" s="361">
        <v>45415.350694444445</v>
      </c>
      <c r="D38" s="360">
        <v>20</v>
      </c>
      <c r="E38" s="360">
        <v>9.9818000000000004E-2</v>
      </c>
      <c r="F38" s="360" t="s">
        <v>915</v>
      </c>
      <c r="G38" s="360">
        <v>22.5</v>
      </c>
      <c r="H38" s="360">
        <v>1311.847</v>
      </c>
      <c r="I38" s="360">
        <v>0.99997000000000003</v>
      </c>
      <c r="J38" s="360">
        <v>0.406999</v>
      </c>
      <c r="K38" s="360">
        <v>2031.3</v>
      </c>
      <c r="L38" s="360">
        <v>75.924700000000001</v>
      </c>
      <c r="M38" s="362" t="s">
        <v>230</v>
      </c>
      <c r="N38" s="362" t="s">
        <v>230</v>
      </c>
      <c r="O38" s="363" t="s">
        <v>13</v>
      </c>
      <c r="P38" s="360"/>
      <c r="Q38" s="364" t="s">
        <v>582</v>
      </c>
      <c r="R38" s="364"/>
      <c r="S38" s="365"/>
      <c r="T38" s="376"/>
      <c r="U38" s="376"/>
      <c r="V38" s="376"/>
      <c r="W38" s="376"/>
      <c r="X38" s="376"/>
      <c r="Y38" s="377"/>
    </row>
    <row r="39" spans="1:31" ht="15.75">
      <c r="A39" s="359" t="s">
        <v>919</v>
      </c>
      <c r="B39" s="360" t="s">
        <v>914</v>
      </c>
      <c r="C39" s="361">
        <v>45415.356249999997</v>
      </c>
      <c r="D39" s="360">
        <v>20</v>
      </c>
      <c r="E39" s="360">
        <v>9.9818000000000004E-2</v>
      </c>
      <c r="F39" s="360" t="s">
        <v>915</v>
      </c>
      <c r="G39" s="360">
        <v>22.5</v>
      </c>
      <c r="H39" s="360">
        <v>1314.4490000000001</v>
      </c>
      <c r="I39" s="360">
        <v>0.99996300000000005</v>
      </c>
      <c r="J39" s="360">
        <v>0.405524</v>
      </c>
      <c r="K39" s="360">
        <v>2023.9</v>
      </c>
      <c r="L39" s="360">
        <v>5.2039</v>
      </c>
      <c r="M39" s="362" t="s">
        <v>230</v>
      </c>
      <c r="N39" s="362" t="s">
        <v>230</v>
      </c>
      <c r="O39" s="363" t="s">
        <v>13</v>
      </c>
      <c r="P39" s="360"/>
      <c r="Q39" s="364" t="s">
        <v>582</v>
      </c>
      <c r="R39" s="364"/>
      <c r="S39" s="365"/>
      <c r="T39" s="376"/>
      <c r="U39" s="376"/>
      <c r="V39" s="376"/>
      <c r="W39" s="376"/>
      <c r="X39" s="376"/>
      <c r="Y39" s="377"/>
    </row>
    <row r="40" spans="1:31" ht="15.75">
      <c r="A40" s="359" t="s">
        <v>920</v>
      </c>
      <c r="B40" s="360" t="s">
        <v>914</v>
      </c>
      <c r="C40" s="361">
        <v>45415.361111111109</v>
      </c>
      <c r="D40" s="360">
        <v>20</v>
      </c>
      <c r="E40" s="360">
        <v>9.9818000000000004E-2</v>
      </c>
      <c r="F40" s="360" t="s">
        <v>915</v>
      </c>
      <c r="G40" s="360">
        <v>22.5</v>
      </c>
      <c r="H40" s="360">
        <v>1333.95</v>
      </c>
      <c r="I40" s="360">
        <v>0.99996700000000005</v>
      </c>
      <c r="J40" s="360">
        <v>0.40653299999999998</v>
      </c>
      <c r="K40" s="360">
        <v>2029</v>
      </c>
      <c r="L40" s="360">
        <v>3.5596999999999999</v>
      </c>
      <c r="M40" s="362" t="s">
        <v>230</v>
      </c>
      <c r="N40" s="362" t="s">
        <v>230</v>
      </c>
      <c r="O40" s="363" t="s">
        <v>13</v>
      </c>
      <c r="P40" s="360" t="s">
        <v>952</v>
      </c>
      <c r="Q40" s="364" t="s">
        <v>582</v>
      </c>
      <c r="R40" s="364"/>
      <c r="S40" s="365"/>
      <c r="T40" s="376"/>
      <c r="U40" s="376"/>
      <c r="V40" s="376"/>
      <c r="W40" s="376"/>
      <c r="X40" s="376"/>
      <c r="Y40" s="377"/>
    </row>
    <row r="41" spans="1:31" ht="15.75">
      <c r="A41" s="359" t="s">
        <v>921</v>
      </c>
      <c r="B41" s="360" t="s">
        <v>914</v>
      </c>
      <c r="C41" s="361">
        <v>45415.367361111108</v>
      </c>
      <c r="D41" s="360">
        <v>20</v>
      </c>
      <c r="E41" s="360">
        <v>9.9818000000000004E-2</v>
      </c>
      <c r="F41" s="360" t="s">
        <v>915</v>
      </c>
      <c r="G41" s="360">
        <v>22.5</v>
      </c>
      <c r="H41" s="360">
        <v>1314.569</v>
      </c>
      <c r="I41" s="360">
        <v>0.99998699999999996</v>
      </c>
      <c r="J41" s="360">
        <v>0.40625699999999998</v>
      </c>
      <c r="K41" s="360">
        <v>2027.6</v>
      </c>
      <c r="L41" s="360">
        <v>0.97499999999999998</v>
      </c>
      <c r="M41" s="362" t="s">
        <v>230</v>
      </c>
      <c r="N41" s="362" t="s">
        <v>230</v>
      </c>
      <c r="O41" s="363" t="s">
        <v>13</v>
      </c>
      <c r="P41" s="360" t="s">
        <v>952</v>
      </c>
      <c r="Q41" s="364" t="s">
        <v>582</v>
      </c>
      <c r="R41" s="364"/>
      <c r="S41" s="365"/>
      <c r="T41" s="376"/>
      <c r="U41" s="376"/>
      <c r="V41" s="376"/>
      <c r="W41" s="376"/>
      <c r="X41" s="376"/>
      <c r="Y41" s="377"/>
    </row>
    <row r="42" spans="1:31" ht="15.75">
      <c r="A42" s="359" t="s">
        <v>922</v>
      </c>
      <c r="B42" s="360" t="s">
        <v>914</v>
      </c>
      <c r="C42" s="361">
        <v>45415.372916666667</v>
      </c>
      <c r="D42" s="360">
        <v>20</v>
      </c>
      <c r="E42" s="360">
        <v>9.9818000000000004E-2</v>
      </c>
      <c r="F42" s="360" t="s">
        <v>915</v>
      </c>
      <c r="G42" s="360">
        <v>22.5</v>
      </c>
      <c r="H42" s="360">
        <v>1308.9280000000001</v>
      </c>
      <c r="I42" s="360">
        <v>0.99999000000000005</v>
      </c>
      <c r="J42" s="360">
        <v>0.40479199999999999</v>
      </c>
      <c r="K42" s="360">
        <v>2020.3</v>
      </c>
      <c r="L42" s="360">
        <v>5.1692</v>
      </c>
      <c r="M42" s="362" t="s">
        <v>230</v>
      </c>
      <c r="N42" s="362" t="s">
        <v>230</v>
      </c>
      <c r="O42" s="363" t="s">
        <v>13</v>
      </c>
      <c r="P42" s="360" t="s">
        <v>952</v>
      </c>
      <c r="Q42" s="364" t="s">
        <v>582</v>
      </c>
      <c r="R42" s="364"/>
      <c r="S42" s="365"/>
      <c r="T42" s="376"/>
      <c r="U42" s="376"/>
      <c r="V42" s="376"/>
      <c r="W42" s="376"/>
      <c r="X42" s="376"/>
      <c r="Y42" s="377"/>
    </row>
    <row r="43" spans="1:31" ht="15.75">
      <c r="A43" s="359" t="s">
        <v>923</v>
      </c>
      <c r="B43" s="360" t="s">
        <v>914</v>
      </c>
      <c r="C43" s="361">
        <v>45415.379861111112</v>
      </c>
      <c r="D43" s="360">
        <v>20</v>
      </c>
      <c r="E43" s="360">
        <v>9.9818000000000004E-2</v>
      </c>
      <c r="F43" s="360" t="s">
        <v>915</v>
      </c>
      <c r="G43" s="360">
        <v>22.5</v>
      </c>
      <c r="H43" s="360">
        <v>1313.434</v>
      </c>
      <c r="I43" s="360">
        <v>0.99999199999999999</v>
      </c>
      <c r="J43" s="360">
        <v>0.403887</v>
      </c>
      <c r="K43" s="360">
        <v>2015.8</v>
      </c>
      <c r="L43" s="360">
        <v>3.1959</v>
      </c>
      <c r="M43" s="362" t="s">
        <v>230</v>
      </c>
      <c r="N43" s="362" t="s">
        <v>230</v>
      </c>
      <c r="O43" s="363" t="s">
        <v>13</v>
      </c>
      <c r="P43" s="360" t="s">
        <v>952</v>
      </c>
      <c r="Q43" s="364" t="s">
        <v>582</v>
      </c>
      <c r="R43" s="364"/>
      <c r="S43" s="365"/>
      <c r="T43" s="376"/>
      <c r="U43" s="376"/>
      <c r="V43" s="376"/>
      <c r="W43" s="376"/>
      <c r="X43" s="376"/>
      <c r="Y43" s="377"/>
    </row>
    <row r="44" spans="1:31" ht="15.75">
      <c r="A44" s="359" t="s">
        <v>924</v>
      </c>
      <c r="B44" s="360" t="s">
        <v>914</v>
      </c>
      <c r="C44" s="361">
        <v>45415.385416666664</v>
      </c>
      <c r="D44" s="360">
        <v>20</v>
      </c>
      <c r="E44" s="360">
        <v>9.9818000000000004E-2</v>
      </c>
      <c r="F44" s="360" t="s">
        <v>915</v>
      </c>
      <c r="G44" s="360">
        <v>22.5</v>
      </c>
      <c r="H44" s="360">
        <v>1318.9670000000001</v>
      </c>
      <c r="I44" s="360">
        <v>0.99997800000000003</v>
      </c>
      <c r="J44" s="360">
        <v>0.40561999999999998</v>
      </c>
      <c r="K44" s="360">
        <v>2024.4</v>
      </c>
      <c r="L44" s="360">
        <v>6.1173000000000002</v>
      </c>
      <c r="M44" s="362" t="s">
        <v>230</v>
      </c>
      <c r="N44" s="362" t="s">
        <v>230</v>
      </c>
      <c r="O44" s="363" t="s">
        <v>13</v>
      </c>
      <c r="P44" s="360" t="s">
        <v>952</v>
      </c>
      <c r="Q44" s="364" t="s">
        <v>582</v>
      </c>
      <c r="R44" s="364"/>
      <c r="S44" s="365"/>
      <c r="T44" s="376"/>
      <c r="U44" s="376"/>
      <c r="V44" s="376"/>
      <c r="W44" s="376"/>
      <c r="X44" s="376"/>
      <c r="Y44" s="377"/>
    </row>
    <row r="45" spans="1:31" ht="15.75">
      <c r="A45" s="359" t="s">
        <v>953</v>
      </c>
      <c r="B45" s="360" t="s">
        <v>914</v>
      </c>
      <c r="C45" s="361">
        <v>45415.390972222223</v>
      </c>
      <c r="D45" s="360">
        <v>20</v>
      </c>
      <c r="E45" s="360">
        <v>9.9818000000000004E-2</v>
      </c>
      <c r="F45" s="360" t="s">
        <v>915</v>
      </c>
      <c r="G45" s="360">
        <v>22.5</v>
      </c>
      <c r="H45" s="360">
        <v>1309.9939999999999</v>
      </c>
      <c r="I45" s="360">
        <v>0.99996700000000005</v>
      </c>
      <c r="J45" s="360">
        <v>0.40563399999999999</v>
      </c>
      <c r="K45" s="360">
        <v>2024.5</v>
      </c>
      <c r="L45" s="360">
        <v>4.9700000000000001E-2</v>
      </c>
      <c r="M45" s="362" t="s">
        <v>230</v>
      </c>
      <c r="N45" s="362" t="s">
        <v>230</v>
      </c>
      <c r="O45" s="363" t="s">
        <v>13</v>
      </c>
      <c r="P45" s="360" t="s">
        <v>952</v>
      </c>
      <c r="Q45" s="364" t="s">
        <v>582</v>
      </c>
      <c r="R45" s="364"/>
      <c r="S45" s="365"/>
      <c r="T45" s="376"/>
      <c r="U45" s="376"/>
      <c r="V45" s="376"/>
      <c r="W45" s="376"/>
      <c r="X45" s="376"/>
      <c r="Y45" s="377"/>
    </row>
    <row r="46" spans="1:31" ht="15.75">
      <c r="A46" s="359" t="s">
        <v>954</v>
      </c>
      <c r="B46" s="360" t="s">
        <v>914</v>
      </c>
      <c r="C46" s="361">
        <v>45415.397222222222</v>
      </c>
      <c r="D46" s="360">
        <v>20</v>
      </c>
      <c r="E46" s="360">
        <v>9.9818000000000004E-2</v>
      </c>
      <c r="F46" s="360" t="s">
        <v>915</v>
      </c>
      <c r="G46" s="360">
        <v>22.5</v>
      </c>
      <c r="H46" s="360">
        <v>1312.76</v>
      </c>
      <c r="I46" s="360">
        <v>0.99997599999999998</v>
      </c>
      <c r="J46" s="360">
        <v>0.40601700000000002</v>
      </c>
      <c r="K46" s="360">
        <v>2026.4</v>
      </c>
      <c r="L46" s="360">
        <v>1.3512999999999999</v>
      </c>
      <c r="M46" s="362" t="s">
        <v>230</v>
      </c>
      <c r="N46" s="362" t="s">
        <v>230</v>
      </c>
      <c r="O46" s="363" t="s">
        <v>13</v>
      </c>
      <c r="P46" s="360" t="s">
        <v>952</v>
      </c>
      <c r="Q46" s="364" t="s">
        <v>582</v>
      </c>
      <c r="R46" s="364"/>
      <c r="S46" s="365"/>
      <c r="T46" s="376"/>
      <c r="U46" s="376"/>
      <c r="V46" s="376"/>
      <c r="W46" s="376"/>
      <c r="X46" s="376"/>
      <c r="Y46" s="377"/>
    </row>
    <row r="47" spans="1:31" ht="15.75">
      <c r="A47" s="359" t="s">
        <v>955</v>
      </c>
      <c r="B47" s="360" t="s">
        <v>659</v>
      </c>
      <c r="C47" s="361">
        <v>45415.415277777778</v>
      </c>
      <c r="D47" s="360">
        <v>20</v>
      </c>
      <c r="E47" s="360">
        <v>9.9818000000000004E-2</v>
      </c>
      <c r="F47" s="360">
        <v>33.200000000000003</v>
      </c>
      <c r="G47" s="360">
        <v>22.5</v>
      </c>
      <c r="H47" s="360">
        <v>1081.365</v>
      </c>
      <c r="I47" s="360">
        <v>0.99981799999999998</v>
      </c>
      <c r="J47" s="360">
        <v>0.45192300000000002</v>
      </c>
      <c r="K47" s="360">
        <v>2255.5</v>
      </c>
      <c r="L47" s="360">
        <v>2.7433000000000001</v>
      </c>
      <c r="M47" s="362">
        <f t="shared" ref="M47:M76" si="2">(999.842594+0.06793952*G47-0.00909529*G47^2+0.0001001685*G47^3-0.000001120083*G47^4+0.000000006536332*G47^5+(0.824493-0.0040899*G47+0.000076438*G47^2-0.00000082467*G47^3+0.0000000053875*G47^4)*F47+ (-0.00572466 + 0.00010227*G47 - 0.0000016546*G47^2)*F47^1.5 + 0.00048314*F47^2)/1000</f>
        <v>1.0227124503008802</v>
      </c>
      <c r="N47" s="374">
        <f t="shared" ref="N47:N76" si="3">K47/M47</f>
        <v>2205.4097408674706</v>
      </c>
      <c r="O47" s="363" t="s">
        <v>13</v>
      </c>
      <c r="P47" s="360"/>
      <c r="Q47" s="364" t="s">
        <v>12</v>
      </c>
      <c r="R47" s="364"/>
      <c r="S47" s="365"/>
      <c r="T47" s="376"/>
      <c r="U47" s="376"/>
      <c r="V47" s="376"/>
      <c r="W47" s="376"/>
      <c r="X47" s="376"/>
      <c r="Y47" s="377"/>
    </row>
    <row r="48" spans="1:31" ht="15.75">
      <c r="A48" s="368" t="s">
        <v>956</v>
      </c>
      <c r="B48" s="369" t="s">
        <v>659</v>
      </c>
      <c r="C48" s="370">
        <v>45415.421527777777</v>
      </c>
      <c r="D48" s="369">
        <v>20</v>
      </c>
      <c r="E48" s="369">
        <v>9.9818000000000004E-2</v>
      </c>
      <c r="F48" s="369">
        <v>33.200000000000003</v>
      </c>
      <c r="G48" s="369">
        <v>22.5</v>
      </c>
      <c r="H48" s="369">
        <v>1093.348</v>
      </c>
      <c r="I48" s="369">
        <v>0.99971900000000002</v>
      </c>
      <c r="J48" s="369">
        <v>0.45205400000000001</v>
      </c>
      <c r="K48" s="369">
        <v>2256.1999999999998</v>
      </c>
      <c r="L48" s="360">
        <v>0.46379999999999999</v>
      </c>
      <c r="M48" s="362">
        <f t="shared" si="2"/>
        <v>1.0227124503008802</v>
      </c>
      <c r="N48" s="374">
        <f t="shared" si="3"/>
        <v>2206.0941952317385</v>
      </c>
      <c r="O48" s="363" t="s">
        <v>13</v>
      </c>
      <c r="P48" s="360"/>
      <c r="Q48" s="364" t="s">
        <v>12</v>
      </c>
      <c r="R48" s="364"/>
      <c r="S48" s="365"/>
      <c r="T48" s="376"/>
      <c r="U48" s="376"/>
      <c r="V48" s="376"/>
      <c r="W48" s="376"/>
      <c r="X48" s="376"/>
      <c r="Y48" s="377"/>
    </row>
    <row r="49" spans="1:25" ht="15.75">
      <c r="A49" s="359" t="s">
        <v>930</v>
      </c>
      <c r="B49" s="360">
        <v>131</v>
      </c>
      <c r="C49" s="361">
        <v>45415.427777777775</v>
      </c>
      <c r="D49" s="360">
        <v>20</v>
      </c>
      <c r="E49" s="360">
        <v>9.9818000000000004E-2</v>
      </c>
      <c r="F49" s="360">
        <v>37</v>
      </c>
      <c r="G49" s="360">
        <v>22.5</v>
      </c>
      <c r="H49" s="360">
        <v>1008.282</v>
      </c>
      <c r="I49" s="360">
        <v>0.99983299999999997</v>
      </c>
      <c r="J49" s="360">
        <v>0.498672</v>
      </c>
      <c r="K49" s="360">
        <v>2488.8000000000002</v>
      </c>
      <c r="L49" s="360"/>
      <c r="M49" s="362">
        <f t="shared" si="2"/>
        <v>1.0255974356771682</v>
      </c>
      <c r="N49" s="374">
        <f t="shared" si="3"/>
        <v>2426.6831345543756</v>
      </c>
      <c r="O49" s="363" t="s">
        <v>13</v>
      </c>
      <c r="P49" s="360"/>
      <c r="Q49" s="364" t="s">
        <v>12</v>
      </c>
      <c r="R49" s="364"/>
      <c r="S49" s="365"/>
      <c r="T49" s="376"/>
      <c r="U49" s="376"/>
      <c r="V49" s="376"/>
      <c r="W49" s="376"/>
      <c r="X49" s="376"/>
      <c r="Y49" s="377"/>
    </row>
    <row r="50" spans="1:25" ht="15.75">
      <c r="A50" s="359" t="s">
        <v>931</v>
      </c>
      <c r="B50" s="360">
        <v>132</v>
      </c>
      <c r="C50" s="361">
        <v>45415.4375</v>
      </c>
      <c r="D50" s="360">
        <v>20</v>
      </c>
      <c r="E50" s="360">
        <v>9.9818000000000004E-2</v>
      </c>
      <c r="F50" s="360">
        <v>37</v>
      </c>
      <c r="G50" s="360">
        <v>22.5</v>
      </c>
      <c r="H50" s="360">
        <v>1038.8130000000001</v>
      </c>
      <c r="I50" s="360">
        <v>0.99981799999999998</v>
      </c>
      <c r="J50" s="360">
        <v>0.48314800000000002</v>
      </c>
      <c r="K50" s="360">
        <v>2411.3000000000002</v>
      </c>
      <c r="L50" s="360"/>
      <c r="M50" s="362">
        <f t="shared" si="2"/>
        <v>1.0255974356771682</v>
      </c>
      <c r="N50" s="374">
        <f t="shared" si="3"/>
        <v>2351.1174229954058</v>
      </c>
      <c r="O50" s="363" t="s">
        <v>13</v>
      </c>
      <c r="P50" s="360"/>
      <c r="Q50" s="364" t="s">
        <v>12</v>
      </c>
      <c r="R50" s="364"/>
      <c r="S50" s="365"/>
      <c r="T50" s="376"/>
      <c r="U50" s="376"/>
      <c r="V50" s="376"/>
      <c r="W50" s="376"/>
      <c r="X50" s="376"/>
      <c r="Y50" s="377"/>
    </row>
    <row r="51" spans="1:25" ht="15.75">
      <c r="A51" s="359" t="s">
        <v>932</v>
      </c>
      <c r="B51" s="360">
        <v>183</v>
      </c>
      <c r="C51" s="361">
        <v>45415.444444444445</v>
      </c>
      <c r="D51" s="360">
        <v>20</v>
      </c>
      <c r="E51" s="360">
        <v>9.9818000000000004E-2</v>
      </c>
      <c r="F51" s="360">
        <v>37.1</v>
      </c>
      <c r="G51" s="360">
        <v>22.5</v>
      </c>
      <c r="H51" s="360">
        <v>1023.846</v>
      </c>
      <c r="I51" s="360">
        <v>0.99981399999999998</v>
      </c>
      <c r="J51" s="360">
        <v>0.48196299999999997</v>
      </c>
      <c r="K51" s="360">
        <v>2405.4</v>
      </c>
      <c r="L51" s="360"/>
      <c r="M51" s="362">
        <f t="shared" si="2"/>
        <v>1.0256734405384258</v>
      </c>
      <c r="N51" s="374">
        <f t="shared" si="3"/>
        <v>2345.1908813562422</v>
      </c>
      <c r="O51" s="363" t="s">
        <v>13</v>
      </c>
      <c r="P51" s="360"/>
      <c r="Q51" s="364" t="s">
        <v>12</v>
      </c>
      <c r="R51" s="364"/>
      <c r="S51" s="365"/>
      <c r="T51" s="376"/>
      <c r="U51" s="376"/>
      <c r="V51" s="376"/>
      <c r="W51" s="376"/>
      <c r="X51" s="376"/>
      <c r="Y51" s="377"/>
    </row>
    <row r="52" spans="1:25" ht="15.75">
      <c r="A52" s="359" t="s">
        <v>933</v>
      </c>
      <c r="B52" s="360">
        <v>184</v>
      </c>
      <c r="C52" s="361">
        <v>45415.45</v>
      </c>
      <c r="D52" s="360">
        <v>20</v>
      </c>
      <c r="E52" s="360">
        <v>9.9818000000000004E-2</v>
      </c>
      <c r="F52" s="360">
        <v>37</v>
      </c>
      <c r="G52" s="360">
        <v>22.5</v>
      </c>
      <c r="H52" s="360">
        <v>1049.4110000000001</v>
      </c>
      <c r="I52" s="360">
        <v>0.99982899999999997</v>
      </c>
      <c r="J52" s="360">
        <v>0.48039999999999999</v>
      </c>
      <c r="K52" s="360">
        <v>2397.6</v>
      </c>
      <c r="L52" s="360"/>
      <c r="M52" s="362">
        <f t="shared" si="2"/>
        <v>1.0255974356771682</v>
      </c>
      <c r="N52" s="374">
        <f t="shared" si="3"/>
        <v>2337.7593552746584</v>
      </c>
      <c r="O52" s="363" t="s">
        <v>13</v>
      </c>
      <c r="P52" s="360"/>
      <c r="Q52" s="364" t="s">
        <v>12</v>
      </c>
      <c r="R52" s="364"/>
      <c r="S52" s="365"/>
      <c r="T52" s="376"/>
      <c r="U52" s="376"/>
      <c r="V52" s="376"/>
      <c r="W52" s="376"/>
      <c r="X52" s="376"/>
      <c r="Y52" s="377"/>
    </row>
    <row r="53" spans="1:25" ht="15.75">
      <c r="A53" s="359" t="s">
        <v>934</v>
      </c>
      <c r="B53" s="360">
        <v>209</v>
      </c>
      <c r="C53" s="361">
        <v>45415.460416666669</v>
      </c>
      <c r="D53" s="360">
        <v>20</v>
      </c>
      <c r="E53" s="360">
        <v>9.9818000000000004E-2</v>
      </c>
      <c r="F53" s="360">
        <v>36.9</v>
      </c>
      <c r="G53" s="360">
        <v>22.5</v>
      </c>
      <c r="H53" s="360">
        <v>1087.4290000000001</v>
      </c>
      <c r="I53" s="360">
        <v>0.99977199999999999</v>
      </c>
      <c r="J53" s="360">
        <v>0.48053899999999999</v>
      </c>
      <c r="K53" s="360">
        <v>2398.3000000000002</v>
      </c>
      <c r="L53" s="360"/>
      <c r="M53" s="362">
        <f t="shared" si="2"/>
        <v>1.0255214352246484</v>
      </c>
      <c r="N53" s="374">
        <f t="shared" si="3"/>
        <v>2338.6151840645184</v>
      </c>
      <c r="O53" s="363" t="s">
        <v>13</v>
      </c>
      <c r="P53" s="360"/>
      <c r="Q53" s="364" t="s">
        <v>12</v>
      </c>
      <c r="R53" s="364"/>
      <c r="S53" s="365"/>
      <c r="T53" s="376"/>
      <c r="U53" s="376"/>
      <c r="V53" s="376"/>
      <c r="W53" s="376"/>
      <c r="X53" s="376"/>
      <c r="Y53" s="377"/>
    </row>
    <row r="54" spans="1:25" ht="15.75">
      <c r="A54" s="359" t="s">
        <v>935</v>
      </c>
      <c r="B54" s="360">
        <v>210</v>
      </c>
      <c r="C54" s="361">
        <v>45415.473611111112</v>
      </c>
      <c r="D54" s="360">
        <v>20</v>
      </c>
      <c r="E54" s="360">
        <v>9.9818000000000004E-2</v>
      </c>
      <c r="F54" s="360">
        <v>37.1</v>
      </c>
      <c r="G54" s="360">
        <v>22.5</v>
      </c>
      <c r="H54" s="360">
        <v>1097.9159999999999</v>
      </c>
      <c r="I54" s="360">
        <v>0.99980999999999998</v>
      </c>
      <c r="J54" s="360">
        <v>0.480744</v>
      </c>
      <c r="K54" s="360">
        <v>2399.4</v>
      </c>
      <c r="L54" s="360"/>
      <c r="M54" s="362">
        <f t="shared" si="2"/>
        <v>1.0256734405384258</v>
      </c>
      <c r="N54" s="374">
        <f t="shared" si="3"/>
        <v>2339.3410662368701</v>
      </c>
      <c r="O54" s="363" t="s">
        <v>13</v>
      </c>
      <c r="P54" s="360"/>
      <c r="Q54" s="364" t="s">
        <v>12</v>
      </c>
      <c r="R54" s="364"/>
      <c r="S54" s="365"/>
      <c r="T54" s="376"/>
      <c r="U54" s="376"/>
      <c r="V54" s="376"/>
      <c r="W54" s="376"/>
      <c r="X54" s="376"/>
      <c r="Y54" s="377"/>
    </row>
    <row r="55" spans="1:25" ht="15.75">
      <c r="A55" s="359" t="s">
        <v>937</v>
      </c>
      <c r="B55" s="360">
        <v>365</v>
      </c>
      <c r="C55" s="361">
        <v>45415.481249999997</v>
      </c>
      <c r="D55" s="360">
        <v>20</v>
      </c>
      <c r="E55" s="360">
        <v>9.9818000000000004E-2</v>
      </c>
      <c r="F55" s="360">
        <v>37.200000000000003</v>
      </c>
      <c r="G55" s="360">
        <v>22.5</v>
      </c>
      <c r="H55" s="360">
        <v>1089.674</v>
      </c>
      <c r="I55" s="360">
        <v>0.99978400000000001</v>
      </c>
      <c r="J55" s="360">
        <v>0.47925299999999998</v>
      </c>
      <c r="K55" s="360">
        <v>2391.9</v>
      </c>
      <c r="L55" s="360"/>
      <c r="M55" s="362">
        <f t="shared" si="2"/>
        <v>1.0257494498155078</v>
      </c>
      <c r="N55" s="374">
        <f t="shared" si="3"/>
        <v>2331.8559911781667</v>
      </c>
      <c r="O55" s="363" t="s">
        <v>13</v>
      </c>
      <c r="P55" s="360"/>
      <c r="Q55" s="364" t="s">
        <v>12</v>
      </c>
      <c r="R55" s="364"/>
      <c r="S55" s="365"/>
      <c r="T55" s="376"/>
      <c r="U55" s="376"/>
      <c r="V55" s="376"/>
      <c r="W55" s="376"/>
      <c r="X55" s="376"/>
      <c r="Y55" s="377"/>
    </row>
    <row r="56" spans="1:25" ht="15.75">
      <c r="A56" s="359" t="s">
        <v>938</v>
      </c>
      <c r="B56" s="360">
        <v>366</v>
      </c>
      <c r="C56" s="361">
        <v>45415.488194444442</v>
      </c>
      <c r="D56" s="360">
        <v>20</v>
      </c>
      <c r="E56" s="360">
        <v>9.9818000000000004E-2</v>
      </c>
      <c r="F56" s="360">
        <v>37.1</v>
      </c>
      <c r="G56" s="360">
        <v>22.5</v>
      </c>
      <c r="H56" s="360">
        <v>1078.5650000000001</v>
      </c>
      <c r="I56" s="360">
        <v>0.99977499999999997</v>
      </c>
      <c r="J56" s="360">
        <v>0.48105599999999998</v>
      </c>
      <c r="K56" s="360">
        <v>2400.9</v>
      </c>
      <c r="L56" s="360"/>
      <c r="M56" s="362">
        <f t="shared" si="2"/>
        <v>1.0256734405384258</v>
      </c>
      <c r="N56" s="374">
        <f t="shared" si="3"/>
        <v>2340.8035200167133</v>
      </c>
      <c r="O56" s="363" t="s">
        <v>13</v>
      </c>
      <c r="P56" s="360"/>
      <c r="Q56" s="364" t="s">
        <v>12</v>
      </c>
      <c r="R56" s="364"/>
      <c r="S56" s="365"/>
      <c r="T56" s="376"/>
      <c r="U56" s="376"/>
      <c r="V56" s="376"/>
      <c r="W56" s="376"/>
      <c r="X56" s="376"/>
      <c r="Y56" s="377"/>
    </row>
    <row r="57" spans="1:25" ht="15.75">
      <c r="A57" s="359" t="s">
        <v>939</v>
      </c>
      <c r="B57" s="360">
        <v>222</v>
      </c>
      <c r="C57" s="361">
        <v>45415.497916666667</v>
      </c>
      <c r="D57" s="360">
        <v>20</v>
      </c>
      <c r="E57" s="360">
        <v>9.9818000000000004E-2</v>
      </c>
      <c r="F57" s="360">
        <v>37.1</v>
      </c>
      <c r="G57" s="360">
        <v>22.5</v>
      </c>
      <c r="H57" s="360">
        <v>1088.462</v>
      </c>
      <c r="I57" s="360">
        <v>0.99983900000000003</v>
      </c>
      <c r="J57" s="360">
        <v>0.48223500000000002</v>
      </c>
      <c r="K57" s="360">
        <v>2406.8000000000002</v>
      </c>
      <c r="L57" s="360"/>
      <c r="M57" s="362">
        <f t="shared" si="2"/>
        <v>1.0256734405384258</v>
      </c>
      <c r="N57" s="374">
        <f t="shared" si="3"/>
        <v>2346.555838217429</v>
      </c>
      <c r="O57" s="363" t="s">
        <v>13</v>
      </c>
      <c r="P57" s="360"/>
      <c r="Q57" s="364" t="s">
        <v>12</v>
      </c>
      <c r="R57" s="364"/>
      <c r="S57" s="365"/>
      <c r="T57" s="376"/>
      <c r="U57" s="376"/>
      <c r="V57" s="376"/>
      <c r="W57" s="376"/>
      <c r="X57" s="376"/>
      <c r="Y57" s="377"/>
    </row>
    <row r="58" spans="1:25" ht="15.75">
      <c r="A58" s="359" t="s">
        <v>940</v>
      </c>
      <c r="B58" s="360">
        <v>223</v>
      </c>
      <c r="C58" s="361">
        <v>45415.506249999999</v>
      </c>
      <c r="D58" s="360">
        <v>20</v>
      </c>
      <c r="E58" s="360">
        <v>9.9818000000000004E-2</v>
      </c>
      <c r="F58" s="360">
        <v>37.200000000000003</v>
      </c>
      <c r="G58" s="360">
        <v>22.5</v>
      </c>
      <c r="H58" s="360">
        <v>1087.864</v>
      </c>
      <c r="I58" s="360">
        <v>0.99982499999999996</v>
      </c>
      <c r="J58" s="360">
        <v>0.48267100000000002</v>
      </c>
      <c r="K58" s="360">
        <v>2409</v>
      </c>
      <c r="L58" s="360"/>
      <c r="M58" s="362">
        <f t="shared" si="2"/>
        <v>1.0257494498155078</v>
      </c>
      <c r="N58" s="374">
        <f t="shared" si="3"/>
        <v>2348.5267288549703</v>
      </c>
      <c r="O58" s="363" t="s">
        <v>13</v>
      </c>
      <c r="P58" s="360"/>
      <c r="Q58" s="364" t="s">
        <v>12</v>
      </c>
      <c r="R58" s="364"/>
      <c r="S58" s="365"/>
      <c r="T58" s="376"/>
      <c r="U58" s="376"/>
      <c r="V58" s="376"/>
      <c r="W58" s="376"/>
      <c r="X58" s="376"/>
      <c r="Y58" s="377"/>
    </row>
    <row r="59" spans="1:25" ht="15.75">
      <c r="A59" s="359" t="s">
        <v>941</v>
      </c>
      <c r="B59" s="360" t="s">
        <v>957</v>
      </c>
      <c r="C59" s="361">
        <v>45415.513194444444</v>
      </c>
      <c r="D59" s="360">
        <v>20</v>
      </c>
      <c r="E59" s="360">
        <v>9.9818000000000004E-2</v>
      </c>
      <c r="F59" s="360">
        <v>33.200000000000003</v>
      </c>
      <c r="G59" s="360">
        <v>22.5</v>
      </c>
      <c r="H59" s="360">
        <v>1083.3889999999999</v>
      </c>
      <c r="I59" s="360">
        <v>0.99985599999999997</v>
      </c>
      <c r="J59" s="360">
        <v>0.45125799999999999</v>
      </c>
      <c r="K59" s="360">
        <v>2252.1999999999998</v>
      </c>
      <c r="L59" s="360"/>
      <c r="M59" s="362">
        <f t="shared" si="2"/>
        <v>1.0227124503008802</v>
      </c>
      <c r="N59" s="374">
        <f t="shared" si="3"/>
        <v>2202.1830274359195</v>
      </c>
      <c r="O59" s="363" t="s">
        <v>13</v>
      </c>
      <c r="P59" s="360"/>
      <c r="Q59" s="364" t="s">
        <v>12</v>
      </c>
      <c r="R59" s="364"/>
      <c r="S59" s="365"/>
      <c r="T59" s="376"/>
      <c r="U59" s="376"/>
      <c r="V59" s="376"/>
      <c r="W59" s="376"/>
      <c r="X59" s="376"/>
      <c r="Y59" s="377"/>
    </row>
    <row r="60" spans="1:25" ht="15.75">
      <c r="A60" s="368" t="s">
        <v>958</v>
      </c>
      <c r="B60" s="369" t="s">
        <v>957</v>
      </c>
      <c r="C60" s="370">
        <v>45415.520138888889</v>
      </c>
      <c r="D60" s="369">
        <v>20</v>
      </c>
      <c r="E60" s="369">
        <v>9.9818000000000004E-2</v>
      </c>
      <c r="F60" s="369">
        <v>33.200000000000003</v>
      </c>
      <c r="G60" s="369">
        <v>22.5</v>
      </c>
      <c r="H60" s="369">
        <v>1088.481</v>
      </c>
      <c r="I60" s="369">
        <v>0.99978100000000003</v>
      </c>
      <c r="J60" s="369">
        <v>0.45161800000000002</v>
      </c>
      <c r="K60" s="369">
        <v>2254</v>
      </c>
      <c r="L60" s="360">
        <v>1.272</v>
      </c>
      <c r="M60" s="362">
        <f t="shared" si="2"/>
        <v>1.0227124503008802</v>
      </c>
      <c r="N60" s="374">
        <f t="shared" si="3"/>
        <v>2203.9430529440383</v>
      </c>
      <c r="O60" s="363" t="s">
        <v>13</v>
      </c>
      <c r="P60" s="360"/>
      <c r="Q60" s="364" t="s">
        <v>12</v>
      </c>
      <c r="R60" s="364"/>
      <c r="S60" s="365"/>
      <c r="T60" s="376"/>
      <c r="U60" s="376"/>
      <c r="V60" s="376"/>
      <c r="W60" s="376"/>
      <c r="X60" s="376"/>
      <c r="Y60" s="377"/>
    </row>
    <row r="61" spans="1:25" ht="15.75">
      <c r="A61" s="359" t="s">
        <v>942</v>
      </c>
      <c r="B61" s="360">
        <v>235</v>
      </c>
      <c r="C61" s="361">
        <v>45415.543055555558</v>
      </c>
      <c r="D61" s="360">
        <v>20</v>
      </c>
      <c r="E61" s="360">
        <v>9.9818000000000004E-2</v>
      </c>
      <c r="F61" s="360">
        <v>37</v>
      </c>
      <c r="G61" s="360">
        <v>22.5</v>
      </c>
      <c r="H61" s="360">
        <v>1091.498</v>
      </c>
      <c r="I61" s="360">
        <v>0.99975999999999998</v>
      </c>
      <c r="J61" s="360">
        <v>0.482431</v>
      </c>
      <c r="K61" s="360">
        <v>2407.8000000000002</v>
      </c>
      <c r="L61" s="360"/>
      <c r="M61" s="362">
        <f t="shared" si="2"/>
        <v>1.0255974356771682</v>
      </c>
      <c r="N61" s="374">
        <f t="shared" si="3"/>
        <v>2347.7047779572586</v>
      </c>
      <c r="O61" s="363" t="s">
        <v>13</v>
      </c>
      <c r="P61" s="360"/>
      <c r="Q61" s="364" t="s">
        <v>12</v>
      </c>
      <c r="R61" s="364"/>
      <c r="S61" s="365"/>
      <c r="T61" s="376"/>
      <c r="U61" s="376"/>
      <c r="V61" s="376"/>
      <c r="W61" s="376"/>
      <c r="X61" s="376"/>
      <c r="Y61" s="377"/>
    </row>
    <row r="62" spans="1:25" ht="15.75">
      <c r="A62" s="359" t="s">
        <v>943</v>
      </c>
      <c r="B62" s="360">
        <v>236</v>
      </c>
      <c r="C62" s="361">
        <v>45415.556250000001</v>
      </c>
      <c r="D62" s="360">
        <v>20</v>
      </c>
      <c r="E62" s="360">
        <v>9.9818000000000004E-2</v>
      </c>
      <c r="F62" s="360">
        <v>37</v>
      </c>
      <c r="G62" s="360">
        <v>22.5</v>
      </c>
      <c r="H62" s="360">
        <v>1093.6120000000001</v>
      </c>
      <c r="I62" s="360">
        <v>0.99978800000000001</v>
      </c>
      <c r="J62" s="360">
        <v>0.48356500000000002</v>
      </c>
      <c r="K62" s="360">
        <v>2413.4</v>
      </c>
      <c r="L62" s="360"/>
      <c r="M62" s="362">
        <f t="shared" si="2"/>
        <v>1.0255974356771682</v>
      </c>
      <c r="N62" s="374">
        <f t="shared" si="3"/>
        <v>2353.1650100182937</v>
      </c>
      <c r="O62" s="363" t="s">
        <v>13</v>
      </c>
      <c r="P62" s="360"/>
      <c r="Q62" s="364" t="s">
        <v>12</v>
      </c>
      <c r="R62" s="364"/>
      <c r="S62" s="365"/>
      <c r="T62" s="376"/>
      <c r="U62" s="376"/>
      <c r="V62" s="376"/>
      <c r="W62" s="376"/>
      <c r="X62" s="376"/>
      <c r="Y62" s="377"/>
    </row>
    <row r="63" spans="1:25" ht="15.75">
      <c r="A63" s="359" t="s">
        <v>944</v>
      </c>
      <c r="B63" s="360">
        <v>53</v>
      </c>
      <c r="C63" s="361">
        <v>45415.5625</v>
      </c>
      <c r="D63" s="360">
        <v>20</v>
      </c>
      <c r="E63" s="360">
        <v>9.9818000000000004E-2</v>
      </c>
      <c r="F63" s="360">
        <v>37.1</v>
      </c>
      <c r="G63" s="360">
        <v>22.5</v>
      </c>
      <c r="H63" s="360">
        <v>1094.4839999999999</v>
      </c>
      <c r="I63" s="360">
        <v>0.99981299999999995</v>
      </c>
      <c r="J63" s="360">
        <v>0.48507099999999997</v>
      </c>
      <c r="K63" s="360">
        <v>2420.9</v>
      </c>
      <c r="L63" s="360"/>
      <c r="M63" s="362">
        <f t="shared" si="2"/>
        <v>1.0256734405384258</v>
      </c>
      <c r="N63" s="374">
        <f t="shared" si="3"/>
        <v>2360.3029037479532</v>
      </c>
      <c r="O63" s="363" t="s">
        <v>13</v>
      </c>
      <c r="P63" s="360"/>
      <c r="Q63" s="364" t="s">
        <v>12</v>
      </c>
      <c r="R63" s="364"/>
      <c r="S63" s="365"/>
      <c r="T63" s="376"/>
      <c r="U63" s="376"/>
      <c r="V63" s="376"/>
      <c r="W63" s="376"/>
      <c r="X63" s="376"/>
      <c r="Y63" s="377"/>
    </row>
    <row r="64" spans="1:25" ht="15.75">
      <c r="A64" s="359" t="s">
        <v>945</v>
      </c>
      <c r="B64" s="360">
        <v>54</v>
      </c>
      <c r="C64" s="361">
        <v>45415.568055555559</v>
      </c>
      <c r="D64" s="360">
        <v>20</v>
      </c>
      <c r="E64" s="360">
        <v>9.9818000000000004E-2</v>
      </c>
      <c r="F64" s="360">
        <v>37</v>
      </c>
      <c r="G64" s="360">
        <v>22.5</v>
      </c>
      <c r="H64" s="360">
        <v>1095.8230000000001</v>
      </c>
      <c r="I64" s="360">
        <v>0.99981399999999998</v>
      </c>
      <c r="J64" s="360">
        <v>0.484676</v>
      </c>
      <c r="K64" s="360">
        <v>2419</v>
      </c>
      <c r="L64" s="360"/>
      <c r="M64" s="362">
        <f t="shared" si="2"/>
        <v>1.0255974356771682</v>
      </c>
      <c r="N64" s="374">
        <f t="shared" si="3"/>
        <v>2358.6252420793289</v>
      </c>
      <c r="O64" s="363" t="s">
        <v>13</v>
      </c>
      <c r="P64" s="360"/>
      <c r="Q64" s="364" t="s">
        <v>12</v>
      </c>
      <c r="R64" s="364"/>
      <c r="S64" s="365"/>
      <c r="T64" s="376"/>
      <c r="U64" s="376"/>
      <c r="V64" s="376"/>
      <c r="W64" s="376"/>
      <c r="X64" s="376"/>
      <c r="Y64" s="377"/>
    </row>
    <row r="65" spans="1:25" ht="15.75">
      <c r="A65" s="359" t="s">
        <v>946</v>
      </c>
      <c r="B65" s="360">
        <v>248</v>
      </c>
      <c r="C65" s="361">
        <v>45415.57708333333</v>
      </c>
      <c r="D65" s="360">
        <v>20</v>
      </c>
      <c r="E65" s="360">
        <v>9.9818000000000004E-2</v>
      </c>
      <c r="F65" s="360">
        <v>36.9</v>
      </c>
      <c r="G65" s="360">
        <v>22.5</v>
      </c>
      <c r="H65" s="360">
        <v>1098.952</v>
      </c>
      <c r="I65" s="360">
        <v>0.99977000000000005</v>
      </c>
      <c r="J65" s="360">
        <v>0.486317</v>
      </c>
      <c r="K65" s="360">
        <v>2427.1999999999998</v>
      </c>
      <c r="L65" s="360"/>
      <c r="M65" s="362">
        <f t="shared" si="2"/>
        <v>1.0255214352246484</v>
      </c>
      <c r="N65" s="374">
        <f t="shared" si="3"/>
        <v>2366.7959699626394</v>
      </c>
      <c r="O65" s="363" t="s">
        <v>13</v>
      </c>
      <c r="P65" s="360"/>
      <c r="Q65" s="364" t="s">
        <v>12</v>
      </c>
      <c r="R65" s="364"/>
      <c r="S65" s="365"/>
      <c r="T65" s="376"/>
      <c r="U65" s="376"/>
      <c r="V65" s="376"/>
      <c r="W65" s="376"/>
      <c r="X65" s="376"/>
      <c r="Y65" s="377"/>
    </row>
    <row r="66" spans="1:25" ht="15.75">
      <c r="A66" s="359" t="s">
        <v>947</v>
      </c>
      <c r="B66" s="360">
        <v>249</v>
      </c>
      <c r="C66" s="361">
        <v>45415.581944444442</v>
      </c>
      <c r="D66" s="360">
        <v>20</v>
      </c>
      <c r="E66" s="360">
        <v>9.9818000000000004E-2</v>
      </c>
      <c r="F66" s="360">
        <v>37.1</v>
      </c>
      <c r="G66" s="360">
        <v>22.5</v>
      </c>
      <c r="H66" s="360">
        <v>1092.366</v>
      </c>
      <c r="I66" s="360">
        <v>0.99983</v>
      </c>
      <c r="J66" s="360">
        <v>0.48542800000000003</v>
      </c>
      <c r="K66" s="360">
        <v>2422.6999999999998</v>
      </c>
      <c r="L66" s="360"/>
      <c r="M66" s="362">
        <f t="shared" si="2"/>
        <v>1.0256734405384258</v>
      </c>
      <c r="N66" s="374">
        <f t="shared" si="3"/>
        <v>2362.0578482837645</v>
      </c>
      <c r="O66" s="363" t="s">
        <v>13</v>
      </c>
      <c r="P66" s="360"/>
      <c r="Q66" s="364" t="s">
        <v>12</v>
      </c>
      <c r="R66" s="364"/>
      <c r="S66" s="365"/>
      <c r="T66" s="376"/>
      <c r="U66" s="376"/>
      <c r="V66" s="376"/>
      <c r="W66" s="376"/>
      <c r="X66" s="376"/>
      <c r="Y66" s="377"/>
    </row>
    <row r="67" spans="1:25" ht="15.75">
      <c r="A67" s="359" t="s">
        <v>948</v>
      </c>
      <c r="B67" s="360">
        <v>261</v>
      </c>
      <c r="C67" s="361">
        <v>45415.588888888888</v>
      </c>
      <c r="D67" s="360">
        <v>20</v>
      </c>
      <c r="E67" s="360">
        <v>9.9818000000000004E-2</v>
      </c>
      <c r="F67" s="360">
        <v>36.9</v>
      </c>
      <c r="G67" s="360">
        <v>22.5</v>
      </c>
      <c r="H67" s="360">
        <v>1103.376</v>
      </c>
      <c r="I67" s="360">
        <v>0.99977000000000005</v>
      </c>
      <c r="J67" s="360">
        <v>0.486317</v>
      </c>
      <c r="K67" s="360">
        <v>2427.1999999999998</v>
      </c>
      <c r="L67" s="360"/>
      <c r="M67" s="362">
        <f t="shared" si="2"/>
        <v>1.0255214352246484</v>
      </c>
      <c r="N67" s="374">
        <f t="shared" si="3"/>
        <v>2366.7959699626394</v>
      </c>
      <c r="O67" s="363" t="s">
        <v>13</v>
      </c>
      <c r="P67" s="360"/>
      <c r="Q67" s="364" t="s">
        <v>12</v>
      </c>
      <c r="R67" s="364"/>
      <c r="S67" s="365"/>
      <c r="T67" s="376"/>
      <c r="U67" s="376"/>
      <c r="V67" s="376"/>
      <c r="W67" s="376"/>
      <c r="X67" s="376"/>
      <c r="Y67" s="377"/>
    </row>
    <row r="68" spans="1:25" ht="15.75">
      <c r="A68" s="359" t="s">
        <v>949</v>
      </c>
      <c r="B68" s="360">
        <v>262</v>
      </c>
      <c r="C68" s="361">
        <v>45415.595138888886</v>
      </c>
      <c r="D68" s="360">
        <v>20</v>
      </c>
      <c r="E68" s="360">
        <v>9.9818000000000004E-2</v>
      </c>
      <c r="F68" s="360">
        <v>37.1</v>
      </c>
      <c r="G68" s="360">
        <v>22.5</v>
      </c>
      <c r="H68" s="360">
        <v>1099.1379999999999</v>
      </c>
      <c r="I68" s="360">
        <v>0.999807</v>
      </c>
      <c r="J68" s="360">
        <v>0.48502499999999998</v>
      </c>
      <c r="K68" s="360">
        <v>2420.6999999999998</v>
      </c>
      <c r="L68" s="360"/>
      <c r="M68" s="362">
        <f t="shared" si="2"/>
        <v>1.0256734405384258</v>
      </c>
      <c r="N68" s="374">
        <f t="shared" si="3"/>
        <v>2360.1079099106405</v>
      </c>
      <c r="O68" s="363" t="s">
        <v>13</v>
      </c>
      <c r="P68" s="360"/>
      <c r="Q68" s="364" t="s">
        <v>12</v>
      </c>
      <c r="R68" s="180"/>
      <c r="S68" s="376"/>
      <c r="T68" s="376"/>
      <c r="U68" s="376"/>
      <c r="V68" s="376"/>
      <c r="W68" s="376"/>
      <c r="X68" s="376"/>
      <c r="Y68" s="377"/>
    </row>
    <row r="69" spans="1:25" ht="15.75">
      <c r="A69" s="359" t="s">
        <v>950</v>
      </c>
      <c r="B69" s="360">
        <v>274</v>
      </c>
      <c r="C69" s="361">
        <v>45415.601388888892</v>
      </c>
      <c r="D69" s="360">
        <v>20</v>
      </c>
      <c r="E69" s="360">
        <v>9.9818000000000004E-2</v>
      </c>
      <c r="F69" s="360">
        <v>37</v>
      </c>
      <c r="G69" s="360">
        <v>22.5</v>
      </c>
      <c r="H69" s="360">
        <v>1100.4090000000001</v>
      </c>
      <c r="I69" s="360">
        <v>0.99975999999999998</v>
      </c>
      <c r="J69" s="360">
        <v>0.48442600000000002</v>
      </c>
      <c r="K69" s="360">
        <v>2417.6999999999998</v>
      </c>
      <c r="L69" s="360"/>
      <c r="M69" s="362">
        <f t="shared" si="2"/>
        <v>1.0255974356771682</v>
      </c>
      <c r="N69" s="374">
        <f t="shared" si="3"/>
        <v>2357.357688208017</v>
      </c>
      <c r="O69" s="363" t="s">
        <v>13</v>
      </c>
      <c r="P69" s="360"/>
      <c r="Q69" s="364" t="s">
        <v>12</v>
      </c>
      <c r="R69" s="180"/>
      <c r="S69" s="376"/>
      <c r="T69" s="376"/>
      <c r="U69" s="376"/>
      <c r="V69" s="376"/>
      <c r="W69" s="376"/>
      <c r="X69" s="376"/>
      <c r="Y69" s="377"/>
    </row>
    <row r="70" spans="1:25" ht="15.75">
      <c r="A70" s="359" t="s">
        <v>951</v>
      </c>
      <c r="B70" s="360">
        <v>275</v>
      </c>
      <c r="C70" s="361">
        <v>45415.607638888891</v>
      </c>
      <c r="D70" s="360">
        <v>20</v>
      </c>
      <c r="E70" s="360">
        <v>9.9818000000000004E-2</v>
      </c>
      <c r="F70" s="360">
        <v>37</v>
      </c>
      <c r="G70" s="360">
        <v>22.5</v>
      </c>
      <c r="H70" s="360">
        <v>1102.32</v>
      </c>
      <c r="I70" s="360">
        <v>0.99979099999999999</v>
      </c>
      <c r="J70" s="360">
        <v>0.48457800000000001</v>
      </c>
      <c r="K70" s="360">
        <v>2418.5</v>
      </c>
      <c r="L70" s="360"/>
      <c r="M70" s="362">
        <f t="shared" si="2"/>
        <v>1.0255974356771682</v>
      </c>
      <c r="N70" s="374">
        <f t="shared" si="3"/>
        <v>2358.1377213595938</v>
      </c>
      <c r="O70" s="363" t="s">
        <v>13</v>
      </c>
      <c r="P70" s="360"/>
      <c r="Q70" s="364" t="s">
        <v>12</v>
      </c>
      <c r="R70" s="180"/>
      <c r="S70" s="376"/>
      <c r="T70" s="376"/>
      <c r="U70" s="376"/>
      <c r="V70" s="376"/>
      <c r="W70" s="376"/>
      <c r="X70" s="376"/>
      <c r="Y70" s="377"/>
    </row>
    <row r="71" spans="1:25" ht="15.75">
      <c r="A71" s="368" t="s">
        <v>959</v>
      </c>
      <c r="B71" s="369" t="s">
        <v>659</v>
      </c>
      <c r="C71" s="370">
        <v>45415.614583333336</v>
      </c>
      <c r="D71" s="369">
        <v>20</v>
      </c>
      <c r="E71" s="369">
        <v>9.9818000000000004E-2</v>
      </c>
      <c r="F71" s="369">
        <v>33.200000000000003</v>
      </c>
      <c r="G71" s="369">
        <v>22.5</v>
      </c>
      <c r="H71" s="369">
        <v>1091.96</v>
      </c>
      <c r="I71" s="369">
        <v>0.99978199999999995</v>
      </c>
      <c r="J71" s="369">
        <v>0.45164599999999999</v>
      </c>
      <c r="K71" s="369">
        <v>2254.1</v>
      </c>
      <c r="L71" s="360"/>
      <c r="M71" s="362">
        <f t="shared" si="2"/>
        <v>1.0227124503008802</v>
      </c>
      <c r="N71" s="374">
        <f t="shared" si="3"/>
        <v>2204.0408321389336</v>
      </c>
      <c r="O71" s="363" t="s">
        <v>13</v>
      </c>
      <c r="P71" s="360"/>
      <c r="Q71" s="364" t="s">
        <v>12</v>
      </c>
      <c r="R71" s="180"/>
      <c r="S71" s="376"/>
      <c r="T71" s="376"/>
      <c r="U71" s="376"/>
      <c r="V71" s="376"/>
      <c r="W71" s="376"/>
      <c r="X71" s="376"/>
      <c r="Y71" s="377"/>
    </row>
    <row r="72" spans="1:25" ht="19.5" customHeight="1">
      <c r="A72" s="359" t="s">
        <v>960</v>
      </c>
      <c r="B72" s="360">
        <v>105</v>
      </c>
      <c r="C72" s="361">
        <v>45415.622916666667</v>
      </c>
      <c r="D72" s="360">
        <v>20</v>
      </c>
      <c r="E72" s="360">
        <v>9.9818000000000004E-2</v>
      </c>
      <c r="F72" s="360">
        <v>36.9</v>
      </c>
      <c r="G72" s="360">
        <v>22.5</v>
      </c>
      <c r="H72" s="360">
        <v>1086.518</v>
      </c>
      <c r="I72" s="360">
        <v>0.99981200000000003</v>
      </c>
      <c r="J72" s="360">
        <v>0.48529499999999998</v>
      </c>
      <c r="K72" s="360">
        <v>2422.1</v>
      </c>
      <c r="L72" s="360"/>
      <c r="M72" s="362">
        <f t="shared" si="2"/>
        <v>1.0255214352246484</v>
      </c>
      <c r="N72" s="374">
        <f t="shared" si="3"/>
        <v>2361.8228900982649</v>
      </c>
      <c r="O72" s="363" t="s">
        <v>13</v>
      </c>
      <c r="P72" s="360"/>
      <c r="Q72" s="364" t="s">
        <v>12</v>
      </c>
      <c r="R72" s="180"/>
      <c r="S72" s="378"/>
      <c r="T72" s="376"/>
      <c r="U72" s="376"/>
      <c r="V72" s="376"/>
      <c r="W72" s="376"/>
      <c r="X72" s="376"/>
      <c r="Y72" s="377"/>
    </row>
    <row r="73" spans="1:25" ht="15.75">
      <c r="A73" s="359" t="s">
        <v>961</v>
      </c>
      <c r="B73" s="360">
        <v>106</v>
      </c>
      <c r="C73" s="361">
        <v>45415.644444444442</v>
      </c>
      <c r="D73" s="360">
        <v>20</v>
      </c>
      <c r="E73" s="360">
        <v>9.9818000000000004E-2</v>
      </c>
      <c r="F73" s="360">
        <v>37</v>
      </c>
      <c r="G73" s="360">
        <v>22.5</v>
      </c>
      <c r="H73" s="360">
        <v>1102.8340000000001</v>
      </c>
      <c r="I73" s="360">
        <v>0.99997800000000003</v>
      </c>
      <c r="J73" s="360">
        <v>0.48817199999999999</v>
      </c>
      <c r="K73" s="360">
        <v>2436.4</v>
      </c>
      <c r="L73" s="360"/>
      <c r="M73" s="362">
        <f t="shared" si="2"/>
        <v>1.0255974356771682</v>
      </c>
      <c r="N73" s="374">
        <f t="shared" si="3"/>
        <v>2375.590963126117</v>
      </c>
      <c r="O73" s="363" t="s">
        <v>13</v>
      </c>
      <c r="P73" s="360"/>
      <c r="Q73" s="364" t="s">
        <v>12</v>
      </c>
      <c r="R73" s="180"/>
      <c r="S73" s="376"/>
      <c r="T73" s="376"/>
      <c r="U73" s="376"/>
      <c r="V73" s="376"/>
      <c r="W73" s="376"/>
      <c r="X73" s="376"/>
      <c r="Y73" s="377"/>
    </row>
    <row r="74" spans="1:25" ht="15.75">
      <c r="A74" s="359" t="s">
        <v>962</v>
      </c>
      <c r="B74" s="360">
        <v>300</v>
      </c>
      <c r="C74" s="361">
        <v>45415.65625</v>
      </c>
      <c r="D74" s="360">
        <v>20</v>
      </c>
      <c r="E74" s="360">
        <v>9.9818000000000004E-2</v>
      </c>
      <c r="F74" s="360">
        <v>36.9</v>
      </c>
      <c r="G74" s="360">
        <v>22.5</v>
      </c>
      <c r="H74" s="360">
        <v>1097.2850000000001</v>
      </c>
      <c r="I74" s="360">
        <v>0.99978299999999998</v>
      </c>
      <c r="J74" s="360">
        <v>0.48417700000000002</v>
      </c>
      <c r="K74" s="360">
        <v>2416.5</v>
      </c>
      <c r="L74" s="360"/>
      <c r="M74" s="362">
        <f t="shared" si="2"/>
        <v>1.0255214352246484</v>
      </c>
      <c r="N74" s="374">
        <f t="shared" si="3"/>
        <v>2356.3622533844423</v>
      </c>
      <c r="O74" s="363" t="s">
        <v>13</v>
      </c>
      <c r="P74" s="360"/>
      <c r="Q74" s="364" t="s">
        <v>12</v>
      </c>
      <c r="R74" s="180"/>
      <c r="S74" s="376"/>
      <c r="T74" s="376"/>
      <c r="U74" s="376"/>
      <c r="V74" s="376"/>
      <c r="W74" s="376"/>
      <c r="X74" s="376"/>
      <c r="Y74" s="377"/>
    </row>
    <row r="75" spans="1:25" ht="15.75">
      <c r="A75" s="359" t="s">
        <v>963</v>
      </c>
      <c r="B75" s="360">
        <v>301</v>
      </c>
      <c r="C75" s="361">
        <v>45415.663888888892</v>
      </c>
      <c r="D75" s="360">
        <v>20</v>
      </c>
      <c r="E75" s="360">
        <v>9.9818000000000004E-2</v>
      </c>
      <c r="F75" s="360">
        <v>36.9</v>
      </c>
      <c r="G75" s="360">
        <v>22.5</v>
      </c>
      <c r="H75" s="360">
        <v>1099.1759999999999</v>
      </c>
      <c r="I75" s="360">
        <v>0.99982300000000002</v>
      </c>
      <c r="J75" s="360">
        <v>0.48461500000000002</v>
      </c>
      <c r="K75" s="360">
        <v>2418.6999999999998</v>
      </c>
      <c r="L75" s="360"/>
      <c r="M75" s="362">
        <f t="shared" si="2"/>
        <v>1.0255214352246484</v>
      </c>
      <c r="N75" s="374">
        <f t="shared" si="3"/>
        <v>2358.5075035220152</v>
      </c>
      <c r="O75" s="363" t="s">
        <v>13</v>
      </c>
      <c r="P75" s="360"/>
      <c r="Q75" s="364" t="s">
        <v>12</v>
      </c>
      <c r="R75" s="180"/>
      <c r="S75" s="376"/>
      <c r="T75" s="376"/>
      <c r="U75" s="376"/>
      <c r="V75" s="376"/>
      <c r="W75" s="376"/>
      <c r="X75" s="376"/>
      <c r="Y75" s="377"/>
    </row>
    <row r="76" spans="1:25" ht="15.75">
      <c r="A76" s="368" t="s">
        <v>964</v>
      </c>
      <c r="B76" s="369" t="s">
        <v>659</v>
      </c>
      <c r="C76" s="370">
        <v>45415.677083333336</v>
      </c>
      <c r="D76" s="369">
        <v>20</v>
      </c>
      <c r="E76" s="369">
        <v>9.9818000000000004E-2</v>
      </c>
      <c r="F76" s="369">
        <v>33.200000000000003</v>
      </c>
      <c r="G76" s="369">
        <v>22.5</v>
      </c>
      <c r="H76" s="369">
        <v>1082.1969999999999</v>
      </c>
      <c r="I76" s="369">
        <v>0.99980899999999995</v>
      </c>
      <c r="J76" s="369">
        <v>0.45125500000000002</v>
      </c>
      <c r="K76" s="369">
        <v>2252.1999999999998</v>
      </c>
      <c r="L76" s="360"/>
      <c r="M76" s="362">
        <f t="shared" si="2"/>
        <v>1.0227124503008802</v>
      </c>
      <c r="N76" s="374">
        <f t="shared" si="3"/>
        <v>2202.1830274359195</v>
      </c>
      <c r="O76" s="363" t="s">
        <v>13</v>
      </c>
      <c r="P76" s="360"/>
      <c r="Q76" s="364" t="s">
        <v>12</v>
      </c>
      <c r="R76" s="180"/>
      <c r="S76" s="376"/>
      <c r="T76" s="376"/>
      <c r="U76" s="376"/>
      <c r="V76" s="376"/>
      <c r="W76" s="376"/>
      <c r="X76" s="376"/>
      <c r="Y76" s="377"/>
    </row>
    <row r="77" spans="1:25" ht="15.75">
      <c r="A77" s="359" t="s">
        <v>913</v>
      </c>
      <c r="B77" s="360" t="s">
        <v>914</v>
      </c>
      <c r="C77" s="361">
        <v>45421.393750000003</v>
      </c>
      <c r="D77" s="360">
        <v>20</v>
      </c>
      <c r="E77" s="360">
        <v>9.9818000000000004E-2</v>
      </c>
      <c r="F77" s="360" t="s">
        <v>915</v>
      </c>
      <c r="G77" s="360">
        <v>22.5</v>
      </c>
      <c r="H77" s="360">
        <v>1258.479</v>
      </c>
      <c r="I77" s="360">
        <v>0.99996099999999999</v>
      </c>
      <c r="J77" s="360">
        <v>0.40806999999999999</v>
      </c>
      <c r="K77" s="360">
        <v>2036.6</v>
      </c>
      <c r="L77" s="360"/>
      <c r="M77" s="362" t="s">
        <v>230</v>
      </c>
      <c r="N77" s="362" t="s">
        <v>230</v>
      </c>
      <c r="O77" s="363" t="s">
        <v>965</v>
      </c>
      <c r="P77" s="360"/>
      <c r="Q77" s="364" t="s">
        <v>582</v>
      </c>
      <c r="R77" s="180"/>
      <c r="S77" s="376"/>
      <c r="T77" s="376"/>
      <c r="U77" s="376"/>
      <c r="V77" s="376"/>
      <c r="W77" s="376"/>
      <c r="X77" s="376"/>
      <c r="Y77" s="377"/>
    </row>
    <row r="78" spans="1:25" ht="15.75">
      <c r="A78" s="359" t="s">
        <v>916</v>
      </c>
      <c r="B78" s="360" t="s">
        <v>914</v>
      </c>
      <c r="C78" s="361">
        <v>45421.400694444441</v>
      </c>
      <c r="D78" s="360">
        <v>20</v>
      </c>
      <c r="E78" s="360">
        <v>9.9818000000000004E-2</v>
      </c>
      <c r="F78" s="360" t="s">
        <v>915</v>
      </c>
      <c r="G78" s="360">
        <v>22.5</v>
      </c>
      <c r="H78" s="360">
        <v>1261.982</v>
      </c>
      <c r="I78" s="360">
        <v>0.99998200000000004</v>
      </c>
      <c r="J78" s="360">
        <v>0.405806</v>
      </c>
      <c r="K78" s="360">
        <v>2025.3</v>
      </c>
      <c r="L78" s="360">
        <v>7.9897</v>
      </c>
      <c r="M78" s="362" t="s">
        <v>230</v>
      </c>
      <c r="N78" s="362" t="s">
        <v>230</v>
      </c>
      <c r="O78" s="363" t="s">
        <v>965</v>
      </c>
      <c r="P78" s="360"/>
      <c r="Q78" s="364" t="s">
        <v>582</v>
      </c>
      <c r="R78" s="180"/>
      <c r="S78" s="376"/>
      <c r="T78" s="376"/>
      <c r="U78" s="376"/>
      <c r="V78" s="376"/>
      <c r="W78" s="376"/>
      <c r="X78" s="376"/>
      <c r="Y78" s="377"/>
    </row>
    <row r="79" spans="1:25" ht="15.75">
      <c r="A79" s="359" t="s">
        <v>917</v>
      </c>
      <c r="B79" s="360" t="s">
        <v>914</v>
      </c>
      <c r="C79" s="361">
        <v>45421.409722222219</v>
      </c>
      <c r="D79" s="360">
        <v>20</v>
      </c>
      <c r="E79" s="360">
        <v>9.9818000000000004E-2</v>
      </c>
      <c r="F79" s="360" t="s">
        <v>915</v>
      </c>
      <c r="G79" s="360">
        <v>22.5</v>
      </c>
      <c r="H79" s="360">
        <v>1264.999</v>
      </c>
      <c r="I79" s="360">
        <v>0.99996399999999996</v>
      </c>
      <c r="J79" s="360">
        <v>0.40730499999999997</v>
      </c>
      <c r="K79" s="360">
        <v>2032.8</v>
      </c>
      <c r="L79" s="360">
        <v>5.2889999999999997</v>
      </c>
      <c r="M79" s="362" t="s">
        <v>230</v>
      </c>
      <c r="N79" s="362" t="s">
        <v>230</v>
      </c>
      <c r="O79" s="363" t="s">
        <v>965</v>
      </c>
      <c r="P79" s="360"/>
      <c r="Q79" s="364" t="s">
        <v>582</v>
      </c>
      <c r="R79" s="180"/>
      <c r="S79" s="376"/>
      <c r="T79" s="376"/>
      <c r="U79" s="376"/>
      <c r="V79" s="376"/>
      <c r="W79" s="376"/>
      <c r="X79" s="376"/>
      <c r="Y79" s="377"/>
    </row>
    <row r="80" spans="1:25" ht="15.75">
      <c r="A80" s="359" t="s">
        <v>919</v>
      </c>
      <c r="B80" s="360" t="s">
        <v>914</v>
      </c>
      <c r="C80" s="361">
        <v>45421.415972222225</v>
      </c>
      <c r="D80" s="360">
        <v>20</v>
      </c>
      <c r="E80" s="360">
        <v>9.9818000000000004E-2</v>
      </c>
      <c r="F80" s="360" t="s">
        <v>915</v>
      </c>
      <c r="G80" s="360">
        <v>22.5</v>
      </c>
      <c r="H80" s="360">
        <v>1270.895</v>
      </c>
      <c r="I80" s="360">
        <v>0.99996399999999996</v>
      </c>
      <c r="J80" s="360">
        <v>0.406524</v>
      </c>
      <c r="K80" s="360">
        <v>2028.9</v>
      </c>
      <c r="L80" s="360">
        <v>2.7559</v>
      </c>
      <c r="M80" s="362" t="s">
        <v>230</v>
      </c>
      <c r="N80" s="362" t="s">
        <v>230</v>
      </c>
      <c r="O80" s="363" t="s">
        <v>965</v>
      </c>
      <c r="P80" s="360"/>
      <c r="Q80" s="364" t="s">
        <v>582</v>
      </c>
      <c r="R80" s="180"/>
      <c r="S80" s="376"/>
      <c r="T80" s="376"/>
      <c r="U80" s="376"/>
      <c r="V80" s="376"/>
      <c r="W80" s="376"/>
      <c r="X80" s="376"/>
      <c r="Y80" s="377"/>
    </row>
    <row r="81" spans="1:25" ht="15.75">
      <c r="A81" s="359" t="s">
        <v>920</v>
      </c>
      <c r="B81" s="360" t="s">
        <v>914</v>
      </c>
      <c r="C81" s="361">
        <v>45421.422222222223</v>
      </c>
      <c r="D81" s="360">
        <v>20</v>
      </c>
      <c r="E81" s="360">
        <v>9.9818000000000004E-2</v>
      </c>
      <c r="F81" s="360" t="s">
        <v>915</v>
      </c>
      <c r="G81" s="360">
        <v>22.5</v>
      </c>
      <c r="H81" s="360">
        <v>1277.6300000000001</v>
      </c>
      <c r="I81" s="360">
        <v>0.99997100000000005</v>
      </c>
      <c r="J81" s="360">
        <v>0.40692899999999999</v>
      </c>
      <c r="K81" s="360">
        <v>2030.9</v>
      </c>
      <c r="L81" s="360">
        <v>1.4293</v>
      </c>
      <c r="M81" s="362" t="s">
        <v>230</v>
      </c>
      <c r="N81" s="362" t="s">
        <v>230</v>
      </c>
      <c r="O81" s="363" t="s">
        <v>965</v>
      </c>
      <c r="P81" s="360"/>
      <c r="Q81" s="364" t="s">
        <v>582</v>
      </c>
      <c r="R81" s="180"/>
      <c r="S81" s="376"/>
      <c r="T81" s="376"/>
      <c r="U81" s="376"/>
      <c r="V81" s="376"/>
      <c r="W81" s="376"/>
      <c r="X81" s="376"/>
      <c r="Y81" s="377"/>
    </row>
    <row r="82" spans="1:25" ht="15.75">
      <c r="A82" s="359" t="s">
        <v>921</v>
      </c>
      <c r="B82" s="360" t="s">
        <v>914</v>
      </c>
      <c r="C82" s="361">
        <v>45421.428472222222</v>
      </c>
      <c r="D82" s="360">
        <v>20</v>
      </c>
      <c r="E82" s="360">
        <v>9.9818000000000004E-2</v>
      </c>
      <c r="F82" s="360" t="s">
        <v>915</v>
      </c>
      <c r="G82" s="360">
        <v>22.5</v>
      </c>
      <c r="H82" s="360">
        <v>1268.2190000000001</v>
      </c>
      <c r="I82" s="360">
        <v>0.99998600000000004</v>
      </c>
      <c r="J82" s="360">
        <v>0.40690399999999999</v>
      </c>
      <c r="K82" s="360">
        <v>2030.8</v>
      </c>
      <c r="L82" s="360">
        <v>8.9300000000000004E-2</v>
      </c>
      <c r="M82" s="362" t="s">
        <v>230</v>
      </c>
      <c r="N82" s="362" t="s">
        <v>230</v>
      </c>
      <c r="O82" s="363" t="s">
        <v>965</v>
      </c>
      <c r="P82" s="360"/>
      <c r="Q82" s="364" t="s">
        <v>582</v>
      </c>
      <c r="R82" s="180"/>
      <c r="S82" s="376"/>
      <c r="T82" s="376"/>
      <c r="U82" s="376"/>
      <c r="V82" s="376"/>
      <c r="W82" s="376"/>
      <c r="X82" s="376"/>
      <c r="Y82" s="377"/>
    </row>
    <row r="83" spans="1:25" ht="15.75">
      <c r="A83" s="359" t="s">
        <v>966</v>
      </c>
      <c r="B83" s="360" t="s">
        <v>967</v>
      </c>
      <c r="C83" s="361">
        <v>45421.440972222219</v>
      </c>
      <c r="D83" s="360">
        <v>20</v>
      </c>
      <c r="E83" s="360">
        <v>9.9818000000000004E-2</v>
      </c>
      <c r="F83" s="360">
        <v>33.200000000000003</v>
      </c>
      <c r="G83" s="360">
        <v>22.5</v>
      </c>
      <c r="H83" s="360">
        <v>1067.086</v>
      </c>
      <c r="I83" s="360">
        <v>0.99982000000000004</v>
      </c>
      <c r="J83" s="360">
        <v>0.45331199999999999</v>
      </c>
      <c r="K83" s="360">
        <v>2262.4</v>
      </c>
      <c r="L83" s="360"/>
      <c r="M83" s="362">
        <f t="shared" ref="M83:M123" si="4">(999.842594+0.06793952*G83-0.00909529*G83^2+0.0001001685*G83^3-0.000001120083*G83^4+0.000000006536332*G83^5+(0.824493-0.0040899*G83+0.000076438*G83^2-0.00000082467*G83^3+0.0000000053875*G83^4)*F83+ (-0.00572466 + 0.00010227*G83 - 0.0000016546*G83^2)*F83^1.5 + 0.00048314*F83^2)/1000</f>
        <v>1.0227124503008802</v>
      </c>
      <c r="N83" s="374">
        <f t="shared" ref="N83:N123" si="5">K83/M83</f>
        <v>2212.1565053152585</v>
      </c>
      <c r="O83" s="363" t="s">
        <v>965</v>
      </c>
      <c r="P83" s="360"/>
      <c r="Q83" s="364" t="s">
        <v>12</v>
      </c>
      <c r="R83" s="180"/>
      <c r="S83" s="376"/>
      <c r="T83" s="376"/>
      <c r="U83" s="376"/>
      <c r="V83" s="376"/>
      <c r="W83" s="376"/>
      <c r="X83" s="376"/>
      <c r="Y83" s="377"/>
    </row>
    <row r="84" spans="1:25" ht="15.75">
      <c r="A84" s="359" t="s">
        <v>968</v>
      </c>
      <c r="B84" s="360" t="s">
        <v>967</v>
      </c>
      <c r="C84" s="361">
        <v>45421.451388888891</v>
      </c>
      <c r="D84" s="360">
        <v>20</v>
      </c>
      <c r="E84" s="360">
        <v>9.9489999999999995E-2</v>
      </c>
      <c r="F84" s="360">
        <v>1022.7</v>
      </c>
      <c r="G84" s="360">
        <v>22.5</v>
      </c>
      <c r="H84" s="360">
        <v>1056.336</v>
      </c>
      <c r="I84" s="360">
        <v>0.99979300000000004</v>
      </c>
      <c r="J84" s="360">
        <v>0.45304499999999998</v>
      </c>
      <c r="K84" s="360">
        <v>2253.6999999999998</v>
      </c>
      <c r="L84" s="360" t="s">
        <v>545</v>
      </c>
      <c r="M84" s="362">
        <f t="shared" si="4"/>
        <v>2.1440936580887748</v>
      </c>
      <c r="N84" s="374">
        <f t="shared" si="5"/>
        <v>1051.1201278441013</v>
      </c>
      <c r="O84" s="363" t="s">
        <v>965</v>
      </c>
      <c r="P84" s="360" t="s">
        <v>927</v>
      </c>
      <c r="Q84" s="364" t="s">
        <v>12</v>
      </c>
      <c r="R84" s="180"/>
      <c r="S84" s="376"/>
      <c r="T84" s="376"/>
      <c r="U84" s="376"/>
      <c r="V84" s="376"/>
      <c r="W84" s="376"/>
      <c r="X84" s="376"/>
      <c r="Y84" s="377"/>
    </row>
    <row r="85" spans="1:25" ht="15.75">
      <c r="A85" s="359" t="s">
        <v>969</v>
      </c>
      <c r="B85" s="360" t="s">
        <v>967</v>
      </c>
      <c r="C85" s="361">
        <v>45421.458333333336</v>
      </c>
      <c r="D85" s="360">
        <v>20</v>
      </c>
      <c r="E85" s="360">
        <v>9.9814E-2</v>
      </c>
      <c r="F85" s="360">
        <v>1022.7</v>
      </c>
      <c r="G85" s="360">
        <v>22.5</v>
      </c>
      <c r="H85" s="360">
        <v>1057.992</v>
      </c>
      <c r="I85" s="360">
        <v>0.99979200000000001</v>
      </c>
      <c r="J85" s="360">
        <v>0.45157199999999997</v>
      </c>
      <c r="K85" s="360">
        <v>2253.6999999999998</v>
      </c>
      <c r="L85" s="379">
        <v>8.9999999999999998E-4</v>
      </c>
      <c r="M85" s="362">
        <f t="shared" si="4"/>
        <v>2.1440936580887748</v>
      </c>
      <c r="N85" s="374">
        <f t="shared" si="5"/>
        <v>1051.1201278441013</v>
      </c>
      <c r="O85" s="363" t="s">
        <v>965</v>
      </c>
      <c r="P85" s="360" t="s">
        <v>927</v>
      </c>
      <c r="Q85" s="364" t="s">
        <v>12</v>
      </c>
      <c r="R85" s="180"/>
      <c r="S85" s="376"/>
      <c r="T85" s="376"/>
      <c r="U85" s="376"/>
      <c r="V85" s="376"/>
      <c r="W85" s="376"/>
      <c r="X85" s="376"/>
      <c r="Y85" s="377"/>
    </row>
    <row r="86" spans="1:25" ht="15.75">
      <c r="A86" s="359" t="s">
        <v>970</v>
      </c>
      <c r="B86" s="360" t="s">
        <v>967</v>
      </c>
      <c r="C86" s="361">
        <v>45421.465277777781</v>
      </c>
      <c r="D86" s="360">
        <v>20</v>
      </c>
      <c r="E86" s="360">
        <v>9.9689E-2</v>
      </c>
      <c r="F86" s="360">
        <v>1022.7</v>
      </c>
      <c r="G86" s="360">
        <v>22.5</v>
      </c>
      <c r="H86" s="360">
        <v>1055.874</v>
      </c>
      <c r="I86" s="360">
        <v>0.99980999999999998</v>
      </c>
      <c r="J86" s="360">
        <v>0.45213999999999999</v>
      </c>
      <c r="K86" s="360">
        <v>2253.6999999999998</v>
      </c>
      <c r="L86" s="379">
        <v>8.9999999999999998E-4</v>
      </c>
      <c r="M86" s="362">
        <f t="shared" si="4"/>
        <v>2.1440936580887748</v>
      </c>
      <c r="N86" s="374">
        <f t="shared" si="5"/>
        <v>1051.1201278441013</v>
      </c>
      <c r="O86" s="363" t="s">
        <v>965</v>
      </c>
      <c r="P86" s="360" t="s">
        <v>927</v>
      </c>
      <c r="Q86" s="364" t="s">
        <v>12</v>
      </c>
      <c r="R86" s="180"/>
      <c r="S86" s="376"/>
      <c r="T86" s="376"/>
      <c r="U86" s="376"/>
      <c r="V86" s="376"/>
      <c r="W86" s="376"/>
      <c r="X86" s="376"/>
      <c r="Y86" s="377"/>
    </row>
    <row r="87" spans="1:25" ht="15.75">
      <c r="A87" s="368" t="s">
        <v>931</v>
      </c>
      <c r="B87" s="369" t="s">
        <v>967</v>
      </c>
      <c r="C87" s="370">
        <v>45421.472916666666</v>
      </c>
      <c r="D87" s="369">
        <v>20</v>
      </c>
      <c r="E87" s="369">
        <v>9.9751000000000006E-2</v>
      </c>
      <c r="F87" s="369">
        <v>33.200000000000003</v>
      </c>
      <c r="G87" s="369">
        <v>22.5</v>
      </c>
      <c r="H87" s="369">
        <v>1064.931</v>
      </c>
      <c r="I87" s="369">
        <v>0.99983500000000003</v>
      </c>
      <c r="J87" s="369">
        <v>0.451656</v>
      </c>
      <c r="K87" s="369">
        <v>2252.6999999999998</v>
      </c>
      <c r="L87" s="360"/>
      <c r="M87" s="362">
        <f t="shared" si="4"/>
        <v>1.0227124503008802</v>
      </c>
      <c r="N87" s="374">
        <f t="shared" si="5"/>
        <v>2202.6719234103971</v>
      </c>
      <c r="O87" s="363" t="s">
        <v>965</v>
      </c>
      <c r="P87" s="360"/>
      <c r="Q87" s="364" t="s">
        <v>12</v>
      </c>
      <c r="R87" s="180"/>
      <c r="S87" s="376"/>
      <c r="T87" s="376"/>
      <c r="U87" s="376"/>
      <c r="V87" s="376"/>
      <c r="W87" s="376"/>
      <c r="X87" s="376"/>
      <c r="Y87" s="377"/>
    </row>
    <row r="88" spans="1:25" ht="15.75">
      <c r="A88" s="359" t="s">
        <v>932</v>
      </c>
      <c r="B88" s="360">
        <v>313</v>
      </c>
      <c r="C88" s="361">
        <v>45421.481944444444</v>
      </c>
      <c r="D88" s="360">
        <v>20</v>
      </c>
      <c r="E88" s="360">
        <v>9.9751000000000006E-2</v>
      </c>
      <c r="F88" s="360">
        <v>36.9</v>
      </c>
      <c r="G88" s="360">
        <v>22.5</v>
      </c>
      <c r="H88" s="360">
        <v>992.1087</v>
      </c>
      <c r="I88" s="360">
        <v>0.99980500000000005</v>
      </c>
      <c r="J88" s="360">
        <v>0.48525600000000002</v>
      </c>
      <c r="K88" s="360">
        <v>2420.1999999999998</v>
      </c>
      <c r="L88" s="360"/>
      <c r="M88" s="362">
        <f t="shared" si="4"/>
        <v>1.0255214352246484</v>
      </c>
      <c r="N88" s="374">
        <f t="shared" si="5"/>
        <v>2359.9701740703608</v>
      </c>
      <c r="O88" s="363" t="s">
        <v>965</v>
      </c>
      <c r="P88" s="360"/>
      <c r="Q88" s="364" t="s">
        <v>12</v>
      </c>
      <c r="R88" s="180"/>
      <c r="S88" s="376"/>
      <c r="T88" s="376"/>
      <c r="U88" s="376"/>
      <c r="V88" s="376"/>
      <c r="W88" s="376"/>
      <c r="X88" s="376"/>
      <c r="Y88" s="377"/>
    </row>
    <row r="89" spans="1:25" ht="15.75">
      <c r="A89" s="359" t="s">
        <v>933</v>
      </c>
      <c r="B89" s="360">
        <v>314</v>
      </c>
      <c r="C89" s="361">
        <v>45421.488194444442</v>
      </c>
      <c r="D89" s="360">
        <v>20</v>
      </c>
      <c r="E89" s="360">
        <v>9.9751000000000006E-2</v>
      </c>
      <c r="F89" s="360">
        <v>37</v>
      </c>
      <c r="G89" s="360">
        <v>22.5</v>
      </c>
      <c r="H89" s="360">
        <v>1001.735</v>
      </c>
      <c r="I89" s="360">
        <v>0.99985800000000002</v>
      </c>
      <c r="J89" s="360">
        <v>0.48226599999999997</v>
      </c>
      <c r="K89" s="360">
        <v>2405.3000000000002</v>
      </c>
      <c r="L89" s="360"/>
      <c r="M89" s="362">
        <f t="shared" si="4"/>
        <v>1.0255974356771682</v>
      </c>
      <c r="N89" s="374">
        <f t="shared" si="5"/>
        <v>2345.2671743585825</v>
      </c>
      <c r="O89" s="363" t="s">
        <v>965</v>
      </c>
      <c r="P89" s="360"/>
      <c r="Q89" s="364" t="s">
        <v>12</v>
      </c>
      <c r="R89" s="180"/>
      <c r="S89" s="376"/>
      <c r="T89" s="376"/>
      <c r="U89" s="376"/>
      <c r="V89" s="376"/>
      <c r="W89" s="376"/>
      <c r="X89" s="376"/>
      <c r="Y89" s="377"/>
    </row>
    <row r="90" spans="1:25" ht="15.75">
      <c r="A90" s="359" t="s">
        <v>934</v>
      </c>
      <c r="B90" s="360">
        <v>287</v>
      </c>
      <c r="C90" s="361">
        <v>45421.495833333334</v>
      </c>
      <c r="D90" s="360">
        <v>20</v>
      </c>
      <c r="E90" s="360">
        <v>9.9751000000000006E-2</v>
      </c>
      <c r="F90" s="360">
        <v>37.1</v>
      </c>
      <c r="G90" s="360">
        <v>22.5</v>
      </c>
      <c r="H90" s="360">
        <v>991.43719999999996</v>
      </c>
      <c r="I90" s="360">
        <v>0.99988600000000005</v>
      </c>
      <c r="J90" s="360">
        <v>0.48105399999999998</v>
      </c>
      <c r="K90" s="360">
        <v>2399.3000000000002</v>
      </c>
      <c r="L90" s="360"/>
      <c r="M90" s="362">
        <f t="shared" si="4"/>
        <v>1.0256734405384258</v>
      </c>
      <c r="N90" s="374">
        <f t="shared" si="5"/>
        <v>2339.2435693182142</v>
      </c>
      <c r="O90" s="363" t="s">
        <v>965</v>
      </c>
      <c r="P90" s="360"/>
      <c r="Q90" s="364" t="s">
        <v>12</v>
      </c>
      <c r="R90" s="180"/>
      <c r="S90" s="376"/>
      <c r="T90" s="376"/>
      <c r="U90" s="376"/>
      <c r="V90" s="376"/>
      <c r="W90" s="376"/>
      <c r="X90" s="376"/>
      <c r="Y90" s="377"/>
    </row>
    <row r="91" spans="1:25" ht="15.75">
      <c r="A91" s="359" t="s">
        <v>935</v>
      </c>
      <c r="B91" s="360">
        <v>288</v>
      </c>
      <c r="C91" s="361">
        <v>45421.50277777778</v>
      </c>
      <c r="D91" s="360">
        <v>20</v>
      </c>
      <c r="E91" s="360">
        <v>9.9751000000000006E-2</v>
      </c>
      <c r="F91" s="360">
        <v>37.4</v>
      </c>
      <c r="G91" s="360">
        <v>22.5</v>
      </c>
      <c r="H91" s="360">
        <v>0</v>
      </c>
      <c r="I91" s="360">
        <v>0</v>
      </c>
      <c r="J91" s="360">
        <v>0</v>
      </c>
      <c r="K91" s="360">
        <v>0</v>
      </c>
      <c r="L91" s="360" t="s">
        <v>918</v>
      </c>
      <c r="M91" s="362">
        <f t="shared" si="4"/>
        <v>1.0259014816453425</v>
      </c>
      <c r="N91" s="374">
        <f t="shared" si="5"/>
        <v>0</v>
      </c>
      <c r="O91" s="363" t="s">
        <v>965</v>
      </c>
      <c r="P91" s="360"/>
      <c r="Q91" s="364" t="s">
        <v>582</v>
      </c>
      <c r="R91" s="180"/>
      <c r="S91" s="376"/>
      <c r="T91" s="376"/>
      <c r="U91" s="376"/>
      <c r="V91" s="376"/>
      <c r="W91" s="376"/>
      <c r="X91" s="376"/>
      <c r="Y91" s="377"/>
    </row>
    <row r="92" spans="1:25" ht="15.75">
      <c r="A92" s="359" t="s">
        <v>937</v>
      </c>
      <c r="B92" s="360">
        <v>288</v>
      </c>
      <c r="C92" s="361">
        <v>45421.505555555559</v>
      </c>
      <c r="D92" s="360">
        <v>20</v>
      </c>
      <c r="E92" s="360">
        <v>9.9751000000000006E-2</v>
      </c>
      <c r="F92" s="360">
        <v>37.4</v>
      </c>
      <c r="G92" s="360">
        <v>22.5</v>
      </c>
      <c r="H92" s="360">
        <v>997.25199999999995</v>
      </c>
      <c r="I92" s="360">
        <v>0.99986399999999998</v>
      </c>
      <c r="J92" s="360">
        <v>0.48468899999999998</v>
      </c>
      <c r="K92" s="360">
        <v>2417.4</v>
      </c>
      <c r="L92" s="360"/>
      <c r="M92" s="362">
        <f t="shared" si="4"/>
        <v>1.0259014816453425</v>
      </c>
      <c r="N92" s="374">
        <f t="shared" si="5"/>
        <v>2356.3666134129858</v>
      </c>
      <c r="O92" s="363" t="s">
        <v>965</v>
      </c>
      <c r="P92" s="360"/>
      <c r="Q92" s="364" t="s">
        <v>12</v>
      </c>
      <c r="R92" s="180"/>
      <c r="S92" s="376"/>
      <c r="T92" s="376"/>
      <c r="U92" s="376"/>
      <c r="V92" s="376"/>
      <c r="W92" s="376"/>
      <c r="X92" s="376"/>
      <c r="Y92" s="377"/>
    </row>
    <row r="93" spans="1:25" ht="15.75">
      <c r="A93" s="359" t="s">
        <v>938</v>
      </c>
      <c r="B93" s="360">
        <v>326</v>
      </c>
      <c r="C93" s="361">
        <v>45421.520833333336</v>
      </c>
      <c r="D93" s="360">
        <v>20</v>
      </c>
      <c r="E93" s="360">
        <v>9.9751000000000006E-2</v>
      </c>
      <c r="F93" s="360">
        <v>37.1</v>
      </c>
      <c r="G93" s="360">
        <v>22.5</v>
      </c>
      <c r="H93" s="360">
        <v>1011.48</v>
      </c>
      <c r="I93" s="360">
        <v>0.99982199999999999</v>
      </c>
      <c r="J93" s="360">
        <v>0.48578100000000002</v>
      </c>
      <c r="K93" s="360">
        <v>2422.9</v>
      </c>
      <c r="L93" s="360"/>
      <c r="M93" s="362">
        <f t="shared" si="4"/>
        <v>1.0256734405384258</v>
      </c>
      <c r="N93" s="374">
        <f t="shared" si="5"/>
        <v>2362.2528421210773</v>
      </c>
      <c r="O93" s="363" t="s">
        <v>965</v>
      </c>
      <c r="P93" s="360"/>
      <c r="Q93" s="364" t="s">
        <v>12</v>
      </c>
      <c r="R93" s="180"/>
      <c r="S93" s="376"/>
      <c r="T93" s="376"/>
      <c r="U93" s="376"/>
      <c r="V93" s="376"/>
      <c r="W93" s="376"/>
      <c r="X93" s="376"/>
      <c r="Y93" s="377"/>
    </row>
    <row r="94" spans="1:25" ht="15.75">
      <c r="A94" s="359" t="s">
        <v>939</v>
      </c>
      <c r="B94" s="360">
        <v>327</v>
      </c>
      <c r="C94" s="361">
        <v>45421.527777777781</v>
      </c>
      <c r="D94" s="360">
        <v>20</v>
      </c>
      <c r="E94" s="360">
        <v>9.9751000000000006E-2</v>
      </c>
      <c r="F94" s="360">
        <v>37.200000000000003</v>
      </c>
      <c r="G94" s="360">
        <v>22.5</v>
      </c>
      <c r="H94" s="360">
        <v>1001.241</v>
      </c>
      <c r="I94" s="360">
        <v>0.99986399999999998</v>
      </c>
      <c r="J94" s="360">
        <v>0.48416399999999998</v>
      </c>
      <c r="K94" s="360">
        <v>2414.8000000000002</v>
      </c>
      <c r="L94" s="360"/>
      <c r="M94" s="362">
        <f t="shared" si="4"/>
        <v>1.0257494498155078</v>
      </c>
      <c r="N94" s="374">
        <f t="shared" si="5"/>
        <v>2354.1811311079214</v>
      </c>
      <c r="O94" s="363" t="s">
        <v>965</v>
      </c>
      <c r="P94" s="360"/>
      <c r="Q94" s="364" t="s">
        <v>12</v>
      </c>
      <c r="R94" s="180"/>
      <c r="S94" s="376"/>
      <c r="T94" s="376"/>
      <c r="U94" s="376"/>
      <c r="V94" s="376"/>
      <c r="W94" s="376"/>
      <c r="X94" s="376"/>
      <c r="Y94" s="377"/>
    </row>
    <row r="95" spans="1:25" ht="15.75">
      <c r="A95" s="359" t="s">
        <v>940</v>
      </c>
      <c r="B95" s="360">
        <v>170</v>
      </c>
      <c r="C95" s="361">
        <v>45421.534722222219</v>
      </c>
      <c r="D95" s="360">
        <v>20</v>
      </c>
      <c r="E95" s="360">
        <v>9.9751000000000006E-2</v>
      </c>
      <c r="F95" s="360">
        <v>37.200000000000003</v>
      </c>
      <c r="G95" s="360">
        <v>22.5</v>
      </c>
      <c r="H95" s="360">
        <v>996.97550000000001</v>
      </c>
      <c r="I95" s="360">
        <v>0.99988100000000002</v>
      </c>
      <c r="J95" s="360">
        <v>0.48271399999999998</v>
      </c>
      <c r="K95" s="360">
        <v>2407.6</v>
      </c>
      <c r="L95" s="360"/>
      <c r="M95" s="362">
        <f t="shared" si="4"/>
        <v>1.0257494498155078</v>
      </c>
      <c r="N95" s="374">
        <f t="shared" si="5"/>
        <v>2347.1618731387407</v>
      </c>
      <c r="O95" s="363" t="s">
        <v>965</v>
      </c>
      <c r="P95" s="360"/>
      <c r="Q95" s="364" t="s">
        <v>12</v>
      </c>
      <c r="R95" s="180"/>
      <c r="S95" s="376"/>
      <c r="T95" s="376"/>
      <c r="U95" s="376"/>
      <c r="V95" s="376"/>
      <c r="W95" s="376"/>
      <c r="X95" s="376"/>
      <c r="Y95" s="377"/>
    </row>
    <row r="96" spans="1:25" ht="15.75">
      <c r="A96" s="359" t="s">
        <v>941</v>
      </c>
      <c r="B96" s="360">
        <v>171</v>
      </c>
      <c r="C96" s="361">
        <v>45421.541666666664</v>
      </c>
      <c r="D96" s="360">
        <v>20</v>
      </c>
      <c r="E96" s="360">
        <v>9.9751000000000006E-2</v>
      </c>
      <c r="F96" s="360">
        <v>37.299999999999997</v>
      </c>
      <c r="G96" s="360">
        <v>22.5</v>
      </c>
      <c r="H96" s="360">
        <v>1013.342</v>
      </c>
      <c r="I96" s="360">
        <v>0.99981699999999996</v>
      </c>
      <c r="J96" s="360">
        <v>0.48398400000000003</v>
      </c>
      <c r="K96" s="360">
        <v>2413.9</v>
      </c>
      <c r="L96" s="360"/>
      <c r="M96" s="362">
        <f t="shared" si="4"/>
        <v>1.0258254635154704</v>
      </c>
      <c r="N96" s="374">
        <f t="shared" si="5"/>
        <v>2353.1293439798651</v>
      </c>
      <c r="O96" s="363" t="s">
        <v>965</v>
      </c>
      <c r="P96" s="360"/>
      <c r="Q96" s="364" t="s">
        <v>12</v>
      </c>
      <c r="R96" s="180"/>
      <c r="S96" s="376"/>
      <c r="T96" s="376"/>
      <c r="U96" s="376"/>
      <c r="V96" s="376"/>
      <c r="W96" s="376"/>
      <c r="X96" s="376"/>
      <c r="Y96" s="377"/>
    </row>
    <row r="97" spans="1:31" ht="15.75">
      <c r="A97" s="359" t="s">
        <v>942</v>
      </c>
      <c r="B97" s="360">
        <v>196</v>
      </c>
      <c r="C97" s="361">
        <v>45421.54791666667</v>
      </c>
      <c r="D97" s="360">
        <v>20</v>
      </c>
      <c r="E97" s="360">
        <v>9.9751000000000006E-2</v>
      </c>
      <c r="F97" s="360">
        <v>37.299999999999997</v>
      </c>
      <c r="G97" s="360">
        <v>22.5</v>
      </c>
      <c r="H97" s="360">
        <v>1016.134</v>
      </c>
      <c r="I97" s="360">
        <v>0.999857</v>
      </c>
      <c r="J97" s="360">
        <v>0.48171900000000001</v>
      </c>
      <c r="K97" s="360">
        <v>2402.6</v>
      </c>
      <c r="L97" s="360"/>
      <c r="M97" s="362">
        <f t="shared" si="4"/>
        <v>1.0258254635154704</v>
      </c>
      <c r="N97" s="374">
        <f t="shared" si="5"/>
        <v>2342.1138248668231</v>
      </c>
      <c r="O97" s="363" t="s">
        <v>965</v>
      </c>
      <c r="P97" s="360"/>
      <c r="Q97" s="364" t="s">
        <v>12</v>
      </c>
      <c r="R97" s="180"/>
      <c r="S97" s="376"/>
      <c r="T97" s="376"/>
      <c r="U97" s="376"/>
      <c r="V97" s="376"/>
      <c r="W97" s="376"/>
      <c r="X97" s="376"/>
      <c r="Y97" s="377"/>
    </row>
    <row r="98" spans="1:31" ht="15.75">
      <c r="A98" s="359" t="s">
        <v>943</v>
      </c>
      <c r="B98" s="360">
        <v>197</v>
      </c>
      <c r="C98" s="361">
        <v>45421.555555555555</v>
      </c>
      <c r="D98" s="360">
        <v>20</v>
      </c>
      <c r="E98" s="360">
        <v>9.9751000000000006E-2</v>
      </c>
      <c r="F98" s="360">
        <v>37.4</v>
      </c>
      <c r="G98" s="360">
        <v>22.5</v>
      </c>
      <c r="H98" s="360">
        <v>1025.319</v>
      </c>
      <c r="I98" s="360">
        <v>0.99981200000000003</v>
      </c>
      <c r="J98" s="360">
        <v>0.48514800000000002</v>
      </c>
      <c r="K98" s="360">
        <v>2419.6999999999998</v>
      </c>
      <c r="L98" s="360"/>
      <c r="M98" s="362">
        <f t="shared" si="4"/>
        <v>1.0259014816453425</v>
      </c>
      <c r="N98" s="374">
        <f t="shared" si="5"/>
        <v>2358.6085440867878</v>
      </c>
      <c r="O98" s="363" t="s">
        <v>965</v>
      </c>
      <c r="P98" s="360"/>
      <c r="Q98" s="364" t="s">
        <v>12</v>
      </c>
      <c r="R98" s="180"/>
      <c r="S98" s="376"/>
      <c r="T98" s="376"/>
      <c r="U98" s="376"/>
      <c r="V98" s="376"/>
      <c r="W98" s="376"/>
      <c r="X98" s="376"/>
      <c r="Y98" s="377"/>
    </row>
    <row r="99" spans="1:31" ht="15.75">
      <c r="A99" s="368" t="s">
        <v>944</v>
      </c>
      <c r="B99" s="369" t="s">
        <v>967</v>
      </c>
      <c r="C99" s="370">
        <v>45421.561111111114</v>
      </c>
      <c r="D99" s="369">
        <v>20</v>
      </c>
      <c r="E99" s="369">
        <v>9.9751000000000006E-2</v>
      </c>
      <c r="F99" s="369">
        <v>33.200000000000003</v>
      </c>
      <c r="G99" s="369">
        <v>22.5</v>
      </c>
      <c r="H99" s="369">
        <v>1053.0060000000001</v>
      </c>
      <c r="I99" s="369">
        <v>0.99978999999999996</v>
      </c>
      <c r="J99" s="369">
        <v>0.45227600000000001</v>
      </c>
      <c r="K99" s="369">
        <v>2255.8000000000002</v>
      </c>
      <c r="L99" s="360"/>
      <c r="M99" s="362">
        <f t="shared" si="4"/>
        <v>1.0227124503008802</v>
      </c>
      <c r="N99" s="374">
        <f t="shared" si="5"/>
        <v>2205.7030784521571</v>
      </c>
      <c r="O99" s="363" t="s">
        <v>965</v>
      </c>
      <c r="P99" s="360"/>
      <c r="Q99" s="364" t="s">
        <v>12</v>
      </c>
      <c r="R99" s="180"/>
      <c r="S99" s="376"/>
      <c r="T99" s="376"/>
      <c r="U99" s="376"/>
      <c r="V99" s="376"/>
      <c r="W99" s="376"/>
      <c r="X99" s="376"/>
      <c r="Y99" s="377"/>
    </row>
    <row r="100" spans="1:31" ht="15.75">
      <c r="A100" s="359" t="s">
        <v>945</v>
      </c>
      <c r="B100" s="360">
        <v>443</v>
      </c>
      <c r="C100" s="361">
        <v>45421.569444444445</v>
      </c>
      <c r="D100" s="360">
        <v>20</v>
      </c>
      <c r="E100" s="360">
        <v>9.9751000000000006E-2</v>
      </c>
      <c r="F100" s="360">
        <v>37.4</v>
      </c>
      <c r="G100" s="360">
        <v>22.5</v>
      </c>
      <c r="H100" s="360">
        <v>1039.201</v>
      </c>
      <c r="I100" s="360">
        <v>0.99982000000000004</v>
      </c>
      <c r="J100" s="360">
        <v>0.48159200000000002</v>
      </c>
      <c r="K100" s="360">
        <v>2402</v>
      </c>
      <c r="L100" s="360"/>
      <c r="M100" s="362">
        <f t="shared" si="4"/>
        <v>1.0259014816453425</v>
      </c>
      <c r="N100" s="374">
        <f t="shared" si="5"/>
        <v>2341.3554254231785</v>
      </c>
      <c r="O100" s="363" t="s">
        <v>965</v>
      </c>
      <c r="P100" s="360"/>
      <c r="Q100" s="364" t="s">
        <v>12</v>
      </c>
      <c r="R100" s="180"/>
      <c r="S100" s="376"/>
      <c r="T100" s="376"/>
      <c r="U100" s="376"/>
      <c r="V100" s="376"/>
      <c r="W100" s="376"/>
      <c r="X100" s="376"/>
      <c r="Y100" s="377"/>
    </row>
    <row r="101" spans="1:31" ht="15.75">
      <c r="A101" s="359" t="s">
        <v>946</v>
      </c>
      <c r="B101" s="360">
        <v>444</v>
      </c>
      <c r="C101" s="361">
        <v>45421.574999999997</v>
      </c>
      <c r="D101" s="360">
        <v>20</v>
      </c>
      <c r="E101" s="360">
        <v>9.9751000000000006E-2</v>
      </c>
      <c r="F101" s="360">
        <v>37.4</v>
      </c>
      <c r="G101" s="360">
        <v>22.5</v>
      </c>
      <c r="H101" s="360">
        <v>1029.4469999999999</v>
      </c>
      <c r="I101" s="360">
        <v>0.99985900000000005</v>
      </c>
      <c r="J101" s="360">
        <v>0.48459099999999999</v>
      </c>
      <c r="K101" s="360">
        <v>2416.9</v>
      </c>
      <c r="L101" s="360"/>
      <c r="M101" s="362">
        <f t="shared" si="4"/>
        <v>1.0259014816453425</v>
      </c>
      <c r="N101" s="374">
        <f t="shared" si="5"/>
        <v>2355.8792371795507</v>
      </c>
      <c r="O101" s="363" t="s">
        <v>965</v>
      </c>
      <c r="P101" s="360"/>
      <c r="Q101" s="364" t="s">
        <v>12</v>
      </c>
      <c r="R101" s="180"/>
      <c r="S101" s="376"/>
      <c r="T101" s="376"/>
      <c r="U101" s="376"/>
      <c r="V101" s="376"/>
      <c r="W101" s="376"/>
      <c r="X101" s="376"/>
      <c r="Y101" s="377"/>
    </row>
    <row r="102" spans="1:31" ht="15.75">
      <c r="A102" s="359" t="s">
        <v>947</v>
      </c>
      <c r="B102" s="360">
        <v>339</v>
      </c>
      <c r="C102" s="361">
        <v>45421.581944444442</v>
      </c>
      <c r="D102" s="360">
        <v>20</v>
      </c>
      <c r="E102" s="360">
        <v>9.9751000000000006E-2</v>
      </c>
      <c r="F102" s="360">
        <v>37.4</v>
      </c>
      <c r="G102" s="360">
        <v>22.5</v>
      </c>
      <c r="H102" s="360">
        <v>1013.522</v>
      </c>
      <c r="I102" s="360">
        <v>0.99982700000000002</v>
      </c>
      <c r="J102" s="360">
        <v>0.48130299999999998</v>
      </c>
      <c r="K102" s="360">
        <v>2400.5</v>
      </c>
      <c r="L102" s="360"/>
      <c r="M102" s="362">
        <f t="shared" si="4"/>
        <v>1.0259014816453425</v>
      </c>
      <c r="N102" s="374">
        <f t="shared" si="5"/>
        <v>2339.8932967228725</v>
      </c>
      <c r="O102" s="363" t="s">
        <v>965</v>
      </c>
      <c r="P102" s="360"/>
      <c r="Q102" s="364" t="s">
        <v>12</v>
      </c>
      <c r="R102" s="180"/>
      <c r="S102" s="376"/>
      <c r="T102" s="376"/>
      <c r="U102" s="376"/>
      <c r="V102" s="376"/>
      <c r="W102" s="376"/>
      <c r="X102" s="376"/>
      <c r="Y102" s="377"/>
    </row>
    <row r="103" spans="1:31" ht="15.75">
      <c r="A103" s="359" t="s">
        <v>948</v>
      </c>
      <c r="B103" s="360">
        <v>340</v>
      </c>
      <c r="C103" s="361">
        <v>45421.588888888888</v>
      </c>
      <c r="D103" s="360">
        <v>20</v>
      </c>
      <c r="E103" s="360">
        <v>9.9751000000000006E-2</v>
      </c>
      <c r="F103" s="360">
        <v>37.299999999999997</v>
      </c>
      <c r="G103" s="360">
        <v>22.5</v>
      </c>
      <c r="H103" s="360">
        <v>1030.55</v>
      </c>
      <c r="I103" s="360">
        <v>0.99985400000000002</v>
      </c>
      <c r="J103" s="360">
        <v>0.48440899999999998</v>
      </c>
      <c r="K103" s="360">
        <v>2416</v>
      </c>
      <c r="L103" s="360"/>
      <c r="M103" s="362">
        <f t="shared" si="4"/>
        <v>1.0258254635154704</v>
      </c>
      <c r="N103" s="374">
        <f t="shared" si="5"/>
        <v>2355.1764758504305</v>
      </c>
      <c r="O103" s="363" t="s">
        <v>965</v>
      </c>
      <c r="P103" s="360"/>
      <c r="Q103" s="364" t="s">
        <v>12</v>
      </c>
      <c r="R103" s="180"/>
      <c r="S103" s="376"/>
      <c r="T103" s="376"/>
      <c r="U103" s="376"/>
      <c r="V103" s="376"/>
      <c r="W103" s="376"/>
      <c r="X103" s="376"/>
      <c r="Y103" s="377"/>
    </row>
    <row r="104" spans="1:31" ht="15.75">
      <c r="A104" s="359" t="s">
        <v>949</v>
      </c>
      <c r="B104" s="360">
        <v>469</v>
      </c>
      <c r="C104" s="361">
        <v>45421.59652777778</v>
      </c>
      <c r="D104" s="360">
        <v>20</v>
      </c>
      <c r="E104" s="360">
        <v>9.9751000000000006E-2</v>
      </c>
      <c r="F104" s="360">
        <v>37.299999999999997</v>
      </c>
      <c r="G104" s="360">
        <v>22.5</v>
      </c>
      <c r="H104" s="360">
        <v>1031.681</v>
      </c>
      <c r="I104" s="360">
        <v>0.99984499999999998</v>
      </c>
      <c r="J104" s="360">
        <v>0.48205100000000001</v>
      </c>
      <c r="K104" s="360">
        <v>2404.3000000000002</v>
      </c>
      <c r="L104" s="360"/>
      <c r="M104" s="362">
        <f t="shared" si="4"/>
        <v>1.0258254635154704</v>
      </c>
      <c r="N104" s="374">
        <f t="shared" si="5"/>
        <v>2343.771026857281</v>
      </c>
      <c r="O104" s="363" t="s">
        <v>965</v>
      </c>
      <c r="P104" s="360"/>
      <c r="Q104" s="364" t="s">
        <v>12</v>
      </c>
      <c r="R104" s="180"/>
      <c r="S104" s="376"/>
      <c r="T104" s="376"/>
      <c r="U104" s="376"/>
      <c r="V104" s="376"/>
      <c r="W104" s="376"/>
      <c r="X104" s="376"/>
      <c r="Y104" s="377"/>
    </row>
    <row r="105" spans="1:31" ht="15.75">
      <c r="A105" s="359" t="s">
        <v>950</v>
      </c>
      <c r="B105" s="360">
        <v>470</v>
      </c>
      <c r="C105" s="361">
        <v>45421.603472222225</v>
      </c>
      <c r="D105" s="360">
        <v>20</v>
      </c>
      <c r="E105" s="360">
        <v>9.9751000000000006E-2</v>
      </c>
      <c r="F105" s="360">
        <v>37.4</v>
      </c>
      <c r="G105" s="360">
        <v>22.5</v>
      </c>
      <c r="H105" s="360">
        <v>1040.269</v>
      </c>
      <c r="I105" s="360">
        <v>0.99983299999999997</v>
      </c>
      <c r="J105" s="360">
        <v>0.48187000000000002</v>
      </c>
      <c r="K105" s="360">
        <v>2403.4</v>
      </c>
      <c r="L105" s="360"/>
      <c r="M105" s="362">
        <f t="shared" si="4"/>
        <v>1.0259014816453425</v>
      </c>
      <c r="N105" s="374">
        <f t="shared" si="5"/>
        <v>2342.7200788767973</v>
      </c>
      <c r="O105" s="363" t="s">
        <v>965</v>
      </c>
      <c r="P105" s="360"/>
      <c r="Q105" s="364" t="s">
        <v>12</v>
      </c>
      <c r="R105" s="180"/>
      <c r="S105" s="376"/>
      <c r="T105" s="376"/>
      <c r="U105" s="376"/>
      <c r="V105" s="376"/>
      <c r="W105" s="376"/>
      <c r="X105" s="376"/>
      <c r="Y105" s="377"/>
    </row>
    <row r="106" spans="1:31" ht="15.75">
      <c r="A106" s="359" t="s">
        <v>951</v>
      </c>
      <c r="B106" s="360">
        <v>352</v>
      </c>
      <c r="C106" s="361">
        <v>45421.611805555556</v>
      </c>
      <c r="D106" s="360">
        <v>20</v>
      </c>
      <c r="E106" s="360">
        <v>9.9751000000000006E-2</v>
      </c>
      <c r="F106" s="360">
        <v>37.200000000000003</v>
      </c>
      <c r="G106" s="360">
        <v>22.5</v>
      </c>
      <c r="H106" s="360">
        <v>1034.2070000000001</v>
      </c>
      <c r="I106" s="360">
        <v>0.99984399999999996</v>
      </c>
      <c r="J106" s="360">
        <v>0.481072</v>
      </c>
      <c r="K106" s="360">
        <v>2399.4</v>
      </c>
      <c r="L106" s="360"/>
      <c r="M106" s="362">
        <f t="shared" si="4"/>
        <v>1.0257494498155078</v>
      </c>
      <c r="N106" s="374">
        <f t="shared" si="5"/>
        <v>2339.1677182293965</v>
      </c>
      <c r="O106" s="363" t="s">
        <v>965</v>
      </c>
      <c r="P106" s="360"/>
      <c r="Q106" s="364" t="s">
        <v>12</v>
      </c>
      <c r="R106" s="180"/>
      <c r="S106" s="376"/>
      <c r="T106" s="376"/>
      <c r="U106" s="376"/>
      <c r="V106" s="376"/>
      <c r="W106" s="376"/>
      <c r="X106" s="376"/>
      <c r="Y106" s="377"/>
    </row>
    <row r="107" spans="1:31" ht="15.75">
      <c r="A107" s="359" t="s">
        <v>959</v>
      </c>
      <c r="B107" s="360">
        <v>353</v>
      </c>
      <c r="C107" s="361">
        <v>45421.618055555555</v>
      </c>
      <c r="D107" s="360">
        <v>20</v>
      </c>
      <c r="E107" s="360">
        <v>9.9751000000000006E-2</v>
      </c>
      <c r="F107" s="360">
        <v>37.4</v>
      </c>
      <c r="G107" s="360">
        <v>22.5</v>
      </c>
      <c r="H107" s="360">
        <v>1028.5509999999999</v>
      </c>
      <c r="I107" s="360">
        <v>0.99985100000000005</v>
      </c>
      <c r="J107" s="360">
        <v>0.48038799999999998</v>
      </c>
      <c r="K107" s="360">
        <v>2396</v>
      </c>
      <c r="L107" s="360"/>
      <c r="M107" s="362">
        <f t="shared" si="4"/>
        <v>1.0259014816453425</v>
      </c>
      <c r="N107" s="374">
        <f t="shared" si="5"/>
        <v>2335.5069106219548</v>
      </c>
      <c r="O107" s="363" t="s">
        <v>965</v>
      </c>
      <c r="P107" s="360"/>
      <c r="Q107" s="364" t="s">
        <v>12</v>
      </c>
      <c r="R107" s="180"/>
      <c r="S107" s="376"/>
      <c r="T107" s="376"/>
      <c r="U107" s="376"/>
      <c r="V107" s="376"/>
      <c r="W107" s="376"/>
      <c r="X107" s="376"/>
      <c r="Y107" s="377"/>
    </row>
    <row r="108" spans="1:31" ht="15.75">
      <c r="A108" s="359" t="s">
        <v>960</v>
      </c>
      <c r="B108" s="360">
        <v>456</v>
      </c>
      <c r="C108" s="361">
        <v>45421.623611111114</v>
      </c>
      <c r="D108" s="360">
        <v>20</v>
      </c>
      <c r="E108" s="360">
        <v>9.9751000000000006E-2</v>
      </c>
      <c r="F108" s="360">
        <v>37.4</v>
      </c>
      <c r="G108" s="360">
        <v>22.5</v>
      </c>
      <c r="H108" s="360">
        <v>1029.248</v>
      </c>
      <c r="I108" s="360">
        <v>0.99981200000000003</v>
      </c>
      <c r="J108" s="360">
        <v>0.48113099999999998</v>
      </c>
      <c r="K108" s="360">
        <v>2399.6999999999998</v>
      </c>
      <c r="L108" s="360"/>
      <c r="M108" s="362">
        <f t="shared" si="4"/>
        <v>1.0259014816453425</v>
      </c>
      <c r="N108" s="374">
        <f t="shared" si="5"/>
        <v>2339.1134947493761</v>
      </c>
      <c r="O108" s="363" t="s">
        <v>965</v>
      </c>
      <c r="P108" s="360"/>
      <c r="Q108" s="364" t="s">
        <v>12</v>
      </c>
      <c r="R108" s="180"/>
      <c r="S108" s="376"/>
      <c r="T108" s="376"/>
      <c r="U108" s="376"/>
      <c r="V108" s="376"/>
      <c r="W108" s="376"/>
      <c r="X108" s="376"/>
      <c r="Y108" s="377"/>
    </row>
    <row r="109" spans="1:31" ht="15.75">
      <c r="A109" s="359" t="s">
        <v>961</v>
      </c>
      <c r="B109" s="360">
        <v>457</v>
      </c>
      <c r="C109" s="361">
        <v>45421.629861111112</v>
      </c>
      <c r="D109" s="360">
        <v>20</v>
      </c>
      <c r="E109" s="360">
        <v>9.9751000000000006E-2</v>
      </c>
      <c r="F109" s="360">
        <v>37.5</v>
      </c>
      <c r="G109" s="360">
        <v>22.5</v>
      </c>
      <c r="H109" s="360">
        <v>1032.4290000000001</v>
      </c>
      <c r="I109" s="360">
        <v>0.99984099999999998</v>
      </c>
      <c r="J109" s="360">
        <v>0.48157100000000003</v>
      </c>
      <c r="K109" s="360">
        <v>2401.9</v>
      </c>
      <c r="L109" s="360"/>
      <c r="M109" s="362">
        <f t="shared" si="4"/>
        <v>1.0259775042121249</v>
      </c>
      <c r="N109" s="374">
        <f t="shared" si="5"/>
        <v>2341.0844683621813</v>
      </c>
      <c r="O109" s="363" t="s">
        <v>965</v>
      </c>
      <c r="P109" s="360"/>
      <c r="Q109" s="364" t="s">
        <v>12</v>
      </c>
      <c r="R109" s="180"/>
      <c r="S109" s="180"/>
      <c r="T109" s="180"/>
      <c r="U109" s="186"/>
      <c r="V109" s="186"/>
      <c r="W109" s="186"/>
      <c r="X109" s="186"/>
      <c r="Y109" s="164"/>
      <c r="Z109" s="380"/>
      <c r="AA109" s="380"/>
      <c r="AB109" s="380"/>
      <c r="AC109" s="380"/>
      <c r="AD109" s="380"/>
      <c r="AE109" s="380"/>
    </row>
    <row r="110" spans="1:31" ht="15.75">
      <c r="A110" s="368" t="s">
        <v>962</v>
      </c>
      <c r="B110" s="369" t="s">
        <v>967</v>
      </c>
      <c r="C110" s="370">
        <v>45421.640277777777</v>
      </c>
      <c r="D110" s="369">
        <v>20</v>
      </c>
      <c r="E110" s="369">
        <v>9.9751000000000006E-2</v>
      </c>
      <c r="F110" s="369">
        <v>33.200000000000003</v>
      </c>
      <c r="G110" s="369">
        <v>22.5</v>
      </c>
      <c r="H110" s="369">
        <v>1052.7439999999999</v>
      </c>
      <c r="I110" s="369">
        <v>0.99980199999999997</v>
      </c>
      <c r="J110" s="369">
        <v>0.45216899999999999</v>
      </c>
      <c r="K110" s="369">
        <v>2255.1999999999998</v>
      </c>
      <c r="L110" s="360"/>
      <c r="M110" s="362">
        <f t="shared" si="4"/>
        <v>1.0227124503008802</v>
      </c>
      <c r="N110" s="374">
        <f t="shared" si="5"/>
        <v>2205.1164032827837</v>
      </c>
      <c r="O110" s="363" t="s">
        <v>965</v>
      </c>
      <c r="P110" s="360"/>
      <c r="Q110" s="364" t="s">
        <v>12</v>
      </c>
      <c r="R110" s="180"/>
      <c r="S110" s="180"/>
      <c r="T110" s="180"/>
      <c r="U110" s="186"/>
      <c r="V110" s="186"/>
      <c r="W110" s="186"/>
      <c r="X110" s="186"/>
      <c r="Y110" s="164"/>
      <c r="Z110" s="380"/>
      <c r="AA110" s="380"/>
      <c r="AB110" s="380"/>
      <c r="AC110" s="380"/>
      <c r="AD110" s="380"/>
      <c r="AE110" s="380"/>
    </row>
    <row r="111" spans="1:31" ht="15.75">
      <c r="A111" s="359" t="s">
        <v>963</v>
      </c>
      <c r="B111" s="360">
        <v>599</v>
      </c>
      <c r="C111" s="361">
        <v>45421.647916666669</v>
      </c>
      <c r="D111" s="360">
        <v>20</v>
      </c>
      <c r="E111" s="360">
        <v>9.9751000000000006E-2</v>
      </c>
      <c r="F111" s="360">
        <v>37</v>
      </c>
      <c r="G111" s="360">
        <v>22.5</v>
      </c>
      <c r="H111" s="360">
        <v>1040.3309999999999</v>
      </c>
      <c r="I111" s="360">
        <v>0.99982499999999996</v>
      </c>
      <c r="J111" s="360">
        <v>0.48711900000000002</v>
      </c>
      <c r="K111" s="360">
        <v>2429.5</v>
      </c>
      <c r="L111" s="360"/>
      <c r="M111" s="362">
        <f t="shared" si="4"/>
        <v>1.0255974356771682</v>
      </c>
      <c r="N111" s="374">
        <f t="shared" si="5"/>
        <v>2368.8631771937703</v>
      </c>
      <c r="O111" s="363" t="s">
        <v>965</v>
      </c>
      <c r="P111" s="360"/>
      <c r="Q111" s="364" t="s">
        <v>12</v>
      </c>
      <c r="R111" s="180"/>
      <c r="S111" s="180"/>
      <c r="T111" s="180"/>
      <c r="U111" s="186"/>
      <c r="V111" s="186"/>
      <c r="W111" s="186"/>
      <c r="X111" s="186"/>
      <c r="Y111" s="164"/>
      <c r="Z111" s="380"/>
      <c r="AA111" s="380"/>
      <c r="AB111" s="380"/>
      <c r="AC111" s="380"/>
      <c r="AD111" s="380"/>
      <c r="AE111" s="380"/>
    </row>
    <row r="112" spans="1:31" ht="15.75">
      <c r="A112" s="359" t="s">
        <v>971</v>
      </c>
      <c r="B112" s="360">
        <v>600</v>
      </c>
      <c r="C112" s="361">
        <v>45421.65347222222</v>
      </c>
      <c r="D112" s="360">
        <v>20</v>
      </c>
      <c r="E112" s="360">
        <v>9.9751000000000006E-2</v>
      </c>
      <c r="F112" s="360">
        <v>37.1</v>
      </c>
      <c r="G112" s="360">
        <v>22.5</v>
      </c>
      <c r="H112" s="360">
        <v>1039.5409999999999</v>
      </c>
      <c r="I112" s="360">
        <v>0.99983299999999997</v>
      </c>
      <c r="J112" s="360">
        <v>0.48641699999999999</v>
      </c>
      <c r="K112" s="360">
        <v>2426</v>
      </c>
      <c r="L112" s="360"/>
      <c r="M112" s="362">
        <f t="shared" si="4"/>
        <v>1.0256734405384258</v>
      </c>
      <c r="N112" s="374">
        <f t="shared" si="5"/>
        <v>2365.2752465994195</v>
      </c>
      <c r="O112" s="363" t="s">
        <v>965</v>
      </c>
      <c r="P112" s="360"/>
      <c r="Q112" s="364" t="s">
        <v>12</v>
      </c>
      <c r="R112" s="180"/>
      <c r="S112" s="180"/>
      <c r="T112" s="180"/>
      <c r="U112" s="186"/>
      <c r="V112" s="186"/>
      <c r="W112" s="186"/>
      <c r="X112" s="186"/>
      <c r="Y112" s="164"/>
      <c r="Z112" s="380"/>
      <c r="AA112" s="380"/>
      <c r="AB112" s="380"/>
      <c r="AC112" s="380"/>
      <c r="AD112" s="380"/>
      <c r="AE112" s="380"/>
    </row>
    <row r="113" spans="1:31" ht="15.75">
      <c r="A113" s="359" t="s">
        <v>972</v>
      </c>
      <c r="B113" s="360">
        <v>612</v>
      </c>
      <c r="C113" s="361">
        <v>45421.65902777778</v>
      </c>
      <c r="D113" s="360">
        <v>20</v>
      </c>
      <c r="E113" s="360">
        <v>9.9751000000000006E-2</v>
      </c>
      <c r="F113" s="360">
        <v>37</v>
      </c>
      <c r="G113" s="360">
        <v>22.5</v>
      </c>
      <c r="H113" s="360">
        <v>4044.08</v>
      </c>
      <c r="I113" s="360">
        <v>0.74582000000000004</v>
      </c>
      <c r="J113" s="360">
        <v>1.1082270000000001</v>
      </c>
      <c r="K113" s="360">
        <v>5527.4</v>
      </c>
      <c r="L113" s="360"/>
      <c r="M113" s="362">
        <f t="shared" si="4"/>
        <v>1.0255974356771682</v>
      </c>
      <c r="N113" s="374">
        <f t="shared" si="5"/>
        <v>5389.4440525296741</v>
      </c>
      <c r="O113" s="363" t="s">
        <v>965</v>
      </c>
      <c r="P113" s="360"/>
      <c r="Q113" s="364" t="s">
        <v>582</v>
      </c>
      <c r="R113" s="180"/>
      <c r="S113" s="180"/>
      <c r="T113" s="180"/>
      <c r="U113" s="186"/>
      <c r="V113" s="186"/>
      <c r="W113" s="186"/>
      <c r="X113" s="186"/>
      <c r="Y113" s="164"/>
      <c r="Z113" s="380"/>
      <c r="AA113" s="380"/>
      <c r="AB113" s="380"/>
      <c r="AC113" s="380"/>
      <c r="AD113" s="380"/>
      <c r="AE113" s="380"/>
    </row>
    <row r="114" spans="1:31" ht="15.75">
      <c r="A114" s="359" t="s">
        <v>973</v>
      </c>
      <c r="B114" s="360">
        <v>613</v>
      </c>
      <c r="C114" s="361">
        <v>45421.673611111109</v>
      </c>
      <c r="D114" s="360">
        <v>20</v>
      </c>
      <c r="E114" s="360">
        <v>9.9751000000000006E-2</v>
      </c>
      <c r="F114" s="360">
        <v>37.1</v>
      </c>
      <c r="G114" s="360">
        <v>22.5</v>
      </c>
      <c r="H114" s="360">
        <v>1053.694</v>
      </c>
      <c r="I114" s="360">
        <v>0.99982099999999996</v>
      </c>
      <c r="J114" s="360">
        <v>0.48435400000000001</v>
      </c>
      <c r="K114" s="360">
        <v>2415.6999999999998</v>
      </c>
      <c r="L114" s="360"/>
      <c r="M114" s="362">
        <f t="shared" si="4"/>
        <v>1.0256734405384258</v>
      </c>
      <c r="N114" s="374">
        <f t="shared" si="5"/>
        <v>2355.2330639778306</v>
      </c>
      <c r="O114" s="363" t="s">
        <v>965</v>
      </c>
      <c r="P114" s="360"/>
      <c r="Q114" s="364" t="s">
        <v>12</v>
      </c>
      <c r="R114" s="180"/>
      <c r="S114" s="180"/>
      <c r="T114" s="180"/>
      <c r="U114" s="186"/>
      <c r="V114" s="186"/>
      <c r="W114" s="186"/>
      <c r="X114" s="186"/>
      <c r="Y114" s="164"/>
      <c r="Z114" s="380"/>
      <c r="AA114" s="380"/>
      <c r="AB114" s="380"/>
      <c r="AC114" s="380"/>
      <c r="AD114" s="380"/>
      <c r="AE114" s="380"/>
    </row>
    <row r="115" spans="1:31" ht="15.75">
      <c r="A115" s="359" t="s">
        <v>974</v>
      </c>
      <c r="B115" s="360">
        <v>612</v>
      </c>
      <c r="C115" s="361">
        <v>45421.679861111108</v>
      </c>
      <c r="D115" s="360">
        <v>20</v>
      </c>
      <c r="E115" s="360">
        <v>9.9751000000000006E-2</v>
      </c>
      <c r="F115" s="360">
        <v>37</v>
      </c>
      <c r="G115" s="360">
        <v>22.5</v>
      </c>
      <c r="H115" s="360">
        <v>1047.192</v>
      </c>
      <c r="I115" s="360">
        <v>0.99981799999999998</v>
      </c>
      <c r="J115" s="360">
        <v>0.48499300000000001</v>
      </c>
      <c r="K115" s="360">
        <v>2418.9</v>
      </c>
      <c r="L115" s="360"/>
      <c r="M115" s="362">
        <f t="shared" si="4"/>
        <v>1.0255974356771682</v>
      </c>
      <c r="N115" s="374">
        <f t="shared" si="5"/>
        <v>2358.527737935382</v>
      </c>
      <c r="O115" s="363" t="s">
        <v>965</v>
      </c>
      <c r="P115" s="360"/>
      <c r="Q115" s="364" t="s">
        <v>12</v>
      </c>
      <c r="R115" s="180"/>
      <c r="S115" s="180"/>
      <c r="T115" s="180"/>
      <c r="U115" s="186"/>
      <c r="V115" s="186"/>
      <c r="W115" s="186"/>
      <c r="X115" s="186"/>
      <c r="Y115" s="164"/>
      <c r="Z115" s="380"/>
      <c r="AA115" s="380"/>
      <c r="AB115" s="380"/>
      <c r="AC115" s="380"/>
      <c r="AD115" s="380"/>
      <c r="AE115" s="380"/>
    </row>
    <row r="116" spans="1:31" ht="15.75">
      <c r="A116" s="359" t="s">
        <v>975</v>
      </c>
      <c r="B116" s="360">
        <v>430</v>
      </c>
      <c r="C116" s="361">
        <v>45421.6875</v>
      </c>
      <c r="D116" s="360">
        <v>20</v>
      </c>
      <c r="E116" s="360">
        <v>9.9751000000000006E-2</v>
      </c>
      <c r="F116" s="360">
        <v>37.1</v>
      </c>
      <c r="G116" s="360">
        <v>22.5</v>
      </c>
      <c r="H116" s="360">
        <v>1047.442</v>
      </c>
      <c r="I116" s="360">
        <v>0.999776</v>
      </c>
      <c r="J116" s="360">
        <v>0.48666999999999999</v>
      </c>
      <c r="K116" s="360">
        <v>2427.3000000000002</v>
      </c>
      <c r="L116" s="360"/>
      <c r="M116" s="362">
        <f t="shared" si="4"/>
        <v>1.0256734405384258</v>
      </c>
      <c r="N116" s="374">
        <f t="shared" si="5"/>
        <v>2366.5427065419503</v>
      </c>
      <c r="O116" s="363" t="s">
        <v>965</v>
      </c>
      <c r="P116" s="360"/>
      <c r="Q116" s="364" t="s">
        <v>12</v>
      </c>
      <c r="R116" s="180"/>
      <c r="S116" s="180"/>
      <c r="T116" s="180"/>
      <c r="U116" s="186"/>
      <c r="V116" s="186"/>
      <c r="W116" s="186"/>
      <c r="X116" s="186"/>
      <c r="Y116" s="164"/>
      <c r="Z116" s="380"/>
      <c r="AA116" s="380"/>
      <c r="AB116" s="380"/>
      <c r="AC116" s="380"/>
      <c r="AD116" s="380"/>
      <c r="AE116" s="380"/>
    </row>
    <row r="117" spans="1:31" ht="15.75">
      <c r="A117" s="359" t="s">
        <v>976</v>
      </c>
      <c r="B117" s="360">
        <v>431</v>
      </c>
      <c r="C117" s="361">
        <v>45421.693749999999</v>
      </c>
      <c r="D117" s="360">
        <v>20</v>
      </c>
      <c r="E117" s="360">
        <v>9.9751000000000006E-2</v>
      </c>
      <c r="F117" s="360">
        <v>37.1</v>
      </c>
      <c r="G117" s="360">
        <v>22.5</v>
      </c>
      <c r="H117" s="360">
        <v>0</v>
      </c>
      <c r="I117" s="360">
        <v>0</v>
      </c>
      <c r="J117" s="360">
        <v>0</v>
      </c>
      <c r="K117" s="360">
        <v>0</v>
      </c>
      <c r="L117" s="360" t="s">
        <v>918</v>
      </c>
      <c r="M117" s="362">
        <f t="shared" si="4"/>
        <v>1.0256734405384258</v>
      </c>
      <c r="N117" s="374">
        <f t="shared" si="5"/>
        <v>0</v>
      </c>
      <c r="O117" s="363" t="s">
        <v>965</v>
      </c>
      <c r="P117" s="360"/>
      <c r="Q117" s="364" t="s">
        <v>582</v>
      </c>
      <c r="R117" s="180"/>
      <c r="S117" s="406"/>
      <c r="T117" s="407"/>
      <c r="U117" s="186"/>
      <c r="V117" s="186"/>
      <c r="W117" s="186"/>
      <c r="X117" s="186"/>
      <c r="Y117" s="164"/>
      <c r="Z117" s="380"/>
      <c r="AA117" s="380"/>
      <c r="AB117" s="380"/>
      <c r="AC117" s="380"/>
      <c r="AD117" s="380"/>
      <c r="AE117" s="380"/>
    </row>
    <row r="118" spans="1:31" ht="15.75">
      <c r="A118" s="359" t="s">
        <v>977</v>
      </c>
      <c r="B118" s="360">
        <v>573</v>
      </c>
      <c r="C118" s="361">
        <v>45421.699305555558</v>
      </c>
      <c r="D118" s="360">
        <v>20</v>
      </c>
      <c r="E118" s="360">
        <v>9.9751000000000006E-2</v>
      </c>
      <c r="F118" s="360">
        <v>37</v>
      </c>
      <c r="G118" s="360">
        <v>22.5</v>
      </c>
      <c r="H118" s="360">
        <v>1046.3440000000001</v>
      </c>
      <c r="I118" s="360">
        <v>0.99979799999999996</v>
      </c>
      <c r="J118" s="360">
        <v>0.48681400000000002</v>
      </c>
      <c r="K118" s="360">
        <v>2428</v>
      </c>
      <c r="L118" s="360"/>
      <c r="M118" s="362">
        <f t="shared" si="4"/>
        <v>1.0255974356771682</v>
      </c>
      <c r="N118" s="374">
        <f t="shared" si="5"/>
        <v>2367.4006150345645</v>
      </c>
      <c r="O118" s="363" t="s">
        <v>965</v>
      </c>
      <c r="P118" s="360"/>
      <c r="Q118" s="364" t="s">
        <v>12</v>
      </c>
      <c r="R118" s="180"/>
      <c r="S118" s="406"/>
      <c r="T118" s="407"/>
      <c r="U118" s="186"/>
      <c r="V118" s="186"/>
      <c r="W118" s="186"/>
      <c r="X118" s="186"/>
      <c r="Y118" s="164"/>
      <c r="Z118" s="380"/>
      <c r="AA118" s="380"/>
      <c r="AB118" s="380"/>
      <c r="AC118" s="380"/>
      <c r="AD118" s="380"/>
      <c r="AE118" s="380"/>
    </row>
    <row r="119" spans="1:31" ht="15.75">
      <c r="A119" s="359" t="s">
        <v>978</v>
      </c>
      <c r="B119" s="360">
        <v>431</v>
      </c>
      <c r="C119" s="361">
        <v>45421.706944444442</v>
      </c>
      <c r="D119" s="360">
        <v>20</v>
      </c>
      <c r="E119" s="360">
        <v>9.9751000000000006E-2</v>
      </c>
      <c r="F119" s="360">
        <v>37.1</v>
      </c>
      <c r="G119" s="360">
        <v>22.5</v>
      </c>
      <c r="H119" s="360">
        <v>1063.8910000000001</v>
      </c>
      <c r="I119" s="360">
        <v>0.99980400000000003</v>
      </c>
      <c r="J119" s="360">
        <v>0.48659999999999998</v>
      </c>
      <c r="K119" s="360">
        <v>2427</v>
      </c>
      <c r="L119" s="360"/>
      <c r="M119" s="362">
        <f t="shared" si="4"/>
        <v>1.0256734405384258</v>
      </c>
      <c r="N119" s="374">
        <f t="shared" si="5"/>
        <v>2366.2502157859813</v>
      </c>
      <c r="O119" s="363" t="s">
        <v>965</v>
      </c>
      <c r="P119" s="360"/>
      <c r="Q119" s="364" t="s">
        <v>12</v>
      </c>
      <c r="R119" s="180"/>
      <c r="S119" s="406"/>
      <c r="T119" s="407"/>
      <c r="U119" s="186"/>
      <c r="V119" s="186"/>
      <c r="W119" s="186"/>
      <c r="X119" s="186"/>
      <c r="Y119" s="164"/>
      <c r="Z119" s="380"/>
      <c r="AA119" s="380"/>
      <c r="AB119" s="380"/>
      <c r="AC119" s="380"/>
      <c r="AD119" s="380"/>
      <c r="AE119" s="380"/>
    </row>
    <row r="120" spans="1:31" ht="15.75">
      <c r="A120" s="359" t="s">
        <v>979</v>
      </c>
      <c r="B120" s="360">
        <v>574</v>
      </c>
      <c r="C120" s="361">
        <v>45421.713888888888</v>
      </c>
      <c r="D120" s="360">
        <v>20</v>
      </c>
      <c r="E120" s="360">
        <v>9.9751000000000006E-2</v>
      </c>
      <c r="F120" s="360">
        <v>37.200000000000003</v>
      </c>
      <c r="G120" s="360">
        <v>22.5</v>
      </c>
      <c r="H120" s="360">
        <v>1044.6690000000001</v>
      </c>
      <c r="I120" s="360">
        <v>0.99979799999999996</v>
      </c>
      <c r="J120" s="360">
        <v>0.48680400000000001</v>
      </c>
      <c r="K120" s="360">
        <v>2428</v>
      </c>
      <c r="L120" s="360"/>
      <c r="M120" s="362">
        <f t="shared" si="4"/>
        <v>1.0257494498155078</v>
      </c>
      <c r="N120" s="374">
        <f t="shared" si="5"/>
        <v>2367.0497707180857</v>
      </c>
      <c r="O120" s="363" t="s">
        <v>965</v>
      </c>
      <c r="P120" s="360"/>
      <c r="Q120" s="364" t="s">
        <v>12</v>
      </c>
      <c r="R120" s="180"/>
      <c r="S120" s="406"/>
      <c r="T120" s="407"/>
      <c r="U120" s="186"/>
      <c r="V120" s="186"/>
      <c r="W120" s="186"/>
      <c r="X120" s="186"/>
      <c r="Y120" s="164"/>
      <c r="Z120" s="380"/>
      <c r="AA120" s="380"/>
      <c r="AB120" s="380"/>
      <c r="AC120" s="380"/>
      <c r="AD120" s="380"/>
      <c r="AE120" s="380"/>
    </row>
    <row r="121" spans="1:31" ht="15.75">
      <c r="A121" s="359" t="s">
        <v>980</v>
      </c>
      <c r="B121" s="360">
        <v>560</v>
      </c>
      <c r="C121" s="361">
        <v>45421.722222222219</v>
      </c>
      <c r="D121" s="360">
        <v>20</v>
      </c>
      <c r="E121" s="360">
        <v>9.9751000000000006E-2</v>
      </c>
      <c r="F121" s="360">
        <v>36.700000000000003</v>
      </c>
      <c r="G121" s="360">
        <v>22.5</v>
      </c>
      <c r="H121" s="360">
        <v>1043.9000000000001</v>
      </c>
      <c r="I121" s="360">
        <v>0.99981200000000003</v>
      </c>
      <c r="J121" s="360">
        <v>0.487626</v>
      </c>
      <c r="K121" s="360">
        <v>2432.1</v>
      </c>
      <c r="L121" s="360"/>
      <c r="M121" s="362">
        <f t="shared" si="4"/>
        <v>1.0253694475173356</v>
      </c>
      <c r="N121" s="374">
        <f t="shared" si="5"/>
        <v>2371.9255590155285</v>
      </c>
      <c r="O121" s="363" t="s">
        <v>965</v>
      </c>
      <c r="P121" s="360"/>
      <c r="Q121" s="364" t="s">
        <v>12</v>
      </c>
      <c r="R121" s="180"/>
      <c r="S121" s="406"/>
      <c r="T121" s="407"/>
      <c r="U121" s="186"/>
      <c r="V121" s="186"/>
      <c r="W121" s="186"/>
      <c r="X121" s="186"/>
      <c r="Y121" s="164"/>
      <c r="Z121" s="380"/>
      <c r="AA121" s="380"/>
      <c r="AB121" s="380"/>
      <c r="AC121" s="380"/>
      <c r="AD121" s="380"/>
      <c r="AE121" s="380"/>
    </row>
    <row r="122" spans="1:31" ht="15.75">
      <c r="A122" s="359" t="s">
        <v>981</v>
      </c>
      <c r="B122" s="360">
        <v>561</v>
      </c>
      <c r="C122" s="361">
        <v>45421.730555555558</v>
      </c>
      <c r="D122" s="360">
        <v>20</v>
      </c>
      <c r="E122" s="360">
        <v>9.9751000000000006E-2</v>
      </c>
      <c r="F122" s="360">
        <v>36.9</v>
      </c>
      <c r="G122" s="360">
        <v>22.5</v>
      </c>
      <c r="H122" s="360">
        <v>1044.2</v>
      </c>
      <c r="I122" s="360">
        <v>0.99981799999999998</v>
      </c>
      <c r="J122" s="360">
        <v>0.48834899999999998</v>
      </c>
      <c r="K122" s="360">
        <v>2435.6999999999998</v>
      </c>
      <c r="L122" s="360"/>
      <c r="M122" s="362">
        <f t="shared" si="4"/>
        <v>1.0255214352246484</v>
      </c>
      <c r="N122" s="374">
        <f t="shared" si="5"/>
        <v>2375.0844364032632</v>
      </c>
      <c r="O122" s="363" t="s">
        <v>965</v>
      </c>
      <c r="P122" s="379"/>
      <c r="Q122" s="364" t="s">
        <v>12</v>
      </c>
      <c r="R122" s="180"/>
      <c r="S122" s="406"/>
      <c r="T122" s="407"/>
      <c r="U122" s="186"/>
      <c r="V122" s="186"/>
      <c r="W122" s="186"/>
      <c r="X122" s="186"/>
      <c r="Y122" s="164"/>
      <c r="Z122" s="380"/>
      <c r="AA122" s="380"/>
      <c r="AB122" s="380"/>
      <c r="AC122" s="380"/>
      <c r="AD122" s="380"/>
      <c r="AE122" s="380"/>
    </row>
    <row r="123" spans="1:31" ht="15.75">
      <c r="A123" s="368" t="s">
        <v>982</v>
      </c>
      <c r="B123" s="369" t="s">
        <v>738</v>
      </c>
      <c r="C123" s="370">
        <v>45421.739583333336</v>
      </c>
      <c r="D123" s="369">
        <v>20</v>
      </c>
      <c r="E123" s="369">
        <v>9.9751000000000006E-2</v>
      </c>
      <c r="F123" s="369">
        <v>33.200000000000003</v>
      </c>
      <c r="G123" s="369">
        <v>22.5</v>
      </c>
      <c r="H123" s="369">
        <v>1054.0509999999999</v>
      </c>
      <c r="I123" s="369">
        <v>0.99986299999999995</v>
      </c>
      <c r="J123" s="369">
        <v>0.45196999999999998</v>
      </c>
      <c r="K123" s="369">
        <v>2254.1999999999998</v>
      </c>
      <c r="L123" s="360"/>
      <c r="M123" s="362">
        <f t="shared" si="4"/>
        <v>1.0227124503008802</v>
      </c>
      <c r="N123" s="374">
        <f t="shared" si="5"/>
        <v>2204.138611333829</v>
      </c>
      <c r="O123" s="363" t="s">
        <v>965</v>
      </c>
      <c r="P123" s="379"/>
      <c r="Q123" s="364" t="s">
        <v>12</v>
      </c>
      <c r="R123" s="180"/>
      <c r="S123" s="406"/>
      <c r="T123" s="407"/>
      <c r="U123" s="186"/>
      <c r="V123" s="186"/>
      <c r="W123" s="186"/>
      <c r="X123" s="186"/>
      <c r="Y123" s="164"/>
      <c r="Z123" s="380"/>
      <c r="AA123" s="380"/>
      <c r="AB123" s="380"/>
      <c r="AC123" s="380"/>
      <c r="AD123" s="380"/>
      <c r="AE123" s="380"/>
    </row>
    <row r="124" spans="1:31" ht="15.75">
      <c r="A124" s="359" t="s">
        <v>913</v>
      </c>
      <c r="B124" s="360" t="s">
        <v>914</v>
      </c>
      <c r="C124" s="361">
        <v>45422.344444444447</v>
      </c>
      <c r="D124" s="360">
        <v>20</v>
      </c>
      <c r="E124" s="360">
        <v>9.9751000000000006E-2</v>
      </c>
      <c r="F124" s="360" t="s">
        <v>915</v>
      </c>
      <c r="G124" s="360">
        <v>22.5</v>
      </c>
      <c r="H124" s="360">
        <v>1213.489</v>
      </c>
      <c r="I124" s="360">
        <v>0.99996399999999996</v>
      </c>
      <c r="J124" s="360">
        <v>0.40844200000000003</v>
      </c>
      <c r="K124" s="360">
        <v>2037.1</v>
      </c>
      <c r="L124" s="360"/>
      <c r="M124" s="362" t="s">
        <v>230</v>
      </c>
      <c r="N124" s="362" t="s">
        <v>230</v>
      </c>
      <c r="O124" s="363" t="s">
        <v>13</v>
      </c>
      <c r="P124" s="360"/>
      <c r="Q124" s="364" t="s">
        <v>582</v>
      </c>
      <c r="R124" s="180"/>
      <c r="S124" s="180"/>
      <c r="T124" s="180"/>
      <c r="U124" s="376"/>
      <c r="V124" s="376"/>
      <c r="W124" s="376"/>
      <c r="X124" s="376"/>
      <c r="Y124" s="377"/>
    </row>
    <row r="125" spans="1:31" ht="15.75">
      <c r="A125" s="359" t="s">
        <v>916</v>
      </c>
      <c r="B125" s="360" t="s">
        <v>914</v>
      </c>
      <c r="C125" s="361">
        <v>45422.355555555558</v>
      </c>
      <c r="D125" s="360">
        <v>20</v>
      </c>
      <c r="E125" s="360">
        <v>9.9751000000000006E-2</v>
      </c>
      <c r="F125" s="360" t="s">
        <v>915</v>
      </c>
      <c r="G125" s="360">
        <v>22.5</v>
      </c>
      <c r="H125" s="360">
        <v>1218.048</v>
      </c>
      <c r="I125" s="360">
        <v>0.99998100000000001</v>
      </c>
      <c r="J125" s="360">
        <v>0.40733799999999998</v>
      </c>
      <c r="K125" s="360">
        <v>2031.6</v>
      </c>
      <c r="L125" s="360">
        <v>3.8927</v>
      </c>
      <c r="M125" s="362" t="s">
        <v>230</v>
      </c>
      <c r="N125" s="362" t="s">
        <v>230</v>
      </c>
      <c r="O125" s="363" t="s">
        <v>13</v>
      </c>
      <c r="P125" s="360"/>
      <c r="Q125" s="364" t="s">
        <v>582</v>
      </c>
      <c r="R125" s="180"/>
      <c r="S125" s="180"/>
      <c r="T125" s="180"/>
      <c r="U125" s="376"/>
      <c r="V125" s="376"/>
      <c r="W125" s="376"/>
      <c r="X125" s="376"/>
      <c r="Y125" s="377"/>
    </row>
    <row r="126" spans="1:31" ht="15.75">
      <c r="A126" s="359" t="s">
        <v>917</v>
      </c>
      <c r="B126" s="360" t="s">
        <v>914</v>
      </c>
      <c r="C126" s="361">
        <v>45422.362500000003</v>
      </c>
      <c r="D126" s="360">
        <v>20</v>
      </c>
      <c r="E126" s="360">
        <v>9.9751000000000006E-2</v>
      </c>
      <c r="F126" s="360" t="s">
        <v>915</v>
      </c>
      <c r="G126" s="360">
        <v>22.5</v>
      </c>
      <c r="H126" s="360">
        <v>1218.623</v>
      </c>
      <c r="I126" s="360">
        <v>0.99999099999999996</v>
      </c>
      <c r="J126" s="360">
        <v>0.40603699999999998</v>
      </c>
      <c r="K126" s="360">
        <v>2025.1</v>
      </c>
      <c r="L126" s="360">
        <v>4.5906000000000002</v>
      </c>
      <c r="M126" s="362" t="s">
        <v>230</v>
      </c>
      <c r="N126" s="362" t="s">
        <v>230</v>
      </c>
      <c r="O126" s="363" t="s">
        <v>13</v>
      </c>
      <c r="P126" s="360"/>
      <c r="Q126" s="364" t="s">
        <v>582</v>
      </c>
      <c r="R126" s="180"/>
      <c r="S126" s="180"/>
      <c r="T126" s="180"/>
      <c r="U126" s="376"/>
      <c r="V126" s="376"/>
      <c r="W126" s="376"/>
      <c r="X126" s="376"/>
      <c r="Y126" s="377"/>
    </row>
    <row r="127" spans="1:31" ht="15.75">
      <c r="A127" s="359" t="s">
        <v>919</v>
      </c>
      <c r="B127" s="360" t="s">
        <v>914</v>
      </c>
      <c r="C127" s="361">
        <v>45422.370138888888</v>
      </c>
      <c r="D127" s="360">
        <v>20</v>
      </c>
      <c r="E127" s="360">
        <v>9.9751000000000006E-2</v>
      </c>
      <c r="F127" s="360" t="s">
        <v>915</v>
      </c>
      <c r="G127" s="360">
        <v>22.5</v>
      </c>
      <c r="H127" s="360">
        <v>1222.71</v>
      </c>
      <c r="I127" s="360">
        <v>0.99998100000000001</v>
      </c>
      <c r="J127" s="360">
        <v>0.40599600000000002</v>
      </c>
      <c r="K127" s="360">
        <v>2024.9</v>
      </c>
      <c r="L127" s="360">
        <v>0.1434</v>
      </c>
      <c r="M127" s="362" t="s">
        <v>230</v>
      </c>
      <c r="N127" s="362" t="s">
        <v>230</v>
      </c>
      <c r="O127" s="363" t="s">
        <v>13</v>
      </c>
      <c r="P127" s="360"/>
      <c r="Q127" s="364" t="s">
        <v>582</v>
      </c>
      <c r="R127" s="180"/>
      <c r="S127" s="180"/>
      <c r="T127" s="180"/>
      <c r="U127" s="376"/>
      <c r="V127" s="376"/>
      <c r="W127" s="376"/>
      <c r="X127" s="376"/>
      <c r="Y127" s="377"/>
    </row>
    <row r="128" spans="1:31" ht="15.75">
      <c r="A128" s="359" t="s">
        <v>920</v>
      </c>
      <c r="B128" s="360" t="s">
        <v>914</v>
      </c>
      <c r="C128" s="361">
        <v>45422.379861111112</v>
      </c>
      <c r="D128" s="360">
        <v>20</v>
      </c>
      <c r="E128" s="360">
        <v>9.9751000000000006E-2</v>
      </c>
      <c r="F128" s="360" t="s">
        <v>915</v>
      </c>
      <c r="G128" s="360">
        <v>22.5</v>
      </c>
      <c r="H128" s="360">
        <v>1213.434</v>
      </c>
      <c r="I128" s="360">
        <v>0.999614</v>
      </c>
      <c r="J128" s="360">
        <v>0.40160299999999999</v>
      </c>
      <c r="K128" s="360">
        <v>2003</v>
      </c>
      <c r="L128" s="360">
        <v>15.4925</v>
      </c>
      <c r="M128" s="362" t="s">
        <v>230</v>
      </c>
      <c r="N128" s="362" t="s">
        <v>230</v>
      </c>
      <c r="O128" s="363" t="s">
        <v>13</v>
      </c>
      <c r="P128" s="360"/>
      <c r="Q128" s="364" t="s">
        <v>582</v>
      </c>
      <c r="R128" s="180"/>
      <c r="S128" s="180"/>
      <c r="T128" s="180"/>
      <c r="U128" s="376"/>
      <c r="V128" s="376"/>
      <c r="W128" s="376"/>
      <c r="X128" s="376"/>
      <c r="Y128" s="377"/>
    </row>
    <row r="129" spans="1:25" ht="15.75">
      <c r="A129" s="359" t="s">
        <v>921</v>
      </c>
      <c r="B129" s="360" t="s">
        <v>914</v>
      </c>
      <c r="C129" s="361">
        <v>45422.388888888891</v>
      </c>
      <c r="D129" s="360">
        <v>20</v>
      </c>
      <c r="E129" s="360">
        <v>9.9751000000000006E-2</v>
      </c>
      <c r="F129" s="360" t="s">
        <v>915</v>
      </c>
      <c r="G129" s="360">
        <v>22.5</v>
      </c>
      <c r="H129" s="360">
        <v>1219.9000000000001</v>
      </c>
      <c r="I129" s="360">
        <v>0.99998699999999996</v>
      </c>
      <c r="J129" s="360">
        <v>0.40560000000000002</v>
      </c>
      <c r="K129" s="360">
        <v>2023</v>
      </c>
      <c r="L129" s="360">
        <v>14.0946</v>
      </c>
      <c r="M129" s="362" t="s">
        <v>230</v>
      </c>
      <c r="N129" s="362" t="s">
        <v>230</v>
      </c>
      <c r="O129" s="363" t="s">
        <v>13</v>
      </c>
      <c r="P129" s="360"/>
      <c r="Q129" s="364" t="s">
        <v>582</v>
      </c>
      <c r="R129" s="180"/>
      <c r="S129" s="180"/>
      <c r="T129" s="180"/>
      <c r="U129" s="376"/>
      <c r="V129" s="376"/>
      <c r="W129" s="376"/>
      <c r="X129" s="376"/>
      <c r="Y129" s="377"/>
    </row>
    <row r="130" spans="1:25" ht="15.75">
      <c r="A130" s="359" t="s">
        <v>922</v>
      </c>
      <c r="B130" s="360" t="s">
        <v>914</v>
      </c>
      <c r="C130" s="361">
        <v>45422.406944444447</v>
      </c>
      <c r="D130" s="360">
        <v>20</v>
      </c>
      <c r="E130" s="360">
        <v>9.9751000000000006E-2</v>
      </c>
      <c r="F130" s="360" t="s">
        <v>915</v>
      </c>
      <c r="G130" s="360">
        <v>22.5</v>
      </c>
      <c r="H130" s="360">
        <v>1220.913</v>
      </c>
      <c r="I130" s="360">
        <v>0.99998100000000001</v>
      </c>
      <c r="J130" s="360">
        <v>0.40668100000000001</v>
      </c>
      <c r="K130" s="360">
        <v>2028.3</v>
      </c>
      <c r="L130" s="360">
        <v>3.8138000000000001</v>
      </c>
      <c r="M130" s="362" t="s">
        <v>230</v>
      </c>
      <c r="N130" s="362" t="s">
        <v>230</v>
      </c>
      <c r="O130" s="363" t="s">
        <v>13</v>
      </c>
      <c r="P130" s="360"/>
      <c r="Q130" s="364" t="s">
        <v>582</v>
      </c>
      <c r="R130" s="180"/>
      <c r="S130" s="180"/>
      <c r="T130" s="180"/>
      <c r="U130" s="376"/>
      <c r="V130" s="376"/>
      <c r="W130" s="376"/>
      <c r="X130" s="376"/>
      <c r="Y130" s="377"/>
    </row>
    <row r="131" spans="1:25" ht="15.75">
      <c r="A131" s="359" t="s">
        <v>923</v>
      </c>
      <c r="B131" s="360" t="s">
        <v>914</v>
      </c>
      <c r="C131" s="361">
        <v>45422.416666666664</v>
      </c>
      <c r="D131" s="360">
        <v>20</v>
      </c>
      <c r="E131" s="360">
        <v>9.9751000000000006E-2</v>
      </c>
      <c r="F131" s="360" t="s">
        <v>915</v>
      </c>
      <c r="G131" s="360">
        <v>22.5</v>
      </c>
      <c r="H131" s="360">
        <v>1223.8530000000001</v>
      </c>
      <c r="I131" s="360">
        <v>0.99999400000000005</v>
      </c>
      <c r="J131" s="360">
        <v>0.40671800000000002</v>
      </c>
      <c r="K131" s="360">
        <v>2028.5</v>
      </c>
      <c r="L131" s="360">
        <v>0.129</v>
      </c>
      <c r="M131" s="362" t="s">
        <v>230</v>
      </c>
      <c r="N131" s="362" t="s">
        <v>230</v>
      </c>
      <c r="O131" s="363" t="s">
        <v>13</v>
      </c>
      <c r="P131" s="360"/>
      <c r="Q131" s="364" t="s">
        <v>582</v>
      </c>
      <c r="R131" s="180"/>
      <c r="S131" s="180"/>
      <c r="T131" s="180"/>
      <c r="U131" s="376"/>
      <c r="V131" s="376"/>
      <c r="W131" s="376"/>
      <c r="X131" s="376"/>
      <c r="Y131" s="377"/>
    </row>
    <row r="132" spans="1:25" ht="15.75">
      <c r="A132" s="359" t="s">
        <v>924</v>
      </c>
      <c r="B132" s="360" t="s">
        <v>914</v>
      </c>
      <c r="C132" s="361">
        <v>45422.425000000003</v>
      </c>
      <c r="D132" s="360">
        <v>20</v>
      </c>
      <c r="E132" s="360">
        <v>9.9751000000000006E-2</v>
      </c>
      <c r="F132" s="360" t="s">
        <v>915</v>
      </c>
      <c r="G132" s="360">
        <v>22.5</v>
      </c>
      <c r="H132" s="360">
        <v>1217.7729999999999</v>
      </c>
      <c r="I132" s="360">
        <v>0.99997899999999995</v>
      </c>
      <c r="J132" s="360">
        <v>0.40703400000000001</v>
      </c>
      <c r="K132" s="360">
        <v>2030.1</v>
      </c>
      <c r="L132" s="360">
        <v>1.1163000000000001</v>
      </c>
      <c r="M132" s="362" t="s">
        <v>230</v>
      </c>
      <c r="N132" s="362" t="s">
        <v>230</v>
      </c>
      <c r="O132" s="363" t="s">
        <v>13</v>
      </c>
      <c r="P132" s="360"/>
      <c r="Q132" s="364" t="s">
        <v>582</v>
      </c>
      <c r="R132" s="180"/>
      <c r="S132" s="180"/>
      <c r="T132" s="180"/>
      <c r="U132" s="376"/>
      <c r="V132" s="376"/>
      <c r="W132" s="376"/>
      <c r="X132" s="376"/>
      <c r="Y132" s="377"/>
    </row>
    <row r="133" spans="1:25" ht="15.75">
      <c r="A133" s="359" t="s">
        <v>966</v>
      </c>
      <c r="B133" s="360" t="s">
        <v>758</v>
      </c>
      <c r="C133" s="361">
        <v>45422.438194444447</v>
      </c>
      <c r="D133" s="360">
        <v>20</v>
      </c>
      <c r="E133" s="360">
        <v>9.9751000000000006E-2</v>
      </c>
      <c r="F133" s="360">
        <v>33.200000000000003</v>
      </c>
      <c r="G133" s="360">
        <v>22.5</v>
      </c>
      <c r="H133" s="360">
        <v>1031.432</v>
      </c>
      <c r="I133" s="360">
        <v>0.99992199999999998</v>
      </c>
      <c r="J133" s="360">
        <v>0.45492899999999997</v>
      </c>
      <c r="K133" s="360">
        <v>2269</v>
      </c>
      <c r="L133" s="360"/>
      <c r="M133" s="362">
        <f t="shared" ref="M133:M166" si="6">(999.842594+0.06793952*G133-0.00909529*G133^2+0.0001001685*G133^3-0.000001120083*G133^4+0.000000006536332*G133^5+(0.824493-0.0040899*G133+0.000076438*G133^2-0.00000082467*G133^3+0.0000000053875*G133^4)*F133+ (-0.00572466 + 0.00010227*G133 - 0.0000016546*G133^2)*F133^1.5 + 0.00048314*F133^2)/1000</f>
        <v>1.0227124503008802</v>
      </c>
      <c r="N133" s="374">
        <f t="shared" ref="N133:N166" si="7">K133/M133</f>
        <v>2218.6099321783599</v>
      </c>
      <c r="O133" s="363" t="s">
        <v>13</v>
      </c>
      <c r="P133" s="360"/>
      <c r="Q133" s="364" t="s">
        <v>12</v>
      </c>
      <c r="R133" s="180"/>
      <c r="S133" s="180"/>
      <c r="T133" s="180"/>
      <c r="U133" s="376"/>
      <c r="V133" s="376"/>
      <c r="W133" s="376"/>
      <c r="X133" s="376"/>
      <c r="Y133" s="377"/>
    </row>
    <row r="134" spans="1:25" ht="15.75">
      <c r="A134" s="359" t="s">
        <v>955</v>
      </c>
      <c r="B134" s="360" t="s">
        <v>758</v>
      </c>
      <c r="C134" s="361">
        <v>45422.449305555558</v>
      </c>
      <c r="D134" s="360">
        <v>20</v>
      </c>
      <c r="E134" s="360">
        <v>9.9751000000000006E-2</v>
      </c>
      <c r="F134" s="360">
        <v>33.200000000000003</v>
      </c>
      <c r="G134" s="360">
        <v>22.5</v>
      </c>
      <c r="H134" s="360">
        <v>0</v>
      </c>
      <c r="I134" s="360">
        <v>0</v>
      </c>
      <c r="J134" s="360">
        <v>0</v>
      </c>
      <c r="K134" s="360">
        <v>0</v>
      </c>
      <c r="L134" s="360" t="s">
        <v>918</v>
      </c>
      <c r="M134" s="362">
        <f t="shared" si="6"/>
        <v>1.0227124503008802</v>
      </c>
      <c r="N134" s="374">
        <f t="shared" si="7"/>
        <v>0</v>
      </c>
      <c r="O134" s="363" t="s">
        <v>13</v>
      </c>
      <c r="P134" s="360"/>
      <c r="Q134" s="364" t="s">
        <v>582</v>
      </c>
      <c r="R134" s="180"/>
      <c r="S134" s="180"/>
      <c r="T134" s="180"/>
      <c r="U134" s="376"/>
      <c r="V134" s="376"/>
      <c r="W134" s="376"/>
      <c r="X134" s="376"/>
      <c r="Y134" s="377"/>
    </row>
    <row r="135" spans="1:25" ht="15.75">
      <c r="A135" s="359" t="s">
        <v>956</v>
      </c>
      <c r="B135" s="360" t="s">
        <v>758</v>
      </c>
      <c r="C135" s="361">
        <v>45422.463888888888</v>
      </c>
      <c r="D135" s="360">
        <v>20</v>
      </c>
      <c r="E135" s="360">
        <v>9.9751000000000006E-2</v>
      </c>
      <c r="F135" s="360">
        <v>33.200000000000003</v>
      </c>
      <c r="G135" s="360">
        <v>22.5</v>
      </c>
      <c r="H135" s="360">
        <v>1008.797</v>
      </c>
      <c r="I135" s="360">
        <v>0.99939199999999995</v>
      </c>
      <c r="J135" s="360">
        <v>0.44748900000000003</v>
      </c>
      <c r="K135" s="360">
        <v>2231.9</v>
      </c>
      <c r="L135" s="360"/>
      <c r="M135" s="362">
        <f t="shared" si="6"/>
        <v>1.0227124503008802</v>
      </c>
      <c r="N135" s="374">
        <f t="shared" si="7"/>
        <v>2182.3338508721381</v>
      </c>
      <c r="O135" s="363" t="s">
        <v>13</v>
      </c>
      <c r="P135" s="360"/>
      <c r="Q135" s="364" t="s">
        <v>12</v>
      </c>
      <c r="R135" s="180"/>
      <c r="S135" s="180"/>
      <c r="T135" s="180"/>
      <c r="U135" s="376"/>
      <c r="V135" s="376"/>
      <c r="W135" s="376"/>
      <c r="X135" s="376"/>
      <c r="Y135" s="377"/>
    </row>
    <row r="136" spans="1:25" ht="15.75">
      <c r="A136" s="359" t="s">
        <v>930</v>
      </c>
      <c r="B136" s="360" t="s">
        <v>786</v>
      </c>
      <c r="C136" s="361">
        <v>45422.48333333333</v>
      </c>
      <c r="D136" s="360">
        <v>20</v>
      </c>
      <c r="E136" s="360">
        <v>9.9751000000000006E-2</v>
      </c>
      <c r="F136" s="360">
        <v>33.200000000000003</v>
      </c>
      <c r="G136" s="360">
        <v>22.5</v>
      </c>
      <c r="H136" s="360">
        <v>1041.799</v>
      </c>
      <c r="I136" s="360">
        <v>0.99984399999999996</v>
      </c>
      <c r="J136" s="360">
        <v>0.45087899999999997</v>
      </c>
      <c r="K136" s="360">
        <v>2248.8000000000002</v>
      </c>
      <c r="L136" s="360"/>
      <c r="M136" s="362">
        <f t="shared" si="6"/>
        <v>1.0227124503008802</v>
      </c>
      <c r="N136" s="374">
        <f t="shared" si="7"/>
        <v>2198.8585348094739</v>
      </c>
      <c r="O136" s="363" t="s">
        <v>13</v>
      </c>
      <c r="P136" s="360"/>
      <c r="Q136" s="364" t="s">
        <v>12</v>
      </c>
      <c r="R136" s="180"/>
      <c r="S136" s="376"/>
      <c r="T136" s="376"/>
      <c r="U136" s="376"/>
      <c r="V136" s="376"/>
      <c r="W136" s="376"/>
      <c r="X136" s="376"/>
      <c r="Y136" s="377"/>
    </row>
    <row r="137" spans="1:25" ht="15.75">
      <c r="A137" s="359" t="s">
        <v>983</v>
      </c>
      <c r="B137" s="360" t="s">
        <v>786</v>
      </c>
      <c r="C137" s="361">
        <v>45422.49722222222</v>
      </c>
      <c r="D137" s="360">
        <v>20</v>
      </c>
      <c r="E137" s="360">
        <v>9.9751000000000006E-2</v>
      </c>
      <c r="F137" s="360">
        <v>33.200000000000003</v>
      </c>
      <c r="G137" s="360">
        <v>22.5</v>
      </c>
      <c r="H137" s="360">
        <v>1025.883</v>
      </c>
      <c r="I137" s="360">
        <v>0.99987099999999995</v>
      </c>
      <c r="J137" s="360">
        <v>0.45225100000000001</v>
      </c>
      <c r="K137" s="360">
        <v>2255.6</v>
      </c>
      <c r="L137" s="360">
        <v>4.8372999999999999</v>
      </c>
      <c r="M137" s="362">
        <f t="shared" si="6"/>
        <v>1.0227124503008802</v>
      </c>
      <c r="N137" s="374">
        <f t="shared" si="7"/>
        <v>2205.507520062366</v>
      </c>
      <c r="O137" s="363" t="s">
        <v>13</v>
      </c>
      <c r="P137" s="360"/>
      <c r="Q137" s="364" t="s">
        <v>12</v>
      </c>
      <c r="R137" s="180"/>
      <c r="S137" s="376"/>
      <c r="T137" s="376"/>
      <c r="U137" s="376"/>
      <c r="V137" s="376"/>
      <c r="W137" s="376"/>
      <c r="X137" s="376"/>
      <c r="Y137" s="377"/>
    </row>
    <row r="138" spans="1:25" ht="15.75">
      <c r="A138" s="368" t="s">
        <v>984</v>
      </c>
      <c r="B138" s="369" t="s">
        <v>786</v>
      </c>
      <c r="C138" s="370">
        <v>45422.504861111112</v>
      </c>
      <c r="D138" s="369">
        <v>20</v>
      </c>
      <c r="E138" s="369">
        <v>9.9751000000000006E-2</v>
      </c>
      <c r="F138" s="369">
        <v>33.200000000000003</v>
      </c>
      <c r="G138" s="369">
        <v>22.5</v>
      </c>
      <c r="H138" s="369">
        <v>1047.4349999999999</v>
      </c>
      <c r="I138" s="369">
        <v>0.99981600000000004</v>
      </c>
      <c r="J138" s="369">
        <v>0.45180399999999998</v>
      </c>
      <c r="K138" s="369">
        <v>2253.4</v>
      </c>
      <c r="L138" s="360">
        <v>1.5754999999999999</v>
      </c>
      <c r="M138" s="362">
        <f t="shared" si="6"/>
        <v>1.0227124503008802</v>
      </c>
      <c r="N138" s="374">
        <f t="shared" si="7"/>
        <v>2203.3563777746654</v>
      </c>
      <c r="O138" s="363" t="s">
        <v>13</v>
      </c>
      <c r="P138" s="360"/>
      <c r="Q138" s="364" t="s">
        <v>12</v>
      </c>
      <c r="R138" s="180"/>
      <c r="S138" s="376"/>
      <c r="T138" s="376"/>
      <c r="U138" s="376"/>
      <c r="V138" s="376"/>
      <c r="W138" s="376"/>
      <c r="X138" s="376"/>
      <c r="Y138" s="377"/>
    </row>
    <row r="139" spans="1:25" ht="15.75">
      <c r="A139" s="359" t="s">
        <v>931</v>
      </c>
      <c r="B139" s="360">
        <v>586</v>
      </c>
      <c r="C139" s="361">
        <v>45422.513888888891</v>
      </c>
      <c r="D139" s="360">
        <v>20</v>
      </c>
      <c r="E139" s="360">
        <v>9.9751000000000006E-2</v>
      </c>
      <c r="F139" s="360">
        <v>37.200000000000003</v>
      </c>
      <c r="G139" s="360">
        <v>22.5</v>
      </c>
      <c r="H139" s="360">
        <v>1018.953</v>
      </c>
      <c r="I139" s="360">
        <v>0.99987899999999996</v>
      </c>
      <c r="J139" s="360">
        <v>0.48579600000000001</v>
      </c>
      <c r="K139" s="360">
        <v>2422.9</v>
      </c>
      <c r="L139" s="360"/>
      <c r="M139" s="362">
        <f t="shared" si="6"/>
        <v>1.0257494498155078</v>
      </c>
      <c r="N139" s="374">
        <f t="shared" si="7"/>
        <v>2362.0777963232495</v>
      </c>
      <c r="O139" s="363" t="s">
        <v>13</v>
      </c>
      <c r="P139" s="360"/>
      <c r="Q139" s="364" t="s">
        <v>12</v>
      </c>
      <c r="R139" s="180"/>
      <c r="S139" s="376"/>
      <c r="T139" s="376"/>
      <c r="U139" s="376"/>
      <c r="V139" s="376"/>
      <c r="W139" s="376"/>
      <c r="X139" s="376"/>
      <c r="Y139" s="377"/>
    </row>
    <row r="140" spans="1:25" ht="15.75">
      <c r="A140" s="359" t="s">
        <v>932</v>
      </c>
      <c r="B140" s="360">
        <v>587</v>
      </c>
      <c r="C140" s="361">
        <v>45422.522916666669</v>
      </c>
      <c r="D140" s="360">
        <v>20</v>
      </c>
      <c r="E140" s="360">
        <v>9.9751000000000006E-2</v>
      </c>
      <c r="F140" s="360">
        <v>37.1</v>
      </c>
      <c r="G140" s="360">
        <v>22.5</v>
      </c>
      <c r="H140" s="360">
        <v>1020.689</v>
      </c>
      <c r="I140" s="360">
        <v>0.99988100000000002</v>
      </c>
      <c r="J140" s="360">
        <v>0.48548599999999997</v>
      </c>
      <c r="K140" s="360">
        <v>2421.4</v>
      </c>
      <c r="L140" s="360"/>
      <c r="M140" s="362">
        <f t="shared" si="6"/>
        <v>1.0256734405384258</v>
      </c>
      <c r="N140" s="374">
        <f t="shared" si="7"/>
        <v>2360.7903883412341</v>
      </c>
      <c r="O140" s="363" t="s">
        <v>13</v>
      </c>
      <c r="P140" s="360"/>
      <c r="Q140" s="364" t="s">
        <v>12</v>
      </c>
      <c r="R140" s="180"/>
      <c r="S140" s="376"/>
      <c r="T140" s="376"/>
      <c r="U140" s="376"/>
      <c r="V140" s="376"/>
      <c r="W140" s="376"/>
      <c r="X140" s="376"/>
      <c r="Y140" s="377"/>
    </row>
    <row r="141" spans="1:25" ht="15.75">
      <c r="A141" s="359" t="s">
        <v>933</v>
      </c>
      <c r="B141" s="360">
        <v>534</v>
      </c>
      <c r="C141" s="361">
        <v>45422.529166666667</v>
      </c>
      <c r="D141" s="360">
        <v>20</v>
      </c>
      <c r="E141" s="360">
        <v>9.9751000000000006E-2</v>
      </c>
      <c r="F141" s="360">
        <v>37.9</v>
      </c>
      <c r="G141" s="360">
        <v>22.5</v>
      </c>
      <c r="H141" s="360">
        <v>1021.324</v>
      </c>
      <c r="I141" s="360">
        <v>0.99986200000000003</v>
      </c>
      <c r="J141" s="360">
        <v>0.47639399999999998</v>
      </c>
      <c r="K141" s="360">
        <v>2376</v>
      </c>
      <c r="L141" s="360"/>
      <c r="M141" s="362">
        <f t="shared" si="6"/>
        <v>1.0262816389873899</v>
      </c>
      <c r="N141" s="374">
        <f t="shared" si="7"/>
        <v>2315.1539594378287</v>
      </c>
      <c r="O141" s="363" t="s">
        <v>13</v>
      </c>
      <c r="P141" s="360"/>
      <c r="Q141" s="364" t="s">
        <v>12</v>
      </c>
      <c r="R141" s="180"/>
      <c r="S141" s="376"/>
      <c r="T141" s="376"/>
      <c r="U141" s="376"/>
      <c r="V141" s="376"/>
      <c r="W141" s="376"/>
      <c r="X141" s="376"/>
      <c r="Y141" s="377"/>
    </row>
    <row r="142" spans="1:25" ht="15.75">
      <c r="A142" s="359" t="s">
        <v>934</v>
      </c>
      <c r="B142" s="360">
        <v>144</v>
      </c>
      <c r="C142" s="361">
        <v>45422.535416666666</v>
      </c>
      <c r="D142" s="360">
        <v>20</v>
      </c>
      <c r="E142" s="360">
        <v>9.9751000000000006E-2</v>
      </c>
      <c r="F142" s="360">
        <v>37</v>
      </c>
      <c r="G142" s="360">
        <v>22.5</v>
      </c>
      <c r="H142" s="360">
        <v>1004.841</v>
      </c>
      <c r="I142" s="360">
        <v>0.99985199999999996</v>
      </c>
      <c r="J142" s="360">
        <v>0.47898800000000002</v>
      </c>
      <c r="K142" s="360">
        <v>2389</v>
      </c>
      <c r="L142" s="360"/>
      <c r="M142" s="362">
        <f t="shared" si="6"/>
        <v>1.0255974356771682</v>
      </c>
      <c r="N142" s="374">
        <f t="shared" si="7"/>
        <v>2329.3739988952116</v>
      </c>
      <c r="O142" s="363" t="s">
        <v>13</v>
      </c>
      <c r="P142" s="360"/>
      <c r="Q142" s="364" t="s">
        <v>12</v>
      </c>
      <c r="R142" s="180"/>
      <c r="S142" s="376"/>
      <c r="T142" s="376"/>
      <c r="U142" s="376"/>
      <c r="V142" s="376"/>
      <c r="W142" s="376"/>
      <c r="X142" s="376"/>
      <c r="Y142" s="377"/>
    </row>
    <row r="143" spans="1:25" ht="15.75">
      <c r="A143" s="359" t="s">
        <v>935</v>
      </c>
      <c r="B143" s="360">
        <v>145</v>
      </c>
      <c r="C143" s="361">
        <v>45422.542361111111</v>
      </c>
      <c r="D143" s="360">
        <v>20</v>
      </c>
      <c r="E143" s="360">
        <v>9.9751000000000006E-2</v>
      </c>
      <c r="F143" s="360">
        <v>37</v>
      </c>
      <c r="G143" s="360">
        <v>22.5</v>
      </c>
      <c r="H143" s="360">
        <v>1005.828</v>
      </c>
      <c r="I143" s="360">
        <v>0.99988600000000005</v>
      </c>
      <c r="J143" s="360">
        <v>0.47875899999999999</v>
      </c>
      <c r="K143" s="360">
        <v>2387.8000000000002</v>
      </c>
      <c r="L143" s="360"/>
      <c r="M143" s="362">
        <f t="shared" si="6"/>
        <v>1.0255974356771682</v>
      </c>
      <c r="N143" s="374">
        <f t="shared" si="7"/>
        <v>2328.203949167847</v>
      </c>
      <c r="O143" s="363" t="s">
        <v>13</v>
      </c>
      <c r="P143" s="360"/>
      <c r="Q143" s="364" t="s">
        <v>12</v>
      </c>
      <c r="R143" s="180"/>
      <c r="S143" s="376"/>
      <c r="T143" s="376"/>
      <c r="U143" s="376"/>
      <c r="V143" s="376"/>
      <c r="W143" s="376"/>
      <c r="X143" s="376"/>
      <c r="Y143" s="377"/>
    </row>
    <row r="144" spans="1:25" ht="15.75">
      <c r="A144" s="381" t="s">
        <v>937</v>
      </c>
      <c r="B144" s="382">
        <v>535</v>
      </c>
      <c r="C144" s="383">
        <v>45422.549305555556</v>
      </c>
      <c r="D144" s="382">
        <v>20</v>
      </c>
      <c r="E144" s="382">
        <v>9.9751000000000006E-2</v>
      </c>
      <c r="F144" s="382">
        <v>37.200000000000003</v>
      </c>
      <c r="G144" s="382">
        <v>22.5</v>
      </c>
      <c r="H144" s="382">
        <v>1014.413</v>
      </c>
      <c r="I144" s="382">
        <v>0.999996</v>
      </c>
      <c r="J144" s="382">
        <v>0.29595300000000002</v>
      </c>
      <c r="K144" s="382">
        <v>1476.1</v>
      </c>
      <c r="L144" s="360"/>
      <c r="M144" s="362">
        <f t="shared" si="6"/>
        <v>1.0257494498155078</v>
      </c>
      <c r="N144" s="374">
        <f t="shared" si="7"/>
        <v>1439.0453733760155</v>
      </c>
      <c r="O144" s="363" t="s">
        <v>13</v>
      </c>
      <c r="P144" s="382" t="s">
        <v>985</v>
      </c>
      <c r="Q144" s="364" t="s">
        <v>582</v>
      </c>
      <c r="R144" s="180"/>
      <c r="S144" s="376"/>
      <c r="T144" s="376"/>
      <c r="U144" s="376"/>
      <c r="V144" s="376"/>
      <c r="W144" s="376"/>
      <c r="X144" s="376"/>
      <c r="Y144" s="377"/>
    </row>
    <row r="145" spans="1:25" ht="15.75">
      <c r="A145" s="359" t="s">
        <v>938</v>
      </c>
      <c r="B145" s="360">
        <v>404</v>
      </c>
      <c r="C145" s="361">
        <v>45422.554861111108</v>
      </c>
      <c r="D145" s="360">
        <v>20</v>
      </c>
      <c r="E145" s="360">
        <v>9.9751000000000006E-2</v>
      </c>
      <c r="F145" s="360">
        <v>36.9</v>
      </c>
      <c r="G145" s="360">
        <v>22.5</v>
      </c>
      <c r="H145" s="360">
        <v>1005.726</v>
      </c>
      <c r="I145" s="360">
        <v>0.99985299999999999</v>
      </c>
      <c r="J145" s="360">
        <v>0.48290699999999998</v>
      </c>
      <c r="K145" s="360">
        <v>2408.5</v>
      </c>
      <c r="L145" s="360"/>
      <c r="M145" s="362">
        <f t="shared" si="6"/>
        <v>1.0255214352246484</v>
      </c>
      <c r="N145" s="374">
        <f t="shared" si="7"/>
        <v>2348.561343793267</v>
      </c>
      <c r="O145" s="363" t="s">
        <v>13</v>
      </c>
      <c r="P145" s="382" t="s">
        <v>986</v>
      </c>
      <c r="Q145" s="364" t="s">
        <v>12</v>
      </c>
      <c r="R145" s="180"/>
      <c r="S145" s="376"/>
      <c r="T145" s="376"/>
      <c r="U145" s="376"/>
      <c r="V145" s="376"/>
      <c r="W145" s="376"/>
      <c r="X145" s="376"/>
      <c r="Y145" s="377"/>
    </row>
    <row r="146" spans="1:25" ht="15.75">
      <c r="A146" s="359" t="s">
        <v>939</v>
      </c>
      <c r="B146" s="360">
        <v>405</v>
      </c>
      <c r="C146" s="361">
        <v>45422.573611111111</v>
      </c>
      <c r="D146" s="360">
        <v>20</v>
      </c>
      <c r="E146" s="360">
        <v>9.9751000000000006E-2</v>
      </c>
      <c r="F146" s="360">
        <v>37.1</v>
      </c>
      <c r="G146" s="360">
        <v>22.5</v>
      </c>
      <c r="H146" s="360">
        <v>1009.2569999999999</v>
      </c>
      <c r="I146" s="360">
        <v>0.99986399999999998</v>
      </c>
      <c r="J146" s="360">
        <v>0.482902</v>
      </c>
      <c r="K146" s="360">
        <v>2408.5</v>
      </c>
      <c r="L146" s="360"/>
      <c r="M146" s="362">
        <f t="shared" si="6"/>
        <v>1.0256734405384258</v>
      </c>
      <c r="N146" s="374">
        <f t="shared" si="7"/>
        <v>2348.2132858345844</v>
      </c>
      <c r="O146" s="363" t="s">
        <v>13</v>
      </c>
      <c r="P146" s="360"/>
      <c r="Q146" s="364" t="s">
        <v>12</v>
      </c>
      <c r="R146" s="180"/>
      <c r="S146" s="376"/>
      <c r="T146" s="376"/>
      <c r="U146" s="376"/>
      <c r="V146" s="376"/>
      <c r="W146" s="376"/>
      <c r="X146" s="376"/>
      <c r="Y146" s="377"/>
    </row>
    <row r="147" spans="1:25" ht="15.75">
      <c r="A147" s="359" t="s">
        <v>940</v>
      </c>
      <c r="B147" s="360">
        <v>378</v>
      </c>
      <c r="C147" s="361">
        <v>45422.584722222222</v>
      </c>
      <c r="D147" s="360">
        <v>20</v>
      </c>
      <c r="E147" s="360">
        <v>9.9751000000000006E-2</v>
      </c>
      <c r="F147" s="360">
        <v>37</v>
      </c>
      <c r="G147" s="360">
        <v>22.5</v>
      </c>
      <c r="H147" s="360">
        <v>1019.34</v>
      </c>
      <c r="I147" s="360">
        <v>0.99984399999999996</v>
      </c>
      <c r="J147" s="360">
        <v>0.48565399999999997</v>
      </c>
      <c r="K147" s="360">
        <v>2422.1999999999998</v>
      </c>
      <c r="L147" s="360"/>
      <c r="M147" s="362">
        <f t="shared" si="6"/>
        <v>1.0255974356771682</v>
      </c>
      <c r="N147" s="374">
        <f t="shared" si="7"/>
        <v>2361.7453746856349</v>
      </c>
      <c r="O147" s="363" t="s">
        <v>13</v>
      </c>
      <c r="P147" s="360"/>
      <c r="Q147" s="364" t="s">
        <v>12</v>
      </c>
      <c r="R147" s="180"/>
      <c r="S147" s="376"/>
      <c r="T147" s="376"/>
      <c r="U147" s="376"/>
      <c r="V147" s="376"/>
      <c r="W147" s="376"/>
      <c r="X147" s="376"/>
      <c r="Y147" s="377"/>
    </row>
    <row r="148" spans="1:25" ht="15.75">
      <c r="A148" s="359" t="s">
        <v>941</v>
      </c>
      <c r="B148" s="360">
        <v>379</v>
      </c>
      <c r="C148" s="361">
        <v>45422.59097222222</v>
      </c>
      <c r="D148" s="360">
        <v>20</v>
      </c>
      <c r="E148" s="360">
        <v>9.9751000000000006E-2</v>
      </c>
      <c r="F148" s="360">
        <v>37</v>
      </c>
      <c r="G148" s="360">
        <v>22.5</v>
      </c>
      <c r="H148" s="360">
        <v>1012.265</v>
      </c>
      <c r="I148" s="360">
        <v>0.999857</v>
      </c>
      <c r="J148" s="360">
        <v>0.48594700000000002</v>
      </c>
      <c r="K148" s="360">
        <v>2423.6999999999998</v>
      </c>
      <c r="L148" s="360"/>
      <c r="M148" s="362">
        <f t="shared" si="6"/>
        <v>1.0255974356771682</v>
      </c>
      <c r="N148" s="374">
        <f t="shared" si="7"/>
        <v>2363.2079368448408</v>
      </c>
      <c r="O148" s="363" t="s">
        <v>13</v>
      </c>
      <c r="P148" s="360"/>
      <c r="Q148" s="364" t="s">
        <v>12</v>
      </c>
      <c r="R148" s="180"/>
      <c r="S148" s="376"/>
      <c r="T148" s="376"/>
      <c r="U148" s="376"/>
      <c r="V148" s="376"/>
      <c r="W148" s="376"/>
      <c r="X148" s="376"/>
      <c r="Y148" s="377"/>
    </row>
    <row r="149" spans="1:25" ht="15.75">
      <c r="A149" s="359" t="s">
        <v>942</v>
      </c>
      <c r="B149" s="360">
        <v>417</v>
      </c>
      <c r="C149" s="361">
        <v>45422.597222222219</v>
      </c>
      <c r="D149" s="360">
        <v>20</v>
      </c>
      <c r="E149" s="360">
        <v>9.9751000000000006E-2</v>
      </c>
      <c r="F149" s="360">
        <v>37</v>
      </c>
      <c r="G149" s="360">
        <v>22.5</v>
      </c>
      <c r="H149" s="360">
        <v>1016.474</v>
      </c>
      <c r="I149" s="360">
        <v>0.99979600000000002</v>
      </c>
      <c r="J149" s="360">
        <v>0.48594500000000002</v>
      </c>
      <c r="K149" s="360">
        <v>2423.6999999999998</v>
      </c>
      <c r="L149" s="360"/>
      <c r="M149" s="362">
        <f t="shared" si="6"/>
        <v>1.0255974356771682</v>
      </c>
      <c r="N149" s="374">
        <f t="shared" si="7"/>
        <v>2363.2079368448408</v>
      </c>
      <c r="O149" s="363" t="s">
        <v>13</v>
      </c>
      <c r="P149" s="360"/>
      <c r="Q149" s="364" t="s">
        <v>12</v>
      </c>
      <c r="R149" s="180"/>
      <c r="S149" s="376"/>
      <c r="T149" s="376"/>
      <c r="U149" s="376"/>
      <c r="V149" s="376"/>
      <c r="W149" s="376"/>
      <c r="X149" s="376"/>
      <c r="Y149" s="377"/>
    </row>
    <row r="150" spans="1:25" ht="15.75">
      <c r="A150" s="368" t="s">
        <v>943</v>
      </c>
      <c r="B150" s="369" t="s">
        <v>786</v>
      </c>
      <c r="C150" s="370">
        <v>45422.604861111111</v>
      </c>
      <c r="D150" s="369">
        <v>20</v>
      </c>
      <c r="E150" s="369">
        <v>9.9751000000000006E-2</v>
      </c>
      <c r="F150" s="369">
        <v>37.1</v>
      </c>
      <c r="G150" s="369">
        <v>22.5</v>
      </c>
      <c r="H150" s="369">
        <v>1023.38</v>
      </c>
      <c r="I150" s="369">
        <v>0.99985800000000002</v>
      </c>
      <c r="J150" s="369">
        <v>0.45229599999999998</v>
      </c>
      <c r="K150" s="369">
        <v>2255.9</v>
      </c>
      <c r="L150" s="360"/>
      <c r="M150" s="362">
        <f t="shared" si="6"/>
        <v>1.0256734405384258</v>
      </c>
      <c r="N150" s="374">
        <f t="shared" si="7"/>
        <v>2199.4329879652228</v>
      </c>
      <c r="O150" s="363" t="s">
        <v>13</v>
      </c>
      <c r="P150" s="360"/>
      <c r="Q150" s="364" t="s">
        <v>12</v>
      </c>
      <c r="R150" s="180"/>
      <c r="S150" s="376"/>
      <c r="T150" s="376"/>
      <c r="U150" s="376"/>
      <c r="V150" s="376"/>
      <c r="W150" s="376"/>
      <c r="X150" s="376"/>
      <c r="Y150" s="377"/>
    </row>
    <row r="151" spans="1:25" ht="15.75">
      <c r="A151" s="359" t="s">
        <v>944</v>
      </c>
      <c r="B151" s="360">
        <v>418</v>
      </c>
      <c r="C151" s="361">
        <v>45422.611805555556</v>
      </c>
      <c r="D151" s="360">
        <v>20</v>
      </c>
      <c r="E151" s="360">
        <v>9.9751000000000006E-2</v>
      </c>
      <c r="F151" s="360">
        <v>37.1</v>
      </c>
      <c r="G151" s="360">
        <v>22.5</v>
      </c>
      <c r="H151" s="360">
        <v>1023.886</v>
      </c>
      <c r="I151" s="360">
        <v>0.999884</v>
      </c>
      <c r="J151" s="360">
        <v>0.48554900000000001</v>
      </c>
      <c r="K151" s="360">
        <v>2421.6999999999998</v>
      </c>
      <c r="L151" s="360"/>
      <c r="M151" s="362">
        <f t="shared" si="6"/>
        <v>1.0256734405384258</v>
      </c>
      <c r="N151" s="374">
        <f t="shared" si="7"/>
        <v>2361.0828790972027</v>
      </c>
      <c r="O151" s="363" t="s">
        <v>13</v>
      </c>
      <c r="P151" s="360"/>
      <c r="Q151" s="364" t="s">
        <v>12</v>
      </c>
      <c r="R151" s="180"/>
      <c r="S151" s="376"/>
      <c r="T151" s="376"/>
      <c r="U151" s="376"/>
      <c r="V151" s="376"/>
      <c r="W151" s="376"/>
      <c r="X151" s="376"/>
      <c r="Y151" s="377"/>
    </row>
    <row r="152" spans="1:25" ht="15.75">
      <c r="A152" s="359" t="s">
        <v>945</v>
      </c>
      <c r="B152" s="360">
        <v>625</v>
      </c>
      <c r="C152" s="361">
        <v>45422.618750000001</v>
      </c>
      <c r="D152" s="360">
        <v>20</v>
      </c>
      <c r="E152" s="360">
        <v>9.9751000000000006E-2</v>
      </c>
      <c r="F152" s="360">
        <v>36.9</v>
      </c>
      <c r="G152" s="360">
        <v>22.5</v>
      </c>
      <c r="H152" s="360">
        <v>1025.9559999999999</v>
      </c>
      <c r="I152" s="360">
        <v>0.99982800000000005</v>
      </c>
      <c r="J152" s="360">
        <v>0.48228500000000002</v>
      </c>
      <c r="K152" s="360">
        <v>2405.4</v>
      </c>
      <c r="L152" s="360"/>
      <c r="M152" s="362">
        <f t="shared" si="6"/>
        <v>1.0255214352246484</v>
      </c>
      <c r="N152" s="374">
        <f t="shared" si="7"/>
        <v>2345.5384913266862</v>
      </c>
      <c r="O152" s="363" t="s">
        <v>13</v>
      </c>
      <c r="P152" s="360"/>
      <c r="Q152" s="364" t="s">
        <v>12</v>
      </c>
      <c r="R152" s="180"/>
      <c r="S152" s="376"/>
      <c r="T152" s="376"/>
      <c r="U152" s="376"/>
      <c r="V152" s="376"/>
      <c r="W152" s="376"/>
      <c r="X152" s="376"/>
      <c r="Y152" s="377"/>
    </row>
    <row r="153" spans="1:25" ht="15.75">
      <c r="A153" s="359" t="s">
        <v>946</v>
      </c>
      <c r="B153" s="360">
        <v>626</v>
      </c>
      <c r="C153" s="361">
        <v>45422.624305555553</v>
      </c>
      <c r="D153" s="360">
        <v>20</v>
      </c>
      <c r="E153" s="360">
        <v>9.9751000000000006E-2</v>
      </c>
      <c r="F153" s="360">
        <v>37.1</v>
      </c>
      <c r="G153" s="360">
        <v>22.5</v>
      </c>
      <c r="H153" s="360">
        <v>1029.05</v>
      </c>
      <c r="I153" s="360">
        <v>0.99977899999999997</v>
      </c>
      <c r="J153" s="360">
        <v>0.460953</v>
      </c>
      <c r="K153" s="360">
        <v>2299</v>
      </c>
      <c r="L153" s="360"/>
      <c r="M153" s="362">
        <f t="shared" si="6"/>
        <v>1.0256734405384258</v>
      </c>
      <c r="N153" s="374">
        <f t="shared" si="7"/>
        <v>2241.4541599060449</v>
      </c>
      <c r="O153" s="363" t="s">
        <v>13</v>
      </c>
      <c r="P153" s="360"/>
      <c r="Q153" s="364" t="s">
        <v>12</v>
      </c>
      <c r="R153" s="180"/>
      <c r="S153" s="376"/>
      <c r="T153" s="376"/>
      <c r="U153" s="376"/>
      <c r="V153" s="376"/>
      <c r="W153" s="376"/>
      <c r="X153" s="376"/>
      <c r="Y153" s="377"/>
    </row>
    <row r="154" spans="1:25" ht="15.75">
      <c r="A154" s="359" t="s">
        <v>947</v>
      </c>
      <c r="B154" s="360">
        <v>521</v>
      </c>
      <c r="C154" s="361">
        <v>45422.631944444445</v>
      </c>
      <c r="D154" s="360">
        <v>20</v>
      </c>
      <c r="E154" s="360">
        <v>9.9751000000000006E-2</v>
      </c>
      <c r="F154" s="360">
        <v>36.799999999999997</v>
      </c>
      <c r="G154" s="360">
        <v>22.5</v>
      </c>
      <c r="H154" s="360">
        <v>1035.3979999999999</v>
      </c>
      <c r="I154" s="360">
        <v>0.99983100000000003</v>
      </c>
      <c r="J154" s="360">
        <v>0.47950399999999999</v>
      </c>
      <c r="K154" s="360">
        <v>2391.6</v>
      </c>
      <c r="L154" s="360"/>
      <c r="M154" s="362">
        <f t="shared" si="6"/>
        <v>1.0254454391737517</v>
      </c>
      <c r="N154" s="374">
        <f t="shared" si="7"/>
        <v>2332.2547535313252</v>
      </c>
      <c r="O154" s="363" t="s">
        <v>13</v>
      </c>
      <c r="P154" s="360"/>
      <c r="Q154" s="364" t="s">
        <v>12</v>
      </c>
      <c r="R154" s="180"/>
      <c r="S154" s="376"/>
      <c r="T154" s="376"/>
      <c r="U154" s="376"/>
      <c r="V154" s="376"/>
      <c r="W154" s="376"/>
      <c r="X154" s="376"/>
      <c r="Y154" s="377"/>
    </row>
    <row r="155" spans="1:25" ht="15.75">
      <c r="A155" s="359" t="s">
        <v>948</v>
      </c>
      <c r="B155" s="360">
        <v>522</v>
      </c>
      <c r="C155" s="361">
        <v>45422.638194444444</v>
      </c>
      <c r="D155" s="360">
        <v>20</v>
      </c>
      <c r="E155" s="360">
        <v>9.9751000000000006E-2</v>
      </c>
      <c r="F155" s="360">
        <v>36.799999999999997</v>
      </c>
      <c r="G155" s="360">
        <v>22.5</v>
      </c>
      <c r="H155" s="360">
        <v>1027.83</v>
      </c>
      <c r="I155" s="360">
        <v>0.99985900000000005</v>
      </c>
      <c r="J155" s="360">
        <v>0.47921200000000003</v>
      </c>
      <c r="K155" s="360">
        <v>2390.1</v>
      </c>
      <c r="L155" s="360"/>
      <c r="M155" s="362">
        <f t="shared" si="6"/>
        <v>1.0254454391737517</v>
      </c>
      <c r="N155" s="374">
        <f t="shared" si="7"/>
        <v>2330.7919745840527</v>
      </c>
      <c r="O155" s="363" t="s">
        <v>13</v>
      </c>
      <c r="P155" s="360"/>
      <c r="Q155" s="364" t="s">
        <v>12</v>
      </c>
      <c r="R155" s="180"/>
      <c r="S155" s="376"/>
      <c r="T155" s="376"/>
      <c r="U155" s="376"/>
      <c r="V155" s="376"/>
      <c r="W155" s="376"/>
      <c r="X155" s="376"/>
      <c r="Y155" s="377"/>
    </row>
    <row r="156" spans="1:25" ht="15.75">
      <c r="A156" s="359" t="s">
        <v>949</v>
      </c>
      <c r="B156" s="360">
        <v>508</v>
      </c>
      <c r="C156" s="361">
        <v>45422.645138888889</v>
      </c>
      <c r="D156" s="360">
        <v>20</v>
      </c>
      <c r="E156" s="360">
        <v>9.9751000000000006E-2</v>
      </c>
      <c r="F156" s="360">
        <v>37</v>
      </c>
      <c r="G156" s="360">
        <v>22.5</v>
      </c>
      <c r="H156" s="360">
        <v>1040.164</v>
      </c>
      <c r="I156" s="360">
        <v>0.999857</v>
      </c>
      <c r="J156" s="360">
        <v>0.48613200000000001</v>
      </c>
      <c r="K156" s="360">
        <v>2424.6</v>
      </c>
      <c r="L156" s="360"/>
      <c r="M156" s="362">
        <f t="shared" si="6"/>
        <v>1.0255974356771682</v>
      </c>
      <c r="N156" s="374">
        <f t="shared" si="7"/>
        <v>2364.0854741403641</v>
      </c>
      <c r="O156" s="363" t="s">
        <v>13</v>
      </c>
      <c r="P156" s="360"/>
      <c r="Q156" s="364" t="s">
        <v>12</v>
      </c>
      <c r="R156" s="180"/>
      <c r="S156" s="376"/>
      <c r="T156" s="376"/>
      <c r="U156" s="376"/>
      <c r="V156" s="376"/>
      <c r="W156" s="376"/>
      <c r="X156" s="376"/>
      <c r="Y156" s="377"/>
    </row>
    <row r="157" spans="1:25" ht="15.75">
      <c r="A157" s="359" t="s">
        <v>950</v>
      </c>
      <c r="B157" s="360">
        <v>509</v>
      </c>
      <c r="C157" s="361">
        <v>45422.652083333334</v>
      </c>
      <c r="D157" s="360">
        <v>20</v>
      </c>
      <c r="E157" s="360">
        <v>9.9751000000000006E-2</v>
      </c>
      <c r="F157" s="360">
        <v>37</v>
      </c>
      <c r="G157" s="360">
        <v>22.5</v>
      </c>
      <c r="H157" s="360">
        <v>1032.2329999999999</v>
      </c>
      <c r="I157" s="360">
        <v>0.99983599999999995</v>
      </c>
      <c r="J157" s="360">
        <v>0.48520000000000002</v>
      </c>
      <c r="K157" s="360">
        <v>2420</v>
      </c>
      <c r="L157" s="360"/>
      <c r="M157" s="362">
        <f t="shared" si="6"/>
        <v>1.0255974356771682</v>
      </c>
      <c r="N157" s="374">
        <f t="shared" si="7"/>
        <v>2359.6002835187996</v>
      </c>
      <c r="O157" s="363" t="s">
        <v>13</v>
      </c>
      <c r="P157" s="360"/>
      <c r="Q157" s="364" t="s">
        <v>12</v>
      </c>
      <c r="R157" s="180"/>
      <c r="S157" s="376"/>
      <c r="T157" s="376"/>
      <c r="U157" s="376"/>
      <c r="V157" s="376"/>
      <c r="W157" s="376"/>
      <c r="X157" s="376"/>
      <c r="Y157" s="377"/>
    </row>
    <row r="158" spans="1:25" ht="15.75">
      <c r="A158" s="359" t="s">
        <v>951</v>
      </c>
      <c r="B158" s="360">
        <v>391</v>
      </c>
      <c r="C158" s="361">
        <v>45422.661111111112</v>
      </c>
      <c r="D158" s="360">
        <v>20</v>
      </c>
      <c r="E158" s="360">
        <v>9.9751000000000006E-2</v>
      </c>
      <c r="F158" s="360">
        <v>36.799999999999997</v>
      </c>
      <c r="G158" s="360">
        <v>22.5</v>
      </c>
      <c r="H158" s="360">
        <v>1016.98</v>
      </c>
      <c r="I158" s="360">
        <v>0.99983</v>
      </c>
      <c r="J158" s="360">
        <v>0.48776799999999998</v>
      </c>
      <c r="K158" s="360">
        <v>2432.8000000000002</v>
      </c>
      <c r="L158" s="360"/>
      <c r="M158" s="362">
        <f t="shared" si="6"/>
        <v>1.0254454391737517</v>
      </c>
      <c r="N158" s="374">
        <f t="shared" si="7"/>
        <v>2372.4324152830777</v>
      </c>
      <c r="O158" s="363" t="s">
        <v>13</v>
      </c>
      <c r="P158" s="360"/>
      <c r="Q158" s="364" t="s">
        <v>12</v>
      </c>
      <c r="R158" s="180"/>
      <c r="S158" s="376"/>
      <c r="T158" s="376"/>
      <c r="U158" s="376"/>
      <c r="V158" s="376"/>
      <c r="W158" s="376"/>
      <c r="X158" s="376"/>
      <c r="Y158" s="377"/>
    </row>
    <row r="159" spans="1:25" ht="15.75">
      <c r="A159" s="359" t="s">
        <v>959</v>
      </c>
      <c r="B159" s="360">
        <v>392</v>
      </c>
      <c r="C159" s="361">
        <v>45422.67083333333</v>
      </c>
      <c r="D159" s="360">
        <v>20</v>
      </c>
      <c r="E159" s="360">
        <v>9.9751000000000006E-2</v>
      </c>
      <c r="F159" s="360">
        <v>36.9</v>
      </c>
      <c r="G159" s="360">
        <v>22.5</v>
      </c>
      <c r="H159" s="360">
        <v>1009.5410000000001</v>
      </c>
      <c r="I159" s="360">
        <v>0.99981100000000001</v>
      </c>
      <c r="J159" s="360">
        <v>0.48704500000000001</v>
      </c>
      <c r="K159" s="360">
        <v>2429.1999999999998</v>
      </c>
      <c r="L159" s="360"/>
      <c r="M159" s="362">
        <f t="shared" si="6"/>
        <v>1.0255214352246484</v>
      </c>
      <c r="N159" s="374">
        <f t="shared" si="7"/>
        <v>2368.7461973604331</v>
      </c>
      <c r="O159" s="363" t="s">
        <v>13</v>
      </c>
      <c r="P159" s="360"/>
      <c r="Q159" s="364" t="s">
        <v>12</v>
      </c>
      <c r="R159" s="180"/>
      <c r="S159" s="376"/>
      <c r="T159" s="376"/>
      <c r="U159" s="376"/>
      <c r="V159" s="376"/>
      <c r="W159" s="376"/>
      <c r="X159" s="376"/>
      <c r="Y159" s="377"/>
    </row>
    <row r="160" spans="1:25" ht="15.75">
      <c r="A160" s="359" t="s">
        <v>960</v>
      </c>
      <c r="B160" s="360">
        <v>495</v>
      </c>
      <c r="C160" s="361">
        <v>45422.678472222222</v>
      </c>
      <c r="D160" s="360">
        <v>20</v>
      </c>
      <c r="E160" s="360">
        <v>9.9751000000000006E-2</v>
      </c>
      <c r="F160" s="360">
        <v>37</v>
      </c>
      <c r="G160" s="360">
        <v>22.5</v>
      </c>
      <c r="H160" s="360">
        <v>1020.53</v>
      </c>
      <c r="I160" s="360">
        <v>0.99977700000000003</v>
      </c>
      <c r="J160" s="360">
        <v>0.48625099999999999</v>
      </c>
      <c r="K160" s="360">
        <v>2425.1999999999998</v>
      </c>
      <c r="L160" s="360"/>
      <c r="M160" s="362">
        <f t="shared" si="6"/>
        <v>1.0255974356771682</v>
      </c>
      <c r="N160" s="374">
        <f t="shared" si="7"/>
        <v>2364.6704990040466</v>
      </c>
      <c r="O160" s="363" t="s">
        <v>13</v>
      </c>
      <c r="P160" s="360"/>
      <c r="Q160" s="364" t="s">
        <v>12</v>
      </c>
      <c r="R160" s="180"/>
      <c r="S160" s="376"/>
      <c r="T160" s="376"/>
      <c r="U160" s="376"/>
      <c r="V160" s="376"/>
      <c r="W160" s="376"/>
      <c r="X160" s="376"/>
      <c r="Y160" s="377"/>
    </row>
    <row r="161" spans="1:25" ht="15.75">
      <c r="A161" s="368" t="s">
        <v>961</v>
      </c>
      <c r="B161" s="369" t="s">
        <v>786</v>
      </c>
      <c r="C161" s="370">
        <v>45422.686111111114</v>
      </c>
      <c r="D161" s="369">
        <v>20</v>
      </c>
      <c r="E161" s="369">
        <v>9.9751000000000006E-2</v>
      </c>
      <c r="F161" s="369">
        <v>33.200000000000003</v>
      </c>
      <c r="G161" s="369">
        <v>22.5</v>
      </c>
      <c r="H161" s="369">
        <v>1024.8219999999999</v>
      </c>
      <c r="I161" s="369">
        <v>0.99986299999999995</v>
      </c>
      <c r="J161" s="369">
        <v>0.45196999999999998</v>
      </c>
      <c r="K161" s="369">
        <v>2254.1999999999998</v>
      </c>
      <c r="L161" s="360"/>
      <c r="M161" s="362">
        <f t="shared" si="6"/>
        <v>1.0227124503008802</v>
      </c>
      <c r="N161" s="374">
        <f t="shared" si="7"/>
        <v>2204.138611333829</v>
      </c>
      <c r="O161" s="363" t="s">
        <v>13</v>
      </c>
      <c r="P161" s="360"/>
      <c r="Q161" s="364" t="s">
        <v>12</v>
      </c>
      <c r="R161" s="180"/>
      <c r="S161" s="376"/>
      <c r="T161" s="376"/>
      <c r="U161" s="376"/>
      <c r="V161" s="376"/>
      <c r="W161" s="376"/>
      <c r="X161" s="376"/>
      <c r="Y161" s="377"/>
    </row>
    <row r="162" spans="1:25" ht="15.75">
      <c r="A162" s="359" t="s">
        <v>962</v>
      </c>
      <c r="B162" s="360">
        <v>496</v>
      </c>
      <c r="C162" s="361">
        <v>45422.695833333331</v>
      </c>
      <c r="D162" s="360">
        <v>20</v>
      </c>
      <c r="E162" s="360">
        <v>9.9751000000000006E-2</v>
      </c>
      <c r="F162" s="360">
        <v>37</v>
      </c>
      <c r="G162" s="360">
        <v>22.5</v>
      </c>
      <c r="H162" s="360">
        <v>1029.9480000000001</v>
      </c>
      <c r="I162" s="360">
        <v>0.99983900000000003</v>
      </c>
      <c r="J162" s="360">
        <v>0.48646200000000001</v>
      </c>
      <c r="K162" s="360">
        <v>2426.3000000000002</v>
      </c>
      <c r="L162" s="360"/>
      <c r="M162" s="362">
        <f t="shared" si="6"/>
        <v>1.0255974356771682</v>
      </c>
      <c r="N162" s="374">
        <f t="shared" si="7"/>
        <v>2365.7430445874643</v>
      </c>
      <c r="O162" s="363" t="s">
        <v>13</v>
      </c>
      <c r="P162" s="360"/>
      <c r="Q162" s="364" t="s">
        <v>12</v>
      </c>
      <c r="R162" s="180"/>
      <c r="S162" s="376"/>
      <c r="T162" s="376"/>
      <c r="U162" s="376"/>
      <c r="V162" s="376"/>
      <c r="W162" s="376"/>
      <c r="X162" s="376"/>
      <c r="Y162" s="377"/>
    </row>
    <row r="163" spans="1:25" ht="15.75">
      <c r="A163" s="359" t="s">
        <v>963</v>
      </c>
      <c r="B163" s="360" t="s">
        <v>987</v>
      </c>
      <c r="C163" s="361">
        <v>45422.702777777777</v>
      </c>
      <c r="D163" s="360">
        <v>20</v>
      </c>
      <c r="E163" s="360">
        <v>9.9751000000000006E-2</v>
      </c>
      <c r="F163" s="360">
        <v>36.200000000000003</v>
      </c>
      <c r="G163" s="360">
        <v>22.5</v>
      </c>
      <c r="H163" s="360">
        <v>1037.0830000000001</v>
      </c>
      <c r="I163" s="360">
        <v>0.99981600000000004</v>
      </c>
      <c r="J163" s="360">
        <v>0.474555</v>
      </c>
      <c r="K163" s="360">
        <v>2366.9</v>
      </c>
      <c r="L163" s="360"/>
      <c r="M163" s="362">
        <f t="shared" si="6"/>
        <v>1.0249895549003767</v>
      </c>
      <c r="N163" s="374">
        <f t="shared" si="7"/>
        <v>2309.1942631845159</v>
      </c>
      <c r="O163" s="363" t="s">
        <v>13</v>
      </c>
      <c r="P163" s="408" t="s">
        <v>988</v>
      </c>
      <c r="Q163" s="364" t="s">
        <v>12</v>
      </c>
      <c r="R163" s="180"/>
      <c r="S163" s="384"/>
      <c r="T163" s="384"/>
      <c r="U163" s="376"/>
      <c r="V163" s="376"/>
      <c r="W163" s="376"/>
      <c r="X163" s="376"/>
      <c r="Y163" s="377"/>
    </row>
    <row r="164" spans="1:25" ht="15.75">
      <c r="A164" s="359" t="s">
        <v>971</v>
      </c>
      <c r="B164" s="360" t="s">
        <v>989</v>
      </c>
      <c r="C164" s="361">
        <v>45422.709722222222</v>
      </c>
      <c r="D164" s="360">
        <v>20</v>
      </c>
      <c r="E164" s="360">
        <v>9.9751000000000006E-2</v>
      </c>
      <c r="F164" s="360">
        <v>36.200000000000003</v>
      </c>
      <c r="G164" s="360">
        <v>22.5</v>
      </c>
      <c r="H164" s="360">
        <v>1036.125</v>
      </c>
      <c r="I164" s="360">
        <v>0.99984600000000001</v>
      </c>
      <c r="J164" s="360">
        <v>0.47577799999999998</v>
      </c>
      <c r="K164" s="360">
        <v>2373</v>
      </c>
      <c r="L164" s="360"/>
      <c r="M164" s="362">
        <f t="shared" si="6"/>
        <v>1.0249895549003767</v>
      </c>
      <c r="N164" s="374">
        <f t="shared" si="7"/>
        <v>2315.1455433422857</v>
      </c>
      <c r="O164" s="363" t="s">
        <v>13</v>
      </c>
      <c r="P164" s="402"/>
      <c r="Q164" s="364" t="s">
        <v>12</v>
      </c>
      <c r="R164" s="180"/>
      <c r="S164" s="384"/>
      <c r="T164" s="384"/>
      <c r="U164" s="376"/>
      <c r="V164" s="376"/>
      <c r="W164" s="376"/>
      <c r="X164" s="376"/>
      <c r="Y164" s="377"/>
    </row>
    <row r="165" spans="1:25" ht="15.75">
      <c r="A165" s="359" t="s">
        <v>972</v>
      </c>
      <c r="B165" s="360" t="s">
        <v>990</v>
      </c>
      <c r="C165" s="361">
        <v>45422.717361111114</v>
      </c>
      <c r="D165" s="360">
        <v>20</v>
      </c>
      <c r="E165" s="360">
        <v>9.9751000000000006E-2</v>
      </c>
      <c r="F165" s="360">
        <v>36.200000000000003</v>
      </c>
      <c r="G165" s="360">
        <v>22.5</v>
      </c>
      <c r="H165" s="360">
        <v>1052.4970000000001</v>
      </c>
      <c r="I165" s="360">
        <v>0.99978100000000003</v>
      </c>
      <c r="J165" s="360">
        <v>0.474964</v>
      </c>
      <c r="K165" s="360">
        <v>2368.9</v>
      </c>
      <c r="L165" s="360"/>
      <c r="M165" s="362">
        <f t="shared" si="6"/>
        <v>1.0249895549003767</v>
      </c>
      <c r="N165" s="374">
        <f t="shared" si="7"/>
        <v>2311.1455025805058</v>
      </c>
      <c r="O165" s="363" t="s">
        <v>13</v>
      </c>
      <c r="P165" s="403"/>
      <c r="Q165" s="364" t="s">
        <v>12</v>
      </c>
      <c r="R165" s="180"/>
      <c r="S165" s="384"/>
      <c r="T165" s="384"/>
      <c r="U165" s="376"/>
      <c r="V165" s="376"/>
      <c r="W165" s="376"/>
      <c r="X165" s="376"/>
      <c r="Y165" s="377"/>
    </row>
    <row r="166" spans="1:25" ht="15.75">
      <c r="A166" s="368" t="s">
        <v>973</v>
      </c>
      <c r="B166" s="369" t="s">
        <v>786</v>
      </c>
      <c r="C166" s="370">
        <v>45422.724999999999</v>
      </c>
      <c r="D166" s="369">
        <v>20</v>
      </c>
      <c r="E166" s="369">
        <v>9.9751000000000006E-2</v>
      </c>
      <c r="F166" s="369">
        <v>33.200000000000003</v>
      </c>
      <c r="G166" s="369">
        <v>22.5</v>
      </c>
      <c r="H166" s="369">
        <v>1031.434</v>
      </c>
      <c r="I166" s="369">
        <v>0.99979899999999999</v>
      </c>
      <c r="J166" s="369">
        <v>0.45207199999999997</v>
      </c>
      <c r="K166" s="369">
        <v>2254.6999999999998</v>
      </c>
      <c r="L166" s="360"/>
      <c r="M166" s="362">
        <f t="shared" si="6"/>
        <v>1.0227124503008802</v>
      </c>
      <c r="N166" s="374">
        <f t="shared" si="7"/>
        <v>2204.6275073083066</v>
      </c>
      <c r="O166" s="363" t="s">
        <v>13</v>
      </c>
      <c r="P166" s="360"/>
      <c r="Q166" s="364" t="s">
        <v>12</v>
      </c>
      <c r="R166" s="180"/>
      <c r="S166" s="384"/>
      <c r="T166" s="384"/>
      <c r="U166" s="376"/>
      <c r="V166" s="376"/>
      <c r="W166" s="376"/>
      <c r="X166" s="376"/>
      <c r="Y166" s="377"/>
    </row>
    <row r="167" spans="1:25" ht="15.75">
      <c r="A167" s="180"/>
      <c r="B167" s="385"/>
      <c r="C167" s="180"/>
      <c r="D167" s="180"/>
      <c r="E167" s="180"/>
      <c r="F167" s="180"/>
      <c r="G167" s="180"/>
      <c r="H167" s="180"/>
      <c r="I167" s="180"/>
      <c r="J167" s="180"/>
      <c r="K167" s="180"/>
      <c r="L167" s="364"/>
      <c r="M167" s="386"/>
      <c r="N167" s="387"/>
      <c r="O167" s="387"/>
      <c r="P167" s="180"/>
      <c r="Q167" s="364"/>
      <c r="R167" s="180"/>
      <c r="S167" s="384"/>
      <c r="T167" s="384"/>
      <c r="U167" s="376"/>
      <c r="V167" s="376"/>
      <c r="W167" s="376"/>
      <c r="X167" s="376"/>
      <c r="Y167" s="377"/>
    </row>
    <row r="168" spans="1:25" ht="15.75">
      <c r="A168" s="180"/>
      <c r="B168" s="385"/>
      <c r="C168" s="180"/>
      <c r="D168" s="180"/>
      <c r="E168" s="180"/>
      <c r="F168" s="180"/>
      <c r="G168" s="180"/>
      <c r="H168" s="180"/>
      <c r="I168" s="180"/>
      <c r="J168" s="180"/>
      <c r="K168" s="180"/>
      <c r="L168" s="364"/>
      <c r="M168" s="386"/>
      <c r="N168" s="387"/>
      <c r="O168" s="387"/>
      <c r="P168" s="180"/>
      <c r="Q168" s="180"/>
      <c r="R168" s="180"/>
      <c r="S168" s="384"/>
      <c r="T168" s="384"/>
      <c r="U168" s="376"/>
      <c r="V168" s="376"/>
      <c r="W168" s="376"/>
      <c r="X168" s="376"/>
      <c r="Y168" s="377"/>
    </row>
    <row r="169" spans="1:25" ht="15.75">
      <c r="A169" s="180"/>
      <c r="B169" s="385"/>
      <c r="C169" s="180"/>
      <c r="D169" s="180"/>
      <c r="E169" s="180"/>
      <c r="F169" s="180"/>
      <c r="G169" s="180"/>
      <c r="H169" s="180"/>
      <c r="I169" s="180"/>
      <c r="J169" s="180"/>
      <c r="K169" s="180"/>
      <c r="L169" s="364"/>
      <c r="M169" s="386"/>
      <c r="N169" s="387"/>
      <c r="O169" s="387"/>
      <c r="P169" s="180"/>
      <c r="Q169" s="180"/>
      <c r="R169" s="180"/>
      <c r="S169" s="384"/>
      <c r="T169" s="384"/>
      <c r="U169" s="376"/>
      <c r="V169" s="376"/>
      <c r="W169" s="376"/>
      <c r="X169" s="376"/>
      <c r="Y169" s="377"/>
    </row>
    <row r="170" spans="1:25" ht="15.75">
      <c r="A170" s="180"/>
      <c r="B170" s="385"/>
      <c r="C170" s="180"/>
      <c r="D170" s="180"/>
      <c r="E170" s="180"/>
      <c r="F170" s="180"/>
      <c r="G170" s="180"/>
      <c r="H170" s="180"/>
      <c r="I170" s="180"/>
      <c r="J170" s="180"/>
      <c r="K170" s="180"/>
      <c r="L170" s="364"/>
      <c r="M170" s="386"/>
      <c r="N170" s="387"/>
      <c r="O170" s="387"/>
      <c r="P170" s="180"/>
      <c r="Q170" s="180"/>
      <c r="R170" s="180"/>
      <c r="S170" s="384"/>
      <c r="T170" s="384"/>
      <c r="U170" s="376"/>
      <c r="V170" s="376"/>
      <c r="W170" s="376"/>
      <c r="X170" s="376"/>
      <c r="Y170" s="377"/>
    </row>
    <row r="171" spans="1:25" ht="15.75">
      <c r="A171" s="180"/>
      <c r="B171" s="385"/>
      <c r="C171" s="180"/>
      <c r="D171" s="180"/>
      <c r="E171" s="180"/>
      <c r="F171" s="180"/>
      <c r="G171" s="180"/>
      <c r="H171" s="180"/>
      <c r="I171" s="180"/>
      <c r="J171" s="180"/>
      <c r="K171" s="180"/>
      <c r="L171" s="364"/>
      <c r="M171" s="386"/>
      <c r="N171" s="387"/>
      <c r="O171" s="387"/>
      <c r="P171" s="180"/>
      <c r="Q171" s="180"/>
      <c r="R171" s="180"/>
      <c r="S171" s="384"/>
      <c r="T171" s="384"/>
      <c r="U171" s="376"/>
      <c r="V171" s="376"/>
      <c r="W171" s="376"/>
      <c r="X171" s="376"/>
      <c r="Y171" s="377"/>
    </row>
    <row r="172" spans="1:25" ht="15.75">
      <c r="A172" s="180"/>
      <c r="B172" s="385"/>
      <c r="C172" s="180"/>
      <c r="D172" s="180"/>
      <c r="E172" s="180"/>
      <c r="F172" s="180"/>
      <c r="G172" s="180"/>
      <c r="H172" s="180"/>
      <c r="I172" s="180"/>
      <c r="J172" s="180"/>
      <c r="K172" s="180"/>
      <c r="L172" s="364"/>
      <c r="M172" s="386"/>
      <c r="N172" s="387"/>
      <c r="O172" s="387"/>
      <c r="P172" s="180"/>
      <c r="Q172" s="180"/>
      <c r="R172" s="180"/>
      <c r="S172" s="384"/>
      <c r="T172" s="384"/>
      <c r="U172" s="376"/>
      <c r="V172" s="376"/>
      <c r="W172" s="376"/>
      <c r="X172" s="376"/>
      <c r="Y172" s="377"/>
    </row>
    <row r="173" spans="1:25" ht="15.75">
      <c r="A173" s="180"/>
      <c r="B173" s="385"/>
      <c r="C173" s="180"/>
      <c r="D173" s="180"/>
      <c r="E173" s="180"/>
      <c r="F173" s="180"/>
      <c r="G173" s="180"/>
      <c r="H173" s="180"/>
      <c r="I173" s="180"/>
      <c r="J173" s="180"/>
      <c r="K173" s="180"/>
      <c r="L173" s="364"/>
      <c r="M173" s="386"/>
      <c r="N173" s="387"/>
      <c r="O173" s="387"/>
      <c r="P173" s="180"/>
      <c r="Q173" s="180"/>
      <c r="R173" s="180"/>
      <c r="S173" s="384"/>
      <c r="T173" s="384"/>
      <c r="U173" s="376"/>
      <c r="V173" s="376"/>
      <c r="W173" s="376"/>
      <c r="X173" s="376"/>
      <c r="Y173" s="377"/>
    </row>
    <row r="174" spans="1:25" ht="15.75">
      <c r="A174" s="180"/>
      <c r="B174" s="385"/>
      <c r="C174" s="180"/>
      <c r="D174" s="180"/>
      <c r="E174" s="180"/>
      <c r="F174" s="180"/>
      <c r="G174" s="180"/>
      <c r="H174" s="180"/>
      <c r="I174" s="180"/>
      <c r="J174" s="180"/>
      <c r="K174" s="180"/>
      <c r="L174" s="364"/>
      <c r="M174" s="386"/>
      <c r="N174" s="387"/>
      <c r="O174" s="387"/>
      <c r="P174" s="180"/>
      <c r="Q174" s="180"/>
      <c r="R174" s="180"/>
      <c r="S174" s="384"/>
      <c r="T174" s="384"/>
      <c r="U174" s="376"/>
      <c r="V174" s="376"/>
      <c r="W174" s="376"/>
      <c r="X174" s="376"/>
      <c r="Y174" s="377"/>
    </row>
    <row r="175" spans="1:25" ht="15.75">
      <c r="A175" s="180"/>
      <c r="B175" s="385"/>
      <c r="C175" s="180"/>
      <c r="D175" s="180"/>
      <c r="E175" s="180"/>
      <c r="F175" s="180"/>
      <c r="G175" s="180"/>
      <c r="H175" s="180"/>
      <c r="I175" s="180"/>
      <c r="J175" s="180"/>
      <c r="K175" s="180"/>
      <c r="L175" s="364"/>
      <c r="M175" s="386"/>
      <c r="N175" s="387"/>
      <c r="O175" s="387"/>
      <c r="P175" s="180"/>
      <c r="Q175" s="180"/>
      <c r="R175" s="180"/>
      <c r="S175" s="384"/>
      <c r="T175" s="384"/>
      <c r="U175" s="376"/>
      <c r="V175" s="376"/>
      <c r="W175" s="376"/>
      <c r="X175" s="376"/>
      <c r="Y175" s="377"/>
    </row>
    <row r="176" spans="1:25" ht="15.75">
      <c r="A176" s="180"/>
      <c r="B176" s="385"/>
      <c r="C176" s="180"/>
      <c r="D176" s="180"/>
      <c r="E176" s="180"/>
      <c r="F176" s="180"/>
      <c r="G176" s="180"/>
      <c r="H176" s="180"/>
      <c r="I176" s="180"/>
      <c r="J176" s="180"/>
      <c r="K176" s="180"/>
      <c r="L176" s="364"/>
      <c r="M176" s="386"/>
      <c r="N176" s="387"/>
      <c r="O176" s="387"/>
      <c r="P176" s="180"/>
      <c r="Q176" s="180"/>
      <c r="R176" s="180"/>
      <c r="S176" s="384"/>
      <c r="T176" s="384"/>
      <c r="U176" s="376"/>
      <c r="V176" s="376"/>
      <c r="W176" s="376"/>
      <c r="X176" s="376"/>
      <c r="Y176" s="377"/>
    </row>
    <row r="177" spans="1:25" ht="15.75">
      <c r="A177" s="180"/>
      <c r="B177" s="385"/>
      <c r="C177" s="180"/>
      <c r="D177" s="180"/>
      <c r="E177" s="180"/>
      <c r="F177" s="180"/>
      <c r="G177" s="180"/>
      <c r="H177" s="180"/>
      <c r="I177" s="180"/>
      <c r="J177" s="180"/>
      <c r="K177" s="180"/>
      <c r="L177" s="364"/>
      <c r="M177" s="386"/>
      <c r="N177" s="387"/>
      <c r="O177" s="387"/>
      <c r="P177" s="180"/>
      <c r="Q177" s="180"/>
      <c r="R177" s="180"/>
      <c r="S177" s="384"/>
      <c r="T177" s="384"/>
      <c r="U177" s="376"/>
      <c r="V177" s="376"/>
      <c r="W177" s="376"/>
      <c r="X177" s="376"/>
      <c r="Y177" s="377"/>
    </row>
    <row r="178" spans="1:25" ht="15.75">
      <c r="A178" s="180"/>
      <c r="B178" s="385"/>
      <c r="C178" s="180"/>
      <c r="D178" s="180"/>
      <c r="E178" s="180"/>
      <c r="F178" s="180"/>
      <c r="G178" s="180"/>
      <c r="H178" s="180"/>
      <c r="I178" s="180"/>
      <c r="J178" s="180"/>
      <c r="K178" s="180"/>
      <c r="L178" s="364"/>
      <c r="M178" s="386"/>
      <c r="N178" s="387"/>
      <c r="O178" s="387"/>
      <c r="P178" s="180"/>
      <c r="Q178" s="180"/>
      <c r="R178" s="180"/>
      <c r="S178" s="384"/>
      <c r="T178" s="384"/>
      <c r="U178" s="376"/>
      <c r="V178" s="376"/>
      <c r="W178" s="376"/>
      <c r="X178" s="376"/>
      <c r="Y178" s="377"/>
    </row>
    <row r="179" spans="1:25" ht="15.75">
      <c r="A179" s="180"/>
      <c r="B179" s="385"/>
      <c r="C179" s="180"/>
      <c r="D179" s="180"/>
      <c r="E179" s="180"/>
      <c r="F179" s="180"/>
      <c r="G179" s="180"/>
      <c r="H179" s="180"/>
      <c r="I179" s="180"/>
      <c r="J179" s="180"/>
      <c r="K179" s="180"/>
      <c r="L179" s="364"/>
      <c r="M179" s="386"/>
      <c r="N179" s="387"/>
      <c r="O179" s="387"/>
      <c r="P179" s="180"/>
      <c r="Q179" s="180"/>
      <c r="R179" s="180"/>
      <c r="S179" s="384"/>
      <c r="T179" s="384"/>
      <c r="U179" s="376"/>
      <c r="V179" s="376"/>
      <c r="W179" s="376"/>
      <c r="X179" s="376"/>
      <c r="Y179" s="377"/>
    </row>
    <row r="180" spans="1:25" ht="15.75">
      <c r="A180" s="180"/>
      <c r="B180" s="385"/>
      <c r="C180" s="180"/>
      <c r="D180" s="180"/>
      <c r="E180" s="180"/>
      <c r="F180" s="180"/>
      <c r="G180" s="180"/>
      <c r="H180" s="180"/>
      <c r="I180" s="180"/>
      <c r="J180" s="180"/>
      <c r="K180" s="180"/>
      <c r="L180" s="364"/>
      <c r="M180" s="386"/>
      <c r="N180" s="387"/>
      <c r="O180" s="387"/>
      <c r="P180" s="180"/>
      <c r="Q180" s="180"/>
      <c r="R180" s="180"/>
      <c r="S180" s="384"/>
      <c r="T180" s="384"/>
      <c r="U180" s="376"/>
      <c r="V180" s="376"/>
      <c r="W180" s="376"/>
      <c r="X180" s="376"/>
      <c r="Y180" s="377"/>
    </row>
    <row r="181" spans="1:25" ht="15.75">
      <c r="A181" s="180"/>
      <c r="B181" s="385"/>
      <c r="C181" s="180"/>
      <c r="D181" s="180"/>
      <c r="E181" s="180"/>
      <c r="F181" s="180"/>
      <c r="G181" s="180"/>
      <c r="H181" s="180"/>
      <c r="I181" s="180"/>
      <c r="J181" s="180"/>
      <c r="K181" s="180"/>
      <c r="L181" s="364"/>
      <c r="M181" s="386"/>
      <c r="N181" s="387"/>
      <c r="O181" s="387"/>
      <c r="P181" s="180"/>
      <c r="Q181" s="180"/>
      <c r="R181" s="180"/>
      <c r="S181" s="384"/>
      <c r="T181" s="384"/>
      <c r="U181" s="376"/>
      <c r="V181" s="376"/>
      <c r="W181" s="376"/>
      <c r="X181" s="376"/>
      <c r="Y181" s="377"/>
    </row>
    <row r="182" spans="1:25" ht="15.75">
      <c r="A182" s="180"/>
      <c r="B182" s="385"/>
      <c r="C182" s="180"/>
      <c r="D182" s="180"/>
      <c r="E182" s="180"/>
      <c r="F182" s="180"/>
      <c r="G182" s="180"/>
      <c r="H182" s="180"/>
      <c r="I182" s="180"/>
      <c r="J182" s="180"/>
      <c r="K182" s="180"/>
      <c r="L182" s="364"/>
      <c r="M182" s="386"/>
      <c r="N182" s="387"/>
      <c r="O182" s="387"/>
      <c r="P182" s="180"/>
      <c r="Q182" s="180"/>
      <c r="R182" s="180"/>
      <c r="S182" s="384"/>
      <c r="T182" s="384"/>
      <c r="U182" s="376"/>
      <c r="V182" s="376"/>
      <c r="W182" s="376"/>
      <c r="X182" s="376"/>
      <c r="Y182" s="377"/>
    </row>
    <row r="183" spans="1:25" ht="15.75">
      <c r="A183" s="180"/>
      <c r="B183" s="385"/>
      <c r="C183" s="180"/>
      <c r="D183" s="180"/>
      <c r="E183" s="180"/>
      <c r="F183" s="180"/>
      <c r="G183" s="180"/>
      <c r="H183" s="180"/>
      <c r="I183" s="180"/>
      <c r="J183" s="180"/>
      <c r="K183" s="180"/>
      <c r="L183" s="364"/>
      <c r="M183" s="386"/>
      <c r="N183" s="387"/>
      <c r="O183" s="387"/>
      <c r="P183" s="180"/>
      <c r="Q183" s="180"/>
      <c r="R183" s="180"/>
      <c r="S183" s="384"/>
      <c r="T183" s="384"/>
      <c r="U183" s="376"/>
      <c r="V183" s="376"/>
      <c r="W183" s="376"/>
      <c r="X183" s="376"/>
      <c r="Y183" s="377"/>
    </row>
    <row r="184" spans="1:25" ht="15.75">
      <c r="A184" s="180"/>
      <c r="B184" s="385"/>
      <c r="C184" s="180"/>
      <c r="D184" s="180"/>
      <c r="E184" s="180"/>
      <c r="F184" s="180"/>
      <c r="G184" s="180"/>
      <c r="H184" s="180"/>
      <c r="I184" s="180"/>
      <c r="J184" s="180"/>
      <c r="K184" s="180"/>
      <c r="L184" s="364"/>
      <c r="M184" s="386"/>
      <c r="N184" s="387"/>
      <c r="O184" s="387"/>
      <c r="P184" s="180"/>
      <c r="Q184" s="180"/>
      <c r="R184" s="180"/>
      <c r="S184" s="384"/>
      <c r="T184" s="384"/>
      <c r="U184" s="376"/>
      <c r="V184" s="376"/>
      <c r="W184" s="376"/>
      <c r="X184" s="376"/>
      <c r="Y184" s="377"/>
    </row>
    <row r="185" spans="1:25" ht="15.75">
      <c r="A185" s="180"/>
      <c r="B185" s="385"/>
      <c r="C185" s="180"/>
      <c r="D185" s="180"/>
      <c r="E185" s="180"/>
      <c r="F185" s="180"/>
      <c r="G185" s="180"/>
      <c r="H185" s="180"/>
      <c r="I185" s="180"/>
      <c r="J185" s="180"/>
      <c r="K185" s="180"/>
      <c r="L185" s="364"/>
      <c r="M185" s="386"/>
      <c r="N185" s="387"/>
      <c r="O185" s="387"/>
      <c r="P185" s="180"/>
      <c r="Q185" s="180"/>
      <c r="R185" s="180"/>
      <c r="S185" s="384"/>
      <c r="T185" s="384"/>
      <c r="U185" s="376"/>
      <c r="V185" s="376"/>
      <c r="W185" s="376"/>
      <c r="X185" s="376"/>
      <c r="Y185" s="377"/>
    </row>
    <row r="186" spans="1:25" ht="15.75">
      <c r="A186" s="180"/>
      <c r="B186" s="385"/>
      <c r="C186" s="180"/>
      <c r="D186" s="180"/>
      <c r="E186" s="180"/>
      <c r="F186" s="180"/>
      <c r="G186" s="180"/>
      <c r="H186" s="180"/>
      <c r="I186" s="180"/>
      <c r="J186" s="180"/>
      <c r="K186" s="180"/>
      <c r="L186" s="364"/>
      <c r="M186" s="386"/>
      <c r="N186" s="387"/>
      <c r="O186" s="387"/>
      <c r="P186" s="180"/>
      <c r="Q186" s="180"/>
      <c r="R186" s="180"/>
      <c r="S186" s="384"/>
      <c r="T186" s="384"/>
      <c r="U186" s="376"/>
      <c r="V186" s="376"/>
      <c r="W186" s="376"/>
      <c r="X186" s="376"/>
      <c r="Y186" s="377"/>
    </row>
    <row r="187" spans="1:25" ht="15.75">
      <c r="A187" s="180"/>
      <c r="B187" s="385"/>
      <c r="C187" s="180"/>
      <c r="D187" s="180"/>
      <c r="E187" s="180"/>
      <c r="F187" s="180"/>
      <c r="G187" s="180"/>
      <c r="H187" s="180"/>
      <c r="I187" s="180"/>
      <c r="J187" s="180"/>
      <c r="K187" s="180"/>
      <c r="L187" s="364"/>
      <c r="M187" s="386"/>
      <c r="N187" s="387"/>
      <c r="O187" s="387"/>
      <c r="P187" s="180"/>
      <c r="Q187" s="180"/>
      <c r="R187" s="180"/>
      <c r="S187" s="384"/>
      <c r="T187" s="384"/>
      <c r="U187" s="376"/>
      <c r="V187" s="376"/>
      <c r="W187" s="376"/>
      <c r="X187" s="376"/>
      <c r="Y187" s="377"/>
    </row>
    <row r="188" spans="1:25" ht="15.75">
      <c r="A188" s="180"/>
      <c r="B188" s="385"/>
      <c r="C188" s="180"/>
      <c r="D188" s="180"/>
      <c r="E188" s="180"/>
      <c r="F188" s="180"/>
      <c r="G188" s="180"/>
      <c r="H188" s="180"/>
      <c r="I188" s="180"/>
      <c r="J188" s="180"/>
      <c r="K188" s="180"/>
      <c r="L188" s="364"/>
      <c r="M188" s="386"/>
      <c r="N188" s="387"/>
      <c r="O188" s="387"/>
      <c r="P188" s="180"/>
      <c r="Q188" s="180"/>
      <c r="R188" s="180"/>
      <c r="S188" s="384"/>
      <c r="T188" s="384"/>
      <c r="U188" s="376"/>
      <c r="V188" s="376"/>
      <c r="W188" s="376"/>
      <c r="X188" s="376"/>
      <c r="Y188" s="377"/>
    </row>
    <row r="189" spans="1:25" ht="15.75">
      <c r="A189" s="180"/>
      <c r="B189" s="385"/>
      <c r="C189" s="180"/>
      <c r="D189" s="180"/>
      <c r="E189" s="180"/>
      <c r="F189" s="180"/>
      <c r="G189" s="180"/>
      <c r="H189" s="180"/>
      <c r="I189" s="180"/>
      <c r="J189" s="180"/>
      <c r="K189" s="180"/>
      <c r="L189" s="364"/>
      <c r="M189" s="386"/>
      <c r="N189" s="387"/>
      <c r="O189" s="387"/>
      <c r="P189" s="180"/>
      <c r="Q189" s="180"/>
      <c r="R189" s="180"/>
      <c r="S189" s="384"/>
      <c r="T189" s="384"/>
      <c r="U189" s="376"/>
      <c r="V189" s="376"/>
      <c r="W189" s="376"/>
      <c r="X189" s="376"/>
      <c r="Y189" s="377"/>
    </row>
    <row r="190" spans="1:25" ht="15.75">
      <c r="A190" s="180"/>
      <c r="B190" s="385"/>
      <c r="C190" s="180"/>
      <c r="D190" s="180"/>
      <c r="E190" s="180"/>
      <c r="F190" s="180"/>
      <c r="G190" s="180"/>
      <c r="H190" s="180"/>
      <c r="I190" s="180"/>
      <c r="J190" s="180"/>
      <c r="K190" s="180"/>
      <c r="L190" s="364"/>
      <c r="M190" s="386"/>
      <c r="N190" s="387"/>
      <c r="O190" s="387"/>
      <c r="P190" s="180"/>
      <c r="Q190" s="180"/>
      <c r="R190" s="180"/>
      <c r="S190" s="384"/>
      <c r="T190" s="384"/>
      <c r="U190" s="376"/>
      <c r="V190" s="376"/>
      <c r="W190" s="376"/>
      <c r="X190" s="376"/>
      <c r="Y190" s="377"/>
    </row>
    <row r="191" spans="1:25" ht="15.75">
      <c r="A191" s="180"/>
      <c r="B191" s="385"/>
      <c r="C191" s="180"/>
      <c r="D191" s="180"/>
      <c r="E191" s="180"/>
      <c r="F191" s="180"/>
      <c r="G191" s="180"/>
      <c r="H191" s="180"/>
      <c r="I191" s="180"/>
      <c r="J191" s="180"/>
      <c r="K191" s="180"/>
      <c r="L191" s="364"/>
      <c r="M191" s="386"/>
      <c r="N191" s="387"/>
      <c r="O191" s="387"/>
      <c r="P191" s="180"/>
      <c r="Q191" s="180"/>
      <c r="R191" s="180"/>
      <c r="S191" s="384"/>
      <c r="T191" s="384"/>
      <c r="U191" s="376"/>
      <c r="V191" s="376"/>
      <c r="W191" s="376"/>
      <c r="X191" s="376"/>
      <c r="Y191" s="377"/>
    </row>
    <row r="192" spans="1:25" ht="15.75">
      <c r="A192" s="180"/>
      <c r="B192" s="385"/>
      <c r="C192" s="180"/>
      <c r="D192" s="180"/>
      <c r="E192" s="180"/>
      <c r="F192" s="180"/>
      <c r="G192" s="180"/>
      <c r="H192" s="180"/>
      <c r="I192" s="180"/>
      <c r="J192" s="180"/>
      <c r="K192" s="180"/>
      <c r="L192" s="364"/>
      <c r="M192" s="386"/>
      <c r="N192" s="387"/>
      <c r="O192" s="387"/>
      <c r="P192" s="180"/>
      <c r="Q192" s="180"/>
      <c r="R192" s="180"/>
      <c r="S192" s="384"/>
      <c r="T192" s="384"/>
      <c r="U192" s="376"/>
      <c r="V192" s="376"/>
      <c r="W192" s="376"/>
      <c r="X192" s="376"/>
      <c r="Y192" s="377"/>
    </row>
    <row r="193" spans="1:25" ht="15.75">
      <c r="A193" s="180"/>
      <c r="B193" s="385"/>
      <c r="C193" s="180"/>
      <c r="D193" s="180"/>
      <c r="E193" s="180"/>
      <c r="F193" s="180"/>
      <c r="G193" s="180"/>
      <c r="H193" s="180"/>
      <c r="I193" s="180"/>
      <c r="J193" s="180"/>
      <c r="K193" s="180"/>
      <c r="L193" s="364"/>
      <c r="M193" s="386"/>
      <c r="N193" s="387"/>
      <c r="O193" s="387"/>
      <c r="P193" s="180"/>
      <c r="Q193" s="180"/>
      <c r="R193" s="180"/>
      <c r="S193" s="409"/>
      <c r="T193" s="407"/>
      <c r="U193" s="376"/>
      <c r="V193" s="376"/>
      <c r="W193" s="376"/>
      <c r="X193" s="376"/>
      <c r="Y193" s="377"/>
    </row>
    <row r="194" spans="1:25" ht="15.75">
      <c r="A194" s="180"/>
      <c r="B194" s="385"/>
      <c r="C194" s="180"/>
      <c r="D194" s="180"/>
      <c r="E194" s="180"/>
      <c r="F194" s="180"/>
      <c r="G194" s="180"/>
      <c r="H194" s="180"/>
      <c r="I194" s="180"/>
      <c r="J194" s="180"/>
      <c r="K194" s="180"/>
      <c r="L194" s="364"/>
      <c r="M194" s="386"/>
      <c r="N194" s="387"/>
      <c r="O194" s="387"/>
      <c r="P194" s="180"/>
      <c r="Q194" s="180"/>
      <c r="R194" s="180"/>
      <c r="S194" s="384"/>
      <c r="T194" s="384"/>
      <c r="U194" s="376"/>
      <c r="V194" s="376"/>
      <c r="W194" s="376"/>
      <c r="X194" s="376"/>
      <c r="Y194" s="377"/>
    </row>
    <row r="195" spans="1:25" ht="15.75">
      <c r="A195" s="180"/>
      <c r="B195" s="385"/>
      <c r="C195" s="180"/>
      <c r="D195" s="180"/>
      <c r="E195" s="180"/>
      <c r="F195" s="180"/>
      <c r="G195" s="180"/>
      <c r="H195" s="180"/>
      <c r="I195" s="180"/>
      <c r="J195" s="180"/>
      <c r="K195" s="180"/>
      <c r="L195" s="364"/>
      <c r="M195" s="386"/>
      <c r="N195" s="387"/>
      <c r="O195" s="387"/>
      <c r="P195" s="180"/>
      <c r="Q195" s="180"/>
      <c r="R195" s="180"/>
      <c r="S195" s="384"/>
      <c r="T195" s="384"/>
      <c r="U195" s="376"/>
      <c r="V195" s="376"/>
      <c r="W195" s="376"/>
      <c r="X195" s="376"/>
      <c r="Y195" s="377"/>
    </row>
    <row r="196" spans="1:25" ht="15.75">
      <c r="A196" s="180"/>
      <c r="B196" s="385"/>
      <c r="C196" s="180"/>
      <c r="D196" s="180"/>
      <c r="E196" s="180"/>
      <c r="F196" s="180"/>
      <c r="G196" s="180"/>
      <c r="H196" s="180"/>
      <c r="I196" s="180"/>
      <c r="J196" s="180"/>
      <c r="K196" s="180"/>
      <c r="L196" s="364"/>
      <c r="M196" s="386"/>
      <c r="N196" s="387"/>
      <c r="O196" s="387"/>
      <c r="P196" s="180"/>
      <c r="Q196" s="180"/>
      <c r="R196" s="180"/>
      <c r="S196" s="384"/>
      <c r="T196" s="384"/>
      <c r="U196" s="376"/>
      <c r="V196" s="376"/>
      <c r="W196" s="376"/>
      <c r="X196" s="376"/>
      <c r="Y196" s="377"/>
    </row>
    <row r="197" spans="1:25" ht="15.75">
      <c r="A197" s="180"/>
      <c r="B197" s="385"/>
      <c r="C197" s="180"/>
      <c r="D197" s="180"/>
      <c r="E197" s="180"/>
      <c r="F197" s="180"/>
      <c r="G197" s="180"/>
      <c r="H197" s="180"/>
      <c r="I197" s="180"/>
      <c r="J197" s="180"/>
      <c r="K197" s="180"/>
      <c r="L197" s="364"/>
      <c r="M197" s="386"/>
      <c r="N197" s="387"/>
      <c r="O197" s="387"/>
      <c r="P197" s="180"/>
      <c r="Q197" s="180"/>
      <c r="R197" s="180"/>
      <c r="S197" s="384"/>
      <c r="T197" s="384"/>
      <c r="U197" s="376"/>
      <c r="V197" s="376"/>
      <c r="W197" s="376"/>
      <c r="X197" s="376"/>
      <c r="Y197" s="377"/>
    </row>
    <row r="198" spans="1:25" ht="15.75">
      <c r="A198" s="180"/>
      <c r="B198" s="385"/>
      <c r="C198" s="180"/>
      <c r="D198" s="180"/>
      <c r="E198" s="180"/>
      <c r="F198" s="180"/>
      <c r="G198" s="180"/>
      <c r="H198" s="180"/>
      <c r="I198" s="180"/>
      <c r="J198" s="180"/>
      <c r="K198" s="180"/>
      <c r="L198" s="364"/>
      <c r="M198" s="386"/>
      <c r="N198" s="387"/>
      <c r="O198" s="387"/>
      <c r="P198" s="180"/>
      <c r="Q198" s="180"/>
      <c r="R198" s="180"/>
      <c r="S198" s="384"/>
      <c r="T198" s="384"/>
      <c r="U198" s="376"/>
      <c r="V198" s="376"/>
      <c r="W198" s="376"/>
      <c r="X198" s="376"/>
      <c r="Y198" s="377"/>
    </row>
    <row r="199" spans="1:25" ht="15.75">
      <c r="A199" s="180"/>
      <c r="B199" s="385"/>
      <c r="C199" s="180"/>
      <c r="D199" s="180"/>
      <c r="E199" s="180"/>
      <c r="F199" s="180"/>
      <c r="G199" s="180"/>
      <c r="H199" s="180"/>
      <c r="I199" s="180"/>
      <c r="J199" s="180"/>
      <c r="K199" s="180"/>
      <c r="L199" s="364"/>
      <c r="M199" s="386"/>
      <c r="N199" s="387"/>
      <c r="O199" s="387"/>
      <c r="P199" s="180"/>
      <c r="Q199" s="180"/>
      <c r="R199" s="180"/>
      <c r="S199" s="384"/>
      <c r="T199" s="384"/>
      <c r="U199" s="376"/>
      <c r="V199" s="376"/>
      <c r="W199" s="376"/>
      <c r="X199" s="376"/>
      <c r="Y199" s="377"/>
    </row>
    <row r="200" spans="1:25" ht="15.75">
      <c r="A200" s="180"/>
      <c r="B200" s="385"/>
      <c r="C200" s="180"/>
      <c r="D200" s="180"/>
      <c r="E200" s="180"/>
      <c r="F200" s="180"/>
      <c r="G200" s="180"/>
      <c r="H200" s="180"/>
      <c r="I200" s="180"/>
      <c r="J200" s="180"/>
      <c r="K200" s="180"/>
      <c r="L200" s="364"/>
      <c r="M200" s="386"/>
      <c r="N200" s="387"/>
      <c r="O200" s="387"/>
      <c r="P200" s="180"/>
      <c r="Q200" s="180"/>
      <c r="R200" s="180"/>
      <c r="S200" s="384"/>
      <c r="T200" s="384"/>
      <c r="U200" s="376"/>
      <c r="V200" s="376"/>
      <c r="W200" s="376"/>
      <c r="X200" s="376"/>
      <c r="Y200" s="377"/>
    </row>
    <row r="201" spans="1:25" ht="15.75">
      <c r="A201" s="180"/>
      <c r="B201" s="385"/>
      <c r="C201" s="180"/>
      <c r="D201" s="180"/>
      <c r="E201" s="180"/>
      <c r="F201" s="180"/>
      <c r="G201" s="180"/>
      <c r="H201" s="180"/>
      <c r="I201" s="180"/>
      <c r="J201" s="180"/>
      <c r="K201" s="180"/>
      <c r="L201" s="364"/>
      <c r="M201" s="386"/>
      <c r="N201" s="387"/>
      <c r="O201" s="387"/>
      <c r="P201" s="180"/>
      <c r="Q201" s="180"/>
      <c r="R201" s="180"/>
      <c r="S201" s="384"/>
      <c r="T201" s="384"/>
      <c r="U201" s="376"/>
      <c r="V201" s="376"/>
      <c r="W201" s="376"/>
      <c r="X201" s="376"/>
      <c r="Y201" s="377"/>
    </row>
    <row r="202" spans="1:25" ht="15.75">
      <c r="A202" s="180"/>
      <c r="B202" s="385"/>
      <c r="C202" s="180"/>
      <c r="D202" s="180"/>
      <c r="E202" s="180"/>
      <c r="F202" s="180"/>
      <c r="G202" s="180"/>
      <c r="H202" s="180"/>
      <c r="I202" s="180"/>
      <c r="J202" s="180"/>
      <c r="K202" s="180"/>
      <c r="L202" s="364"/>
      <c r="M202" s="386"/>
      <c r="N202" s="387"/>
      <c r="O202" s="387"/>
      <c r="P202" s="180"/>
      <c r="Q202" s="180"/>
      <c r="R202" s="180"/>
      <c r="S202" s="384"/>
      <c r="T202" s="384"/>
      <c r="U202" s="376"/>
      <c r="V202" s="376"/>
      <c r="W202" s="376"/>
      <c r="X202" s="376"/>
      <c r="Y202" s="377"/>
    </row>
    <row r="203" spans="1:25" ht="15.75">
      <c r="A203" s="180"/>
      <c r="B203" s="385"/>
      <c r="C203" s="180"/>
      <c r="D203" s="180"/>
      <c r="E203" s="180"/>
      <c r="F203" s="180"/>
      <c r="G203" s="180"/>
      <c r="H203" s="180"/>
      <c r="I203" s="180"/>
      <c r="J203" s="180"/>
      <c r="K203" s="180"/>
      <c r="L203" s="364"/>
      <c r="M203" s="386"/>
      <c r="N203" s="387"/>
      <c r="O203" s="387"/>
      <c r="P203" s="180"/>
      <c r="Q203" s="180"/>
      <c r="R203" s="180"/>
      <c r="S203" s="384"/>
      <c r="T203" s="384"/>
      <c r="U203" s="376"/>
      <c r="V203" s="376"/>
      <c r="W203" s="376"/>
      <c r="X203" s="376"/>
      <c r="Y203" s="377"/>
    </row>
    <row r="204" spans="1:25" ht="15.75">
      <c r="A204" s="180"/>
      <c r="B204" s="385"/>
      <c r="C204" s="180"/>
      <c r="D204" s="180"/>
      <c r="E204" s="180"/>
      <c r="F204" s="180"/>
      <c r="G204" s="180"/>
      <c r="H204" s="180"/>
      <c r="I204" s="180"/>
      <c r="J204" s="180"/>
      <c r="K204" s="180"/>
      <c r="L204" s="364"/>
      <c r="M204" s="386"/>
      <c r="N204" s="387"/>
      <c r="O204" s="387"/>
      <c r="P204" s="180"/>
      <c r="Q204" s="180"/>
      <c r="R204" s="180"/>
      <c r="S204" s="384"/>
      <c r="T204" s="384"/>
      <c r="U204" s="376"/>
      <c r="V204" s="376"/>
      <c r="W204" s="376"/>
      <c r="X204" s="376"/>
      <c r="Y204" s="377"/>
    </row>
    <row r="205" spans="1:25" ht="15.75">
      <c r="A205" s="180"/>
      <c r="B205" s="385"/>
      <c r="C205" s="180"/>
      <c r="D205" s="180"/>
      <c r="E205" s="180"/>
      <c r="F205" s="180"/>
      <c r="G205" s="180"/>
      <c r="H205" s="180"/>
      <c r="I205" s="180"/>
      <c r="J205" s="180"/>
      <c r="K205" s="180"/>
      <c r="L205" s="364"/>
      <c r="M205" s="386"/>
      <c r="N205" s="387"/>
      <c r="O205" s="387"/>
      <c r="P205" s="180"/>
      <c r="Q205" s="180"/>
      <c r="R205" s="180"/>
      <c r="S205" s="384"/>
      <c r="T205" s="384"/>
      <c r="U205" s="376"/>
      <c r="V205" s="376"/>
      <c r="W205" s="376"/>
      <c r="X205" s="376"/>
      <c r="Y205" s="377"/>
    </row>
    <row r="206" spans="1:25" ht="15.75">
      <c r="A206" s="180"/>
      <c r="B206" s="385"/>
      <c r="C206" s="180"/>
      <c r="D206" s="180"/>
      <c r="E206" s="180"/>
      <c r="F206" s="180"/>
      <c r="G206" s="180"/>
      <c r="H206" s="180"/>
      <c r="I206" s="180"/>
      <c r="J206" s="180"/>
      <c r="K206" s="180"/>
      <c r="L206" s="364"/>
      <c r="M206" s="386"/>
      <c r="N206" s="387"/>
      <c r="O206" s="387"/>
      <c r="P206" s="180"/>
      <c r="Q206" s="180"/>
      <c r="R206" s="180"/>
      <c r="S206" s="384"/>
      <c r="T206" s="384"/>
      <c r="U206" s="376"/>
      <c r="V206" s="376"/>
      <c r="W206" s="376"/>
      <c r="X206" s="376"/>
      <c r="Y206" s="377"/>
    </row>
    <row r="207" spans="1:25" ht="15.75">
      <c r="A207" s="180"/>
      <c r="B207" s="385"/>
      <c r="C207" s="180"/>
      <c r="D207" s="180"/>
      <c r="E207" s="180"/>
      <c r="F207" s="180"/>
      <c r="G207" s="180"/>
      <c r="H207" s="180"/>
      <c r="I207" s="180"/>
      <c r="J207" s="180"/>
      <c r="K207" s="180"/>
      <c r="L207" s="364"/>
      <c r="M207" s="386"/>
      <c r="N207" s="387"/>
      <c r="O207" s="387"/>
      <c r="P207" s="180"/>
      <c r="Q207" s="180"/>
      <c r="R207" s="180"/>
      <c r="S207" s="384"/>
      <c r="T207" s="384"/>
      <c r="U207" s="376"/>
      <c r="V207" s="376"/>
      <c r="W207" s="376"/>
      <c r="X207" s="376"/>
      <c r="Y207" s="377"/>
    </row>
    <row r="208" spans="1:25" ht="15.75">
      <c r="A208" s="180"/>
      <c r="B208" s="385"/>
      <c r="C208" s="180"/>
      <c r="D208" s="180"/>
      <c r="E208" s="180"/>
      <c r="F208" s="180"/>
      <c r="G208" s="180"/>
      <c r="H208" s="180"/>
      <c r="I208" s="180"/>
      <c r="J208" s="180"/>
      <c r="K208" s="180"/>
      <c r="L208" s="364"/>
      <c r="M208" s="386"/>
      <c r="N208" s="387"/>
      <c r="O208" s="387"/>
      <c r="P208" s="180"/>
      <c r="Q208" s="180"/>
      <c r="R208" s="180"/>
      <c r="S208" s="384"/>
      <c r="T208" s="384"/>
      <c r="U208" s="376"/>
      <c r="V208" s="376"/>
      <c r="W208" s="376"/>
      <c r="X208" s="376"/>
      <c r="Y208" s="377"/>
    </row>
    <row r="209" spans="1:25" ht="15.75">
      <c r="A209" s="180"/>
      <c r="B209" s="385"/>
      <c r="C209" s="180"/>
      <c r="D209" s="180"/>
      <c r="E209" s="180"/>
      <c r="F209" s="180"/>
      <c r="G209" s="180"/>
      <c r="H209" s="180"/>
      <c r="I209" s="180"/>
      <c r="J209" s="180"/>
      <c r="K209" s="180"/>
      <c r="L209" s="364"/>
      <c r="M209" s="386"/>
      <c r="N209" s="387"/>
      <c r="O209" s="387"/>
      <c r="P209" s="180"/>
      <c r="Q209" s="180"/>
      <c r="R209" s="180"/>
      <c r="S209" s="409"/>
      <c r="T209" s="407"/>
      <c r="U209" s="376"/>
      <c r="V209" s="376"/>
      <c r="W209" s="376"/>
      <c r="X209" s="376"/>
      <c r="Y209" s="377"/>
    </row>
    <row r="210" spans="1:25" ht="15.75">
      <c r="A210" s="180"/>
      <c r="B210" s="385"/>
      <c r="C210" s="180"/>
      <c r="D210" s="180"/>
      <c r="E210" s="180"/>
      <c r="F210" s="180"/>
      <c r="G210" s="180"/>
      <c r="H210" s="180"/>
      <c r="I210" s="180"/>
      <c r="J210" s="180"/>
      <c r="K210" s="180"/>
      <c r="L210" s="364"/>
      <c r="M210" s="386"/>
      <c r="N210" s="387"/>
      <c r="O210" s="387"/>
      <c r="P210" s="180"/>
      <c r="Q210" s="180"/>
      <c r="R210" s="180"/>
      <c r="S210" s="409"/>
      <c r="T210" s="407"/>
      <c r="U210" s="376"/>
      <c r="V210" s="376"/>
      <c r="W210" s="376"/>
      <c r="X210" s="376"/>
      <c r="Y210" s="377"/>
    </row>
    <row r="211" spans="1:25" ht="15.75">
      <c r="A211" s="180"/>
      <c r="B211" s="385"/>
      <c r="C211" s="180"/>
      <c r="D211" s="180"/>
      <c r="E211" s="180"/>
      <c r="F211" s="180"/>
      <c r="G211" s="180"/>
      <c r="H211" s="180"/>
      <c r="I211" s="180"/>
      <c r="J211" s="180"/>
      <c r="K211" s="180"/>
      <c r="L211" s="364"/>
      <c r="M211" s="386"/>
      <c r="N211" s="387"/>
      <c r="O211" s="387"/>
      <c r="P211" s="388"/>
      <c r="Q211" s="180"/>
      <c r="R211" s="180"/>
      <c r="S211" s="409"/>
      <c r="T211" s="407"/>
      <c r="U211" s="376"/>
      <c r="V211" s="376"/>
      <c r="W211" s="376"/>
      <c r="X211" s="376"/>
      <c r="Y211" s="377"/>
    </row>
    <row r="212" spans="1:25" ht="15.75">
      <c r="A212" s="180"/>
      <c r="B212" s="385"/>
      <c r="C212" s="180"/>
      <c r="D212" s="180"/>
      <c r="E212" s="180"/>
      <c r="F212" s="180"/>
      <c r="G212" s="180"/>
      <c r="H212" s="180"/>
      <c r="I212" s="180"/>
      <c r="J212" s="180"/>
      <c r="K212" s="180"/>
      <c r="L212" s="364"/>
      <c r="M212" s="386"/>
      <c r="N212" s="387"/>
      <c r="O212" s="387"/>
      <c r="P212" s="388"/>
      <c r="Q212" s="180"/>
      <c r="R212" s="180"/>
      <c r="S212" s="409"/>
      <c r="T212" s="407"/>
      <c r="U212" s="376"/>
      <c r="V212" s="376"/>
      <c r="W212" s="376"/>
      <c r="X212" s="376"/>
      <c r="Y212" s="377"/>
    </row>
    <row r="213" spans="1:25" ht="15.75">
      <c r="A213" s="180"/>
      <c r="B213" s="385"/>
      <c r="C213" s="180"/>
      <c r="D213" s="180"/>
      <c r="E213" s="180"/>
      <c r="F213" s="180"/>
      <c r="G213" s="180"/>
      <c r="H213" s="180"/>
      <c r="I213" s="180"/>
      <c r="J213" s="180"/>
      <c r="K213" s="180"/>
      <c r="L213" s="364"/>
      <c r="M213" s="386"/>
      <c r="N213" s="387"/>
      <c r="O213" s="387"/>
      <c r="P213" s="180"/>
      <c r="Q213" s="180"/>
      <c r="R213" s="180"/>
      <c r="S213" s="384"/>
      <c r="T213" s="384"/>
      <c r="U213" s="376"/>
      <c r="V213" s="376"/>
      <c r="W213" s="376"/>
      <c r="X213" s="376"/>
      <c r="Y213" s="377"/>
    </row>
    <row r="214" spans="1:25" ht="15.75">
      <c r="A214" s="180"/>
      <c r="B214" s="385"/>
      <c r="C214" s="180"/>
      <c r="D214" s="180"/>
      <c r="E214" s="180"/>
      <c r="F214" s="180"/>
      <c r="G214" s="180"/>
      <c r="H214" s="180"/>
      <c r="I214" s="180"/>
      <c r="J214" s="180"/>
      <c r="K214" s="180"/>
      <c r="L214" s="364"/>
      <c r="M214" s="386"/>
      <c r="N214" s="387"/>
      <c r="O214" s="387"/>
      <c r="P214" s="180"/>
      <c r="Q214" s="180"/>
      <c r="R214" s="180"/>
      <c r="S214" s="384"/>
      <c r="T214" s="384"/>
      <c r="U214" s="376"/>
      <c r="V214" s="376"/>
      <c r="W214" s="376"/>
      <c r="X214" s="376"/>
      <c r="Y214" s="377"/>
    </row>
    <row r="215" spans="1:25" ht="15.75">
      <c r="A215" s="180"/>
      <c r="B215" s="385"/>
      <c r="C215" s="180"/>
      <c r="D215" s="180"/>
      <c r="E215" s="180"/>
      <c r="F215" s="180"/>
      <c r="G215" s="180"/>
      <c r="H215" s="180"/>
      <c r="I215" s="180"/>
      <c r="J215" s="180"/>
      <c r="K215" s="180"/>
      <c r="L215" s="364"/>
      <c r="M215" s="386"/>
      <c r="N215" s="387"/>
      <c r="O215" s="387"/>
      <c r="P215" s="180"/>
      <c r="Q215" s="180"/>
      <c r="R215" s="180"/>
      <c r="S215" s="384"/>
      <c r="T215" s="384"/>
      <c r="U215" s="376"/>
      <c r="V215" s="376"/>
      <c r="W215" s="376"/>
      <c r="X215" s="376"/>
      <c r="Y215" s="377"/>
    </row>
    <row r="216" spans="1:25" ht="15.75">
      <c r="A216" s="180"/>
      <c r="B216" s="385"/>
      <c r="C216" s="180"/>
      <c r="D216" s="180"/>
      <c r="E216" s="180"/>
      <c r="F216" s="180"/>
      <c r="G216" s="180"/>
      <c r="H216" s="180"/>
      <c r="I216" s="180"/>
      <c r="J216" s="180"/>
      <c r="K216" s="180"/>
      <c r="L216" s="364"/>
      <c r="M216" s="386"/>
      <c r="N216" s="387"/>
      <c r="O216" s="387"/>
      <c r="P216" s="180"/>
      <c r="Q216" s="180"/>
      <c r="R216" s="180"/>
      <c r="S216" s="409"/>
      <c r="T216" s="407"/>
      <c r="U216" s="376"/>
      <c r="V216" s="376"/>
      <c r="W216" s="376"/>
      <c r="X216" s="376"/>
      <c r="Y216" s="377"/>
    </row>
    <row r="217" spans="1:25" ht="15.75">
      <c r="A217" s="180"/>
      <c r="B217" s="385"/>
      <c r="C217" s="180"/>
      <c r="D217" s="180"/>
      <c r="E217" s="180"/>
      <c r="F217" s="180"/>
      <c r="G217" s="180"/>
      <c r="H217" s="180"/>
      <c r="I217" s="180"/>
      <c r="J217" s="180"/>
      <c r="K217" s="180"/>
      <c r="L217" s="364"/>
      <c r="M217" s="386"/>
      <c r="N217" s="387"/>
      <c r="O217" s="387"/>
      <c r="P217" s="180"/>
      <c r="Q217" s="180"/>
      <c r="R217" s="180"/>
      <c r="S217" s="409"/>
      <c r="T217" s="407"/>
      <c r="U217" s="376"/>
      <c r="V217" s="376"/>
      <c r="W217" s="376"/>
      <c r="X217" s="376"/>
      <c r="Y217" s="377"/>
    </row>
    <row r="218" spans="1:25" ht="15.75">
      <c r="A218" s="180"/>
      <c r="B218" s="385"/>
      <c r="C218" s="180"/>
      <c r="D218" s="180"/>
      <c r="E218" s="180"/>
      <c r="F218" s="180"/>
      <c r="G218" s="180"/>
      <c r="H218" s="180"/>
      <c r="I218" s="180"/>
      <c r="J218" s="180"/>
      <c r="K218" s="180"/>
      <c r="L218" s="364"/>
      <c r="M218" s="386"/>
      <c r="N218" s="387"/>
      <c r="O218" s="387"/>
      <c r="P218" s="180"/>
      <c r="Q218" s="180"/>
      <c r="R218" s="180"/>
      <c r="S218" s="409"/>
      <c r="T218" s="407"/>
      <c r="U218" s="376"/>
      <c r="V218" s="376"/>
      <c r="W218" s="376"/>
      <c r="X218" s="376"/>
      <c r="Y218" s="377"/>
    </row>
    <row r="219" spans="1:25" ht="15.75">
      <c r="A219" s="180"/>
      <c r="B219" s="385"/>
      <c r="C219" s="180"/>
      <c r="D219" s="180"/>
      <c r="E219" s="180"/>
      <c r="F219" s="180"/>
      <c r="G219" s="180"/>
      <c r="H219" s="180"/>
      <c r="I219" s="180"/>
      <c r="J219" s="180"/>
      <c r="K219" s="180"/>
      <c r="L219" s="364"/>
      <c r="M219" s="386"/>
      <c r="N219" s="387"/>
      <c r="O219" s="387"/>
      <c r="P219" s="180"/>
      <c r="Q219" s="180"/>
      <c r="R219" s="180"/>
      <c r="S219" s="384"/>
      <c r="T219" s="384"/>
      <c r="U219" s="376"/>
      <c r="V219" s="376"/>
      <c r="W219" s="376"/>
      <c r="X219" s="376"/>
      <c r="Y219" s="377"/>
    </row>
    <row r="220" spans="1:25" ht="15.75">
      <c r="A220" s="180"/>
      <c r="B220" s="385"/>
      <c r="C220" s="180"/>
      <c r="D220" s="180"/>
      <c r="E220" s="180"/>
      <c r="F220" s="180"/>
      <c r="G220" s="180"/>
      <c r="H220" s="180"/>
      <c r="I220" s="180"/>
      <c r="J220" s="180"/>
      <c r="K220" s="180"/>
      <c r="L220" s="364"/>
      <c r="M220" s="386"/>
      <c r="N220" s="387"/>
      <c r="O220" s="387"/>
      <c r="P220" s="180"/>
      <c r="Q220" s="180"/>
      <c r="R220" s="180"/>
      <c r="S220" s="384"/>
      <c r="T220" s="384"/>
      <c r="U220" s="376"/>
      <c r="V220" s="376"/>
      <c r="W220" s="376"/>
      <c r="X220" s="376"/>
      <c r="Y220" s="377"/>
    </row>
    <row r="221" spans="1:25" ht="15.75">
      <c r="A221" s="180"/>
      <c r="B221" s="385"/>
      <c r="C221" s="180"/>
      <c r="D221" s="180"/>
      <c r="E221" s="180"/>
      <c r="F221" s="180"/>
      <c r="G221" s="180"/>
      <c r="H221" s="180"/>
      <c r="I221" s="180"/>
      <c r="J221" s="180"/>
      <c r="K221" s="180"/>
      <c r="L221" s="364"/>
      <c r="M221" s="386"/>
      <c r="N221" s="387"/>
      <c r="O221" s="387"/>
      <c r="P221" s="180"/>
      <c r="Q221" s="180"/>
      <c r="R221" s="180"/>
      <c r="S221" s="384"/>
      <c r="T221" s="384"/>
      <c r="U221" s="376"/>
      <c r="V221" s="376"/>
      <c r="W221" s="376"/>
      <c r="X221" s="376"/>
      <c r="Y221" s="377"/>
    </row>
    <row r="222" spans="1:25" ht="15.75">
      <c r="A222" s="180"/>
      <c r="B222" s="385"/>
      <c r="C222" s="180"/>
      <c r="D222" s="180"/>
      <c r="E222" s="180"/>
      <c r="F222" s="180"/>
      <c r="G222" s="180"/>
      <c r="H222" s="180"/>
      <c r="I222" s="180"/>
      <c r="J222" s="180"/>
      <c r="K222" s="180"/>
      <c r="L222" s="364"/>
      <c r="M222" s="386"/>
      <c r="N222" s="387"/>
      <c r="O222" s="387"/>
      <c r="P222" s="180"/>
      <c r="Q222" s="180"/>
      <c r="R222" s="180"/>
      <c r="S222" s="384"/>
      <c r="T222" s="384"/>
      <c r="U222" s="376"/>
      <c r="V222" s="376"/>
      <c r="W222" s="376"/>
      <c r="X222" s="376"/>
      <c r="Y222" s="377"/>
    </row>
    <row r="223" spans="1:25" ht="15.75">
      <c r="A223" s="180"/>
      <c r="B223" s="385"/>
      <c r="C223" s="180"/>
      <c r="D223" s="180"/>
      <c r="E223" s="180"/>
      <c r="F223" s="180"/>
      <c r="G223" s="180"/>
      <c r="H223" s="180"/>
      <c r="I223" s="180"/>
      <c r="J223" s="180"/>
      <c r="K223" s="180"/>
      <c r="L223" s="364"/>
      <c r="M223" s="386"/>
      <c r="N223" s="387"/>
      <c r="O223" s="387"/>
      <c r="P223" s="180"/>
      <c r="Q223" s="180"/>
      <c r="R223" s="180"/>
      <c r="S223" s="384"/>
      <c r="T223" s="384"/>
      <c r="U223" s="376"/>
      <c r="V223" s="376"/>
      <c r="W223" s="376"/>
      <c r="X223" s="376"/>
      <c r="Y223" s="377"/>
    </row>
    <row r="224" spans="1:25" ht="15.75">
      <c r="A224" s="180"/>
      <c r="B224" s="385"/>
      <c r="C224" s="180"/>
      <c r="D224" s="180"/>
      <c r="E224" s="180"/>
      <c r="F224" s="180"/>
      <c r="G224" s="180"/>
      <c r="H224" s="180"/>
      <c r="I224" s="180"/>
      <c r="J224" s="180"/>
      <c r="K224" s="180"/>
      <c r="L224" s="364"/>
      <c r="M224" s="386"/>
      <c r="N224" s="387"/>
      <c r="O224" s="387"/>
      <c r="P224" s="180"/>
      <c r="Q224" s="180"/>
      <c r="R224" s="180"/>
      <c r="S224" s="384"/>
      <c r="T224" s="384"/>
      <c r="U224" s="376"/>
      <c r="V224" s="376"/>
      <c r="W224" s="376"/>
      <c r="X224" s="376"/>
      <c r="Y224" s="377"/>
    </row>
    <row r="225" spans="1:25" ht="15.75">
      <c r="A225" s="180"/>
      <c r="B225" s="385"/>
      <c r="C225" s="180"/>
      <c r="D225" s="180"/>
      <c r="E225" s="180"/>
      <c r="F225" s="180"/>
      <c r="G225" s="180"/>
      <c r="H225" s="180"/>
      <c r="I225" s="180"/>
      <c r="J225" s="180"/>
      <c r="K225" s="180"/>
      <c r="L225" s="364"/>
      <c r="M225" s="386"/>
      <c r="N225" s="387"/>
      <c r="O225" s="387"/>
      <c r="P225" s="180"/>
      <c r="Q225" s="180"/>
      <c r="R225" s="180"/>
      <c r="S225" s="384"/>
      <c r="T225" s="384"/>
      <c r="U225" s="376"/>
      <c r="V225" s="376"/>
      <c r="W225" s="376"/>
      <c r="X225" s="376"/>
      <c r="Y225" s="377"/>
    </row>
    <row r="226" spans="1:25" ht="15.75">
      <c r="A226" s="180"/>
      <c r="B226" s="385"/>
      <c r="C226" s="180"/>
      <c r="D226" s="180"/>
      <c r="E226" s="180"/>
      <c r="F226" s="180"/>
      <c r="G226" s="180"/>
      <c r="H226" s="180"/>
      <c r="I226" s="180"/>
      <c r="J226" s="180"/>
      <c r="K226" s="180"/>
      <c r="L226" s="364"/>
      <c r="M226" s="386"/>
      <c r="N226" s="387"/>
      <c r="O226" s="387"/>
      <c r="P226" s="180"/>
      <c r="Q226" s="180"/>
      <c r="R226" s="180"/>
      <c r="S226" s="384"/>
      <c r="T226" s="384"/>
      <c r="U226" s="376"/>
      <c r="V226" s="376"/>
      <c r="W226" s="376"/>
      <c r="X226" s="376"/>
      <c r="Y226" s="377"/>
    </row>
    <row r="227" spans="1:25" ht="15.75">
      <c r="A227" s="180"/>
      <c r="B227" s="385"/>
      <c r="C227" s="180"/>
      <c r="D227" s="180"/>
      <c r="E227" s="180"/>
      <c r="F227" s="180"/>
      <c r="G227" s="180"/>
      <c r="H227" s="180"/>
      <c r="I227" s="180"/>
      <c r="J227" s="180"/>
      <c r="K227" s="180"/>
      <c r="L227" s="364"/>
      <c r="M227" s="386"/>
      <c r="N227" s="387"/>
      <c r="O227" s="387"/>
      <c r="P227" s="180"/>
      <c r="Q227" s="180"/>
      <c r="R227" s="180"/>
      <c r="S227" s="384"/>
      <c r="T227" s="384"/>
      <c r="U227" s="376"/>
      <c r="V227" s="376"/>
      <c r="W227" s="376"/>
      <c r="X227" s="376"/>
      <c r="Y227" s="377"/>
    </row>
    <row r="228" spans="1:25" ht="15.75">
      <c r="A228" s="180"/>
      <c r="B228" s="385"/>
      <c r="C228" s="180"/>
      <c r="D228" s="180"/>
      <c r="E228" s="180"/>
      <c r="F228" s="180"/>
      <c r="G228" s="180"/>
      <c r="H228" s="180"/>
      <c r="I228" s="180"/>
      <c r="J228" s="180"/>
      <c r="K228" s="180"/>
      <c r="L228" s="364"/>
      <c r="M228" s="386"/>
      <c r="N228" s="387"/>
      <c r="O228" s="387"/>
      <c r="P228" s="180"/>
      <c r="Q228" s="180"/>
      <c r="R228" s="180"/>
      <c r="S228" s="409"/>
      <c r="T228" s="407"/>
      <c r="U228" s="376"/>
      <c r="V228" s="376"/>
      <c r="W228" s="376"/>
      <c r="X228" s="376"/>
      <c r="Y228" s="377"/>
    </row>
    <row r="229" spans="1:25" ht="15.75">
      <c r="A229" s="180"/>
      <c r="B229" s="385"/>
      <c r="C229" s="180"/>
      <c r="D229" s="180"/>
      <c r="E229" s="180"/>
      <c r="F229" s="180"/>
      <c r="G229" s="180"/>
      <c r="H229" s="180"/>
      <c r="I229" s="180"/>
      <c r="J229" s="180"/>
      <c r="K229" s="180"/>
      <c r="L229" s="364"/>
      <c r="M229" s="386"/>
      <c r="N229" s="387"/>
      <c r="O229" s="387"/>
      <c r="P229" s="180"/>
      <c r="Q229" s="180"/>
      <c r="R229" s="180"/>
      <c r="S229" s="409"/>
      <c r="T229" s="407"/>
      <c r="U229" s="376"/>
      <c r="V229" s="376"/>
      <c r="W229" s="376"/>
      <c r="X229" s="376"/>
      <c r="Y229" s="377"/>
    </row>
    <row r="230" spans="1:25" ht="15.75">
      <c r="A230" s="180"/>
      <c r="B230" s="385"/>
      <c r="C230" s="180"/>
      <c r="D230" s="180"/>
      <c r="E230" s="180"/>
      <c r="F230" s="180"/>
      <c r="G230" s="180"/>
      <c r="H230" s="180"/>
      <c r="I230" s="180"/>
      <c r="J230" s="180"/>
      <c r="K230" s="180"/>
      <c r="L230" s="364"/>
      <c r="M230" s="386"/>
      <c r="N230" s="387"/>
      <c r="O230" s="387"/>
      <c r="P230" s="388"/>
      <c r="Q230" s="180"/>
      <c r="R230" s="180"/>
      <c r="S230" s="409"/>
      <c r="T230" s="407"/>
      <c r="U230" s="376"/>
      <c r="V230" s="376"/>
      <c r="W230" s="376"/>
      <c r="X230" s="376"/>
      <c r="Y230" s="377"/>
    </row>
    <row r="231" spans="1:25" ht="15.75">
      <c r="A231" s="180"/>
      <c r="B231" s="385"/>
      <c r="C231" s="180"/>
      <c r="D231" s="180"/>
      <c r="E231" s="180"/>
      <c r="F231" s="180"/>
      <c r="G231" s="180"/>
      <c r="H231" s="180"/>
      <c r="I231" s="180"/>
      <c r="J231" s="180"/>
      <c r="K231" s="180"/>
      <c r="L231" s="364"/>
      <c r="M231" s="386"/>
      <c r="N231" s="387"/>
      <c r="O231" s="387"/>
      <c r="P231" s="388"/>
      <c r="Q231" s="180"/>
      <c r="R231" s="180"/>
      <c r="S231" s="409"/>
      <c r="T231" s="407"/>
      <c r="U231" s="376"/>
      <c r="V231" s="376"/>
      <c r="W231" s="376"/>
      <c r="X231" s="376"/>
      <c r="Y231" s="377"/>
    </row>
    <row r="232" spans="1:25" ht="15.75">
      <c r="A232" s="180"/>
      <c r="B232" s="385"/>
      <c r="C232" s="180"/>
      <c r="D232" s="180"/>
      <c r="E232" s="180"/>
      <c r="F232" s="180"/>
      <c r="G232" s="180"/>
      <c r="H232" s="180"/>
      <c r="I232" s="180"/>
      <c r="J232" s="180"/>
      <c r="K232" s="180"/>
      <c r="L232" s="364"/>
      <c r="M232" s="386"/>
      <c r="N232" s="387"/>
      <c r="O232" s="387"/>
      <c r="P232" s="180"/>
      <c r="Q232" s="180"/>
      <c r="R232" s="180"/>
      <c r="S232" s="384"/>
      <c r="T232" s="384"/>
      <c r="U232" s="376"/>
      <c r="V232" s="376"/>
      <c r="W232" s="376"/>
      <c r="X232" s="376"/>
      <c r="Y232" s="377"/>
    </row>
    <row r="233" spans="1:25" ht="15.75">
      <c r="A233" s="180"/>
      <c r="B233" s="385"/>
      <c r="C233" s="180"/>
      <c r="D233" s="180"/>
      <c r="E233" s="180"/>
      <c r="F233" s="180"/>
      <c r="G233" s="180"/>
      <c r="H233" s="180"/>
      <c r="I233" s="180"/>
      <c r="J233" s="180"/>
      <c r="K233" s="180"/>
      <c r="L233" s="364"/>
      <c r="M233" s="386"/>
      <c r="N233" s="387"/>
      <c r="O233" s="387"/>
      <c r="P233" s="180"/>
      <c r="Q233" s="180"/>
      <c r="R233" s="180"/>
      <c r="S233" s="384"/>
      <c r="T233" s="384"/>
      <c r="U233" s="376"/>
      <c r="V233" s="376"/>
      <c r="W233" s="376"/>
      <c r="X233" s="376"/>
      <c r="Y233" s="377"/>
    </row>
    <row r="234" spans="1:25" ht="15.75">
      <c r="A234" s="180"/>
      <c r="B234" s="385"/>
      <c r="C234" s="180"/>
      <c r="D234" s="180"/>
      <c r="E234" s="180"/>
      <c r="F234" s="180"/>
      <c r="G234" s="180"/>
      <c r="H234" s="180"/>
      <c r="I234" s="180"/>
      <c r="J234" s="180"/>
      <c r="K234" s="180"/>
      <c r="L234" s="364"/>
      <c r="M234" s="386"/>
      <c r="N234" s="387"/>
      <c r="O234" s="387"/>
      <c r="P234" s="180"/>
      <c r="Q234" s="180"/>
      <c r="R234" s="180"/>
      <c r="S234" s="384"/>
      <c r="T234" s="384"/>
      <c r="U234" s="376"/>
      <c r="V234" s="376"/>
      <c r="W234" s="376"/>
      <c r="X234" s="376"/>
      <c r="Y234" s="377"/>
    </row>
    <row r="235" spans="1:25" ht="15.75">
      <c r="A235" s="180"/>
      <c r="B235" s="385"/>
      <c r="C235" s="180"/>
      <c r="D235" s="180"/>
      <c r="E235" s="180"/>
      <c r="F235" s="180"/>
      <c r="G235" s="180"/>
      <c r="H235" s="180"/>
      <c r="I235" s="180"/>
      <c r="J235" s="180"/>
      <c r="K235" s="180"/>
      <c r="L235" s="364"/>
      <c r="M235" s="386"/>
      <c r="N235" s="387"/>
      <c r="O235" s="387"/>
      <c r="P235" s="180"/>
      <c r="Q235" s="180"/>
      <c r="R235" s="180"/>
      <c r="S235" s="384"/>
      <c r="T235" s="384"/>
      <c r="U235" s="376"/>
      <c r="V235" s="376"/>
      <c r="W235" s="376"/>
      <c r="X235" s="376"/>
      <c r="Y235" s="377"/>
    </row>
    <row r="236" spans="1:25" ht="15.75">
      <c r="A236" s="180"/>
      <c r="B236" s="385"/>
      <c r="C236" s="180"/>
      <c r="D236" s="180"/>
      <c r="E236" s="180"/>
      <c r="F236" s="180"/>
      <c r="G236" s="180"/>
      <c r="H236" s="180"/>
      <c r="I236" s="180"/>
      <c r="J236" s="180"/>
      <c r="K236" s="180"/>
      <c r="L236" s="364"/>
      <c r="M236" s="386"/>
      <c r="N236" s="387"/>
      <c r="O236" s="387"/>
      <c r="P236" s="180"/>
      <c r="Q236" s="180"/>
      <c r="R236" s="180"/>
      <c r="S236" s="384"/>
      <c r="T236" s="384"/>
      <c r="U236" s="376"/>
      <c r="V236" s="376"/>
      <c r="W236" s="376"/>
      <c r="X236" s="376"/>
      <c r="Y236" s="377"/>
    </row>
    <row r="237" spans="1:25" ht="15.75">
      <c r="A237" s="180"/>
      <c r="B237" s="385"/>
      <c r="C237" s="180"/>
      <c r="D237" s="180"/>
      <c r="E237" s="180"/>
      <c r="F237" s="180"/>
      <c r="G237" s="180"/>
      <c r="H237" s="180"/>
      <c r="I237" s="180"/>
      <c r="J237" s="180"/>
      <c r="K237" s="180"/>
      <c r="L237" s="364"/>
      <c r="M237" s="386"/>
      <c r="N237" s="387"/>
      <c r="O237" s="387"/>
      <c r="P237" s="180"/>
      <c r="Q237" s="180"/>
      <c r="R237" s="180"/>
      <c r="S237" s="384"/>
      <c r="T237" s="384"/>
      <c r="U237" s="376"/>
      <c r="V237" s="376"/>
      <c r="W237" s="376"/>
      <c r="X237" s="376"/>
      <c r="Y237" s="377"/>
    </row>
    <row r="238" spans="1:25" ht="15.75">
      <c r="A238" s="180"/>
      <c r="B238" s="385"/>
      <c r="C238" s="180"/>
      <c r="D238" s="180"/>
      <c r="E238" s="180"/>
      <c r="F238" s="180"/>
      <c r="G238" s="180"/>
      <c r="H238" s="180"/>
      <c r="I238" s="180"/>
      <c r="J238" s="180"/>
      <c r="K238" s="180"/>
      <c r="L238" s="364"/>
      <c r="M238" s="386"/>
      <c r="N238" s="387"/>
      <c r="O238" s="387"/>
      <c r="P238" s="180"/>
      <c r="Q238" s="180"/>
      <c r="R238" s="180"/>
      <c r="S238" s="384"/>
      <c r="T238" s="384"/>
      <c r="U238" s="376"/>
      <c r="V238" s="376"/>
      <c r="W238" s="376"/>
      <c r="X238" s="376"/>
      <c r="Y238" s="377"/>
    </row>
    <row r="239" spans="1:25" ht="15.75">
      <c r="A239" s="180"/>
      <c r="B239" s="385"/>
      <c r="C239" s="180"/>
      <c r="D239" s="180"/>
      <c r="E239" s="180"/>
      <c r="F239" s="180"/>
      <c r="G239" s="180"/>
      <c r="H239" s="180"/>
      <c r="I239" s="180"/>
      <c r="J239" s="180"/>
      <c r="K239" s="180"/>
      <c r="L239" s="364"/>
      <c r="M239" s="386"/>
      <c r="N239" s="387"/>
      <c r="O239" s="387"/>
      <c r="P239" s="180"/>
      <c r="Q239" s="180"/>
      <c r="R239" s="180"/>
      <c r="S239" s="384"/>
      <c r="T239" s="384"/>
      <c r="U239" s="376"/>
      <c r="V239" s="376"/>
      <c r="W239" s="376"/>
      <c r="X239" s="376"/>
      <c r="Y239" s="377"/>
    </row>
    <row r="240" spans="1:25" ht="15.75">
      <c r="A240" s="180"/>
      <c r="B240" s="385"/>
      <c r="C240" s="180"/>
      <c r="D240" s="180"/>
      <c r="E240" s="180"/>
      <c r="F240" s="180"/>
      <c r="G240" s="180"/>
      <c r="H240" s="180"/>
      <c r="I240" s="180"/>
      <c r="J240" s="180"/>
      <c r="K240" s="180"/>
      <c r="L240" s="364"/>
      <c r="M240" s="386"/>
      <c r="N240" s="387"/>
      <c r="O240" s="387"/>
      <c r="P240" s="180"/>
      <c r="Q240" s="180"/>
      <c r="R240" s="180"/>
      <c r="S240" s="384"/>
      <c r="T240" s="384"/>
      <c r="U240" s="376"/>
      <c r="V240" s="376"/>
      <c r="W240" s="376"/>
      <c r="X240" s="376"/>
      <c r="Y240" s="377"/>
    </row>
    <row r="241" spans="1:25" ht="15.75">
      <c r="A241" s="180"/>
      <c r="B241" s="385"/>
      <c r="C241" s="180"/>
      <c r="D241" s="180"/>
      <c r="E241" s="180"/>
      <c r="F241" s="180"/>
      <c r="G241" s="180"/>
      <c r="H241" s="180"/>
      <c r="I241" s="180"/>
      <c r="J241" s="180"/>
      <c r="K241" s="180"/>
      <c r="L241" s="364"/>
      <c r="M241" s="386"/>
      <c r="N241" s="387"/>
      <c r="O241" s="387"/>
      <c r="P241" s="180"/>
      <c r="Q241" s="180"/>
      <c r="R241" s="180"/>
      <c r="S241" s="384"/>
      <c r="T241" s="384"/>
      <c r="U241" s="376"/>
      <c r="V241" s="376"/>
      <c r="W241" s="376"/>
      <c r="X241" s="376"/>
      <c r="Y241" s="377"/>
    </row>
    <row r="242" spans="1:25" ht="15.75">
      <c r="A242" s="180"/>
      <c r="B242" s="385"/>
      <c r="C242" s="180"/>
      <c r="D242" s="180"/>
      <c r="E242" s="180"/>
      <c r="F242" s="180"/>
      <c r="G242" s="180"/>
      <c r="H242" s="180"/>
      <c r="I242" s="180"/>
      <c r="J242" s="180"/>
      <c r="K242" s="180"/>
      <c r="L242" s="364"/>
      <c r="M242" s="386"/>
      <c r="N242" s="387"/>
      <c r="O242" s="387"/>
      <c r="P242" s="180"/>
      <c r="Q242" s="180"/>
      <c r="R242" s="180"/>
      <c r="S242" s="384"/>
      <c r="T242" s="384"/>
      <c r="U242" s="376"/>
      <c r="V242" s="376"/>
      <c r="W242" s="376"/>
      <c r="X242" s="376"/>
      <c r="Y242" s="377"/>
    </row>
    <row r="243" spans="1:25" ht="15.75">
      <c r="A243" s="180"/>
      <c r="B243" s="385"/>
      <c r="C243" s="180"/>
      <c r="D243" s="180"/>
      <c r="E243" s="180"/>
      <c r="F243" s="180"/>
      <c r="G243" s="180"/>
      <c r="H243" s="180"/>
      <c r="I243" s="180"/>
      <c r="J243" s="180"/>
      <c r="K243" s="180"/>
      <c r="L243" s="364"/>
      <c r="M243" s="386"/>
      <c r="N243" s="387"/>
      <c r="O243" s="387"/>
      <c r="P243" s="180"/>
      <c r="Q243" s="180"/>
      <c r="R243" s="180"/>
      <c r="S243" s="384"/>
      <c r="T243" s="384"/>
      <c r="U243" s="376"/>
      <c r="V243" s="376"/>
      <c r="W243" s="376"/>
      <c r="X243" s="376"/>
      <c r="Y243" s="377"/>
    </row>
    <row r="244" spans="1:25" ht="15.75">
      <c r="A244" s="180"/>
      <c r="B244" s="385"/>
      <c r="C244" s="180"/>
      <c r="D244" s="180"/>
      <c r="E244" s="180"/>
      <c r="F244" s="180"/>
      <c r="G244" s="180"/>
      <c r="H244" s="180"/>
      <c r="I244" s="180"/>
      <c r="J244" s="180"/>
      <c r="K244" s="180"/>
      <c r="L244" s="364"/>
      <c r="M244" s="386"/>
      <c r="N244" s="387"/>
      <c r="O244" s="387"/>
      <c r="P244" s="180"/>
      <c r="Q244" s="180"/>
      <c r="R244" s="180"/>
      <c r="S244" s="384"/>
      <c r="T244" s="384"/>
      <c r="U244" s="376"/>
      <c r="V244" s="376"/>
      <c r="W244" s="376"/>
      <c r="X244" s="376"/>
      <c r="Y244" s="377"/>
    </row>
    <row r="245" spans="1:25" ht="15.75">
      <c r="A245" s="180"/>
      <c r="B245" s="385"/>
      <c r="C245" s="180"/>
      <c r="D245" s="180"/>
      <c r="E245" s="180"/>
      <c r="F245" s="180"/>
      <c r="G245" s="180"/>
      <c r="H245" s="180"/>
      <c r="I245" s="180"/>
      <c r="J245" s="180"/>
      <c r="K245" s="180"/>
      <c r="L245" s="364"/>
      <c r="M245" s="386"/>
      <c r="N245" s="387"/>
      <c r="O245" s="387"/>
      <c r="P245" s="180"/>
      <c r="Q245" s="180"/>
      <c r="R245" s="180"/>
      <c r="S245" s="384"/>
      <c r="T245" s="384"/>
      <c r="U245" s="376"/>
      <c r="V245" s="376"/>
      <c r="W245" s="376"/>
      <c r="X245" s="376"/>
      <c r="Y245" s="377"/>
    </row>
    <row r="246" spans="1:25" ht="15.75">
      <c r="A246" s="180"/>
      <c r="B246" s="385"/>
      <c r="C246" s="180"/>
      <c r="D246" s="180"/>
      <c r="E246" s="180"/>
      <c r="F246" s="180"/>
      <c r="G246" s="180"/>
      <c r="H246" s="180"/>
      <c r="I246" s="180"/>
      <c r="J246" s="180"/>
      <c r="K246" s="180"/>
      <c r="L246" s="364"/>
      <c r="M246" s="386"/>
      <c r="N246" s="387"/>
      <c r="O246" s="387"/>
      <c r="P246" s="180"/>
      <c r="Q246" s="180"/>
      <c r="R246" s="180"/>
      <c r="S246" s="384"/>
      <c r="T246" s="384"/>
      <c r="U246" s="376"/>
      <c r="V246" s="376"/>
      <c r="W246" s="376"/>
      <c r="X246" s="376"/>
      <c r="Y246" s="377"/>
    </row>
    <row r="247" spans="1:25" ht="15.75">
      <c r="A247" s="180"/>
      <c r="B247" s="385"/>
      <c r="C247" s="180"/>
      <c r="D247" s="180"/>
      <c r="E247" s="180"/>
      <c r="F247" s="180"/>
      <c r="G247" s="180"/>
      <c r="H247" s="180"/>
      <c r="I247" s="180"/>
      <c r="J247" s="180"/>
      <c r="K247" s="180"/>
      <c r="L247" s="364"/>
      <c r="M247" s="386"/>
      <c r="N247" s="387"/>
      <c r="O247" s="387"/>
      <c r="P247" s="180"/>
      <c r="Q247" s="180"/>
      <c r="R247" s="180"/>
      <c r="S247" s="384"/>
      <c r="T247" s="384"/>
      <c r="U247" s="376"/>
      <c r="V247" s="376"/>
      <c r="W247" s="376"/>
      <c r="X247" s="376"/>
      <c r="Y247" s="377"/>
    </row>
    <row r="248" spans="1:25" ht="15.75">
      <c r="A248" s="180"/>
      <c r="B248" s="385"/>
      <c r="C248" s="180"/>
      <c r="D248" s="180"/>
      <c r="E248" s="180"/>
      <c r="F248" s="180"/>
      <c r="G248" s="180"/>
      <c r="H248" s="180"/>
      <c r="I248" s="180"/>
      <c r="J248" s="180"/>
      <c r="K248" s="180"/>
      <c r="L248" s="364"/>
      <c r="M248" s="386"/>
      <c r="N248" s="387"/>
      <c r="O248" s="387"/>
      <c r="P248" s="180"/>
      <c r="Q248" s="180"/>
      <c r="R248" s="180"/>
      <c r="S248" s="384"/>
      <c r="T248" s="384"/>
      <c r="U248" s="376"/>
      <c r="V248" s="376"/>
      <c r="W248" s="376"/>
      <c r="X248" s="376"/>
      <c r="Y248" s="377"/>
    </row>
    <row r="249" spans="1:25" ht="15.75">
      <c r="A249" s="180"/>
      <c r="B249" s="385"/>
      <c r="C249" s="180"/>
      <c r="D249" s="180"/>
      <c r="E249" s="180"/>
      <c r="F249" s="180"/>
      <c r="G249" s="180"/>
      <c r="H249" s="180"/>
      <c r="I249" s="180"/>
      <c r="J249" s="180"/>
      <c r="K249" s="180"/>
      <c r="L249" s="364"/>
      <c r="M249" s="386"/>
      <c r="N249" s="387"/>
      <c r="O249" s="387"/>
      <c r="P249" s="180"/>
      <c r="Q249" s="180"/>
      <c r="R249" s="180"/>
      <c r="S249" s="384"/>
      <c r="T249" s="384"/>
      <c r="U249" s="376"/>
      <c r="V249" s="376"/>
      <c r="W249" s="376"/>
      <c r="X249" s="376"/>
      <c r="Y249" s="377"/>
    </row>
    <row r="250" spans="1:25" ht="15.75">
      <c r="A250" s="180"/>
      <c r="B250" s="385"/>
      <c r="C250" s="180"/>
      <c r="D250" s="180"/>
      <c r="E250" s="180"/>
      <c r="F250" s="180"/>
      <c r="G250" s="180"/>
      <c r="H250" s="180"/>
      <c r="I250" s="180"/>
      <c r="J250" s="180"/>
      <c r="K250" s="180"/>
      <c r="L250" s="364"/>
      <c r="M250" s="386"/>
      <c r="N250" s="387"/>
      <c r="O250" s="387"/>
      <c r="P250" s="180"/>
      <c r="Q250" s="180"/>
      <c r="R250" s="180"/>
      <c r="S250" s="384"/>
      <c r="T250" s="384"/>
      <c r="U250" s="376"/>
      <c r="V250" s="376"/>
      <c r="W250" s="376"/>
      <c r="X250" s="376"/>
      <c r="Y250" s="377"/>
    </row>
    <row r="251" spans="1:25" ht="15.75">
      <c r="A251" s="180"/>
      <c r="B251" s="385"/>
      <c r="C251" s="180"/>
      <c r="D251" s="180"/>
      <c r="E251" s="180"/>
      <c r="F251" s="180"/>
      <c r="G251" s="180"/>
      <c r="H251" s="180"/>
      <c r="I251" s="180"/>
      <c r="J251" s="180"/>
      <c r="K251" s="180"/>
      <c r="L251" s="364"/>
      <c r="M251" s="386"/>
      <c r="N251" s="387"/>
      <c r="O251" s="387"/>
      <c r="P251" s="180"/>
      <c r="Q251" s="180"/>
      <c r="R251" s="180"/>
      <c r="S251" s="384"/>
      <c r="T251" s="384"/>
      <c r="U251" s="376"/>
      <c r="V251" s="376"/>
      <c r="W251" s="376"/>
      <c r="X251" s="376"/>
      <c r="Y251" s="377"/>
    </row>
    <row r="252" spans="1:25" ht="15.75">
      <c r="A252" s="180"/>
      <c r="B252" s="385"/>
      <c r="C252" s="180"/>
      <c r="D252" s="180"/>
      <c r="E252" s="180"/>
      <c r="F252" s="180"/>
      <c r="G252" s="180"/>
      <c r="H252" s="180"/>
      <c r="I252" s="180"/>
      <c r="J252" s="180"/>
      <c r="K252" s="180"/>
      <c r="L252" s="364"/>
      <c r="M252" s="386"/>
      <c r="N252" s="387"/>
      <c r="O252" s="387"/>
      <c r="P252" s="180"/>
      <c r="Q252" s="180"/>
      <c r="R252" s="180"/>
      <c r="S252" s="384"/>
      <c r="T252" s="384"/>
      <c r="U252" s="376"/>
      <c r="V252" s="376"/>
      <c r="W252" s="376"/>
      <c r="X252" s="376"/>
      <c r="Y252" s="377"/>
    </row>
    <row r="253" spans="1:25" ht="15.75">
      <c r="A253" s="180"/>
      <c r="B253" s="385"/>
      <c r="C253" s="180"/>
      <c r="D253" s="180"/>
      <c r="E253" s="180"/>
      <c r="F253" s="180"/>
      <c r="G253" s="180"/>
      <c r="H253" s="180"/>
      <c r="I253" s="180"/>
      <c r="J253" s="180"/>
      <c r="K253" s="180"/>
      <c r="L253" s="364"/>
      <c r="M253" s="386"/>
      <c r="N253" s="387"/>
      <c r="O253" s="387"/>
      <c r="P253" s="180"/>
      <c r="Q253" s="180"/>
      <c r="R253" s="180"/>
      <c r="S253" s="384"/>
      <c r="T253" s="384"/>
      <c r="U253" s="376"/>
      <c r="V253" s="376"/>
      <c r="W253" s="376"/>
      <c r="X253" s="376"/>
      <c r="Y253" s="377"/>
    </row>
    <row r="254" spans="1:25" ht="15.75">
      <c r="A254" s="180"/>
      <c r="B254" s="385"/>
      <c r="C254" s="180"/>
      <c r="D254" s="180"/>
      <c r="E254" s="180"/>
      <c r="F254" s="180"/>
      <c r="G254" s="180"/>
      <c r="H254" s="180"/>
      <c r="I254" s="180"/>
      <c r="J254" s="180"/>
      <c r="K254" s="180"/>
      <c r="L254" s="364"/>
      <c r="M254" s="386"/>
      <c r="N254" s="387"/>
      <c r="O254" s="387"/>
      <c r="P254" s="180"/>
      <c r="Q254" s="180"/>
      <c r="R254" s="180"/>
      <c r="S254" s="384"/>
      <c r="T254" s="384"/>
      <c r="U254" s="376"/>
      <c r="V254" s="376"/>
      <c r="W254" s="376"/>
      <c r="X254" s="376"/>
      <c r="Y254" s="377"/>
    </row>
    <row r="255" spans="1:25" ht="15.75">
      <c r="A255" s="180"/>
      <c r="B255" s="385"/>
      <c r="C255" s="180"/>
      <c r="D255" s="180"/>
      <c r="E255" s="180"/>
      <c r="F255" s="180"/>
      <c r="G255" s="180"/>
      <c r="H255" s="180"/>
      <c r="I255" s="180"/>
      <c r="J255" s="180"/>
      <c r="K255" s="180"/>
      <c r="L255" s="364"/>
      <c r="M255" s="386"/>
      <c r="N255" s="387"/>
      <c r="O255" s="387"/>
      <c r="P255" s="180"/>
      <c r="Q255" s="180"/>
      <c r="R255" s="180"/>
      <c r="S255" s="384"/>
      <c r="T255" s="384"/>
      <c r="U255" s="376"/>
      <c r="V255" s="376"/>
      <c r="W255" s="376"/>
      <c r="X255" s="376"/>
      <c r="Y255" s="377"/>
    </row>
    <row r="256" spans="1:25" ht="15.75">
      <c r="A256" s="180"/>
      <c r="B256" s="385"/>
      <c r="C256" s="180"/>
      <c r="D256" s="180"/>
      <c r="E256" s="180"/>
      <c r="F256" s="180"/>
      <c r="G256" s="180"/>
      <c r="H256" s="180"/>
      <c r="I256" s="180"/>
      <c r="J256" s="180"/>
      <c r="K256" s="180"/>
      <c r="L256" s="364"/>
      <c r="M256" s="386"/>
      <c r="N256" s="387"/>
      <c r="O256" s="387"/>
      <c r="P256" s="180"/>
      <c r="Q256" s="180"/>
      <c r="R256" s="180"/>
      <c r="S256" s="384"/>
      <c r="T256" s="384"/>
      <c r="U256" s="376"/>
      <c r="V256" s="376"/>
      <c r="W256" s="376"/>
      <c r="X256" s="376"/>
      <c r="Y256" s="377"/>
    </row>
    <row r="257" spans="1:25" ht="15.75">
      <c r="A257" s="180"/>
      <c r="B257" s="385"/>
      <c r="C257" s="180"/>
      <c r="D257" s="180"/>
      <c r="E257" s="180"/>
      <c r="F257" s="180"/>
      <c r="G257" s="180"/>
      <c r="H257" s="180"/>
      <c r="I257" s="180"/>
      <c r="J257" s="180"/>
      <c r="K257" s="180"/>
      <c r="L257" s="364"/>
      <c r="M257" s="386"/>
      <c r="N257" s="387"/>
      <c r="O257" s="387"/>
      <c r="P257" s="180"/>
      <c r="Q257" s="180"/>
      <c r="R257" s="180"/>
      <c r="S257" s="384"/>
      <c r="T257" s="384"/>
      <c r="U257" s="376"/>
      <c r="V257" s="376"/>
      <c r="W257" s="376"/>
      <c r="X257" s="376"/>
      <c r="Y257" s="377"/>
    </row>
    <row r="258" spans="1:25" ht="15.75">
      <c r="A258" s="180"/>
      <c r="B258" s="385"/>
      <c r="C258" s="180"/>
      <c r="D258" s="180"/>
      <c r="E258" s="180"/>
      <c r="F258" s="180"/>
      <c r="G258" s="180"/>
      <c r="H258" s="180"/>
      <c r="I258" s="180"/>
      <c r="J258" s="180"/>
      <c r="K258" s="180"/>
      <c r="L258" s="364"/>
      <c r="M258" s="386"/>
      <c r="N258" s="387"/>
      <c r="O258" s="387"/>
      <c r="P258" s="180"/>
      <c r="Q258" s="180"/>
      <c r="R258" s="180"/>
      <c r="S258" s="384"/>
      <c r="T258" s="384"/>
      <c r="U258" s="376"/>
      <c r="V258" s="376"/>
      <c r="W258" s="376"/>
      <c r="X258" s="376"/>
      <c r="Y258" s="377"/>
    </row>
    <row r="259" spans="1:25" ht="15.75">
      <c r="A259" s="180"/>
      <c r="B259" s="385"/>
      <c r="C259" s="180"/>
      <c r="D259" s="180"/>
      <c r="E259" s="180"/>
      <c r="F259" s="180"/>
      <c r="G259" s="180"/>
      <c r="H259" s="180"/>
      <c r="I259" s="180"/>
      <c r="J259" s="180"/>
      <c r="K259" s="180"/>
      <c r="L259" s="364"/>
      <c r="M259" s="386"/>
      <c r="N259" s="387"/>
      <c r="O259" s="387"/>
      <c r="P259" s="180"/>
      <c r="Q259" s="180"/>
      <c r="R259" s="180"/>
      <c r="S259" s="409"/>
      <c r="T259" s="407"/>
      <c r="U259" s="376"/>
      <c r="V259" s="376"/>
      <c r="W259" s="376"/>
      <c r="X259" s="376"/>
      <c r="Y259" s="377"/>
    </row>
    <row r="260" spans="1:25" ht="15.75">
      <c r="A260" s="180"/>
      <c r="B260" s="385"/>
      <c r="C260" s="180"/>
      <c r="D260" s="180"/>
      <c r="E260" s="180"/>
      <c r="F260" s="180"/>
      <c r="G260" s="180"/>
      <c r="H260" s="180"/>
      <c r="I260" s="180"/>
      <c r="J260" s="180"/>
      <c r="K260" s="180"/>
      <c r="L260" s="364"/>
      <c r="M260" s="386"/>
      <c r="N260" s="387"/>
      <c r="O260" s="387"/>
      <c r="P260" s="180"/>
      <c r="Q260" s="180"/>
      <c r="R260" s="180"/>
      <c r="S260" s="409"/>
      <c r="T260" s="407"/>
      <c r="U260" s="376"/>
      <c r="V260" s="376"/>
      <c r="W260" s="376"/>
      <c r="X260" s="376"/>
      <c r="Y260" s="377"/>
    </row>
    <row r="261" spans="1:25" ht="15.75">
      <c r="A261" s="180"/>
      <c r="B261" s="385"/>
      <c r="C261" s="180"/>
      <c r="D261" s="180"/>
      <c r="E261" s="180"/>
      <c r="F261" s="180"/>
      <c r="G261" s="180"/>
      <c r="H261" s="180"/>
      <c r="I261" s="180"/>
      <c r="J261" s="180"/>
      <c r="K261" s="180"/>
      <c r="L261" s="364"/>
      <c r="M261" s="386"/>
      <c r="N261" s="387"/>
      <c r="O261" s="387"/>
      <c r="P261" s="388"/>
      <c r="Q261" s="180"/>
      <c r="R261" s="180"/>
      <c r="S261" s="409"/>
      <c r="T261" s="407"/>
      <c r="U261" s="376"/>
      <c r="V261" s="376"/>
      <c r="W261" s="376"/>
      <c r="X261" s="376"/>
      <c r="Y261" s="377"/>
    </row>
    <row r="262" spans="1:25" ht="15.75">
      <c r="A262" s="180"/>
      <c r="B262" s="385"/>
      <c r="C262" s="180"/>
      <c r="D262" s="180"/>
      <c r="E262" s="180"/>
      <c r="F262" s="180"/>
      <c r="G262" s="180"/>
      <c r="H262" s="180"/>
      <c r="I262" s="180"/>
      <c r="J262" s="180"/>
      <c r="K262" s="180"/>
      <c r="L262" s="364"/>
      <c r="M262" s="386"/>
      <c r="N262" s="387"/>
      <c r="O262" s="387"/>
      <c r="P262" s="388"/>
      <c r="Q262" s="180"/>
      <c r="R262" s="180"/>
      <c r="S262" s="409"/>
      <c r="T262" s="407"/>
      <c r="U262" s="376"/>
      <c r="V262" s="376"/>
      <c r="W262" s="376"/>
      <c r="X262" s="376"/>
      <c r="Y262" s="377"/>
    </row>
    <row r="263" spans="1:25" ht="15.75">
      <c r="A263" s="180"/>
      <c r="B263" s="385"/>
      <c r="C263" s="180"/>
      <c r="D263" s="180"/>
      <c r="E263" s="180"/>
      <c r="F263" s="180"/>
      <c r="G263" s="180"/>
      <c r="H263" s="180"/>
      <c r="I263" s="180"/>
      <c r="J263" s="180"/>
      <c r="K263" s="180"/>
      <c r="L263" s="364"/>
      <c r="M263" s="386"/>
      <c r="N263" s="387"/>
      <c r="O263" s="387"/>
      <c r="P263" s="180"/>
      <c r="Q263" s="180"/>
      <c r="R263" s="180"/>
      <c r="S263" s="384"/>
      <c r="T263" s="384"/>
      <c r="U263" s="376"/>
      <c r="V263" s="376"/>
      <c r="W263" s="376"/>
      <c r="X263" s="376"/>
      <c r="Y263" s="377"/>
    </row>
    <row r="264" spans="1:25" ht="15.75">
      <c r="A264" s="180"/>
      <c r="B264" s="385"/>
      <c r="C264" s="180"/>
      <c r="D264" s="180"/>
      <c r="E264" s="180"/>
      <c r="F264" s="180"/>
      <c r="G264" s="180"/>
      <c r="H264" s="180"/>
      <c r="I264" s="180"/>
      <c r="J264" s="180"/>
      <c r="K264" s="180"/>
      <c r="L264" s="364"/>
      <c r="M264" s="386"/>
      <c r="N264" s="387"/>
      <c r="O264" s="387"/>
      <c r="P264" s="180"/>
      <c r="Q264" s="180"/>
      <c r="R264" s="180"/>
      <c r="S264" s="384"/>
      <c r="T264" s="384"/>
      <c r="U264" s="376"/>
      <c r="V264" s="376"/>
      <c r="W264" s="376"/>
      <c r="X264" s="376"/>
      <c r="Y264" s="377"/>
    </row>
    <row r="265" spans="1:25" ht="15.75">
      <c r="A265" s="180"/>
      <c r="B265" s="385"/>
      <c r="C265" s="180"/>
      <c r="D265" s="180"/>
      <c r="E265" s="180"/>
      <c r="F265" s="180"/>
      <c r="G265" s="180"/>
      <c r="H265" s="180"/>
      <c r="I265" s="180"/>
      <c r="J265" s="180"/>
      <c r="K265" s="180"/>
      <c r="L265" s="364"/>
      <c r="M265" s="386"/>
      <c r="N265" s="387"/>
      <c r="O265" s="387"/>
      <c r="P265" s="180"/>
      <c r="Q265" s="180"/>
      <c r="R265" s="180"/>
      <c r="S265" s="384"/>
      <c r="T265" s="384"/>
      <c r="U265" s="376"/>
      <c r="V265" s="376"/>
      <c r="W265" s="376"/>
      <c r="X265" s="376"/>
      <c r="Y265" s="377"/>
    </row>
    <row r="266" spans="1:25" ht="15.75">
      <c r="A266" s="180"/>
      <c r="B266" s="385"/>
      <c r="C266" s="180"/>
      <c r="D266" s="180"/>
      <c r="E266" s="180"/>
      <c r="F266" s="180"/>
      <c r="G266" s="180"/>
      <c r="H266" s="180"/>
      <c r="I266" s="180"/>
      <c r="J266" s="180"/>
      <c r="K266" s="180"/>
      <c r="L266" s="364"/>
      <c r="M266" s="386"/>
      <c r="N266" s="387"/>
      <c r="O266" s="387"/>
      <c r="P266" s="180"/>
      <c r="Q266" s="180"/>
      <c r="R266" s="180"/>
      <c r="S266" s="384"/>
      <c r="T266" s="384"/>
      <c r="U266" s="376"/>
      <c r="V266" s="376"/>
      <c r="W266" s="376"/>
      <c r="X266" s="376"/>
      <c r="Y266" s="377"/>
    </row>
    <row r="267" spans="1:25" ht="15.75">
      <c r="A267" s="180"/>
      <c r="B267" s="385"/>
      <c r="C267" s="180"/>
      <c r="D267" s="180"/>
      <c r="E267" s="180"/>
      <c r="F267" s="180"/>
      <c r="G267" s="180"/>
      <c r="H267" s="180"/>
      <c r="I267" s="180"/>
      <c r="J267" s="180"/>
      <c r="K267" s="180"/>
      <c r="L267" s="364"/>
      <c r="M267" s="386"/>
      <c r="N267" s="387"/>
      <c r="O267" s="387"/>
      <c r="P267" s="180"/>
      <c r="Q267" s="180"/>
      <c r="R267" s="180"/>
      <c r="S267" s="384"/>
      <c r="T267" s="384"/>
      <c r="U267" s="376"/>
      <c r="V267" s="376"/>
      <c r="W267" s="376"/>
      <c r="X267" s="376"/>
      <c r="Y267" s="377"/>
    </row>
    <row r="268" spans="1:25" ht="15.75">
      <c r="A268" s="180"/>
      <c r="B268" s="385"/>
      <c r="C268" s="180"/>
      <c r="D268" s="180"/>
      <c r="E268" s="180"/>
      <c r="F268" s="180"/>
      <c r="G268" s="180"/>
      <c r="H268" s="180"/>
      <c r="I268" s="180"/>
      <c r="J268" s="180"/>
      <c r="K268" s="180"/>
      <c r="L268" s="364"/>
      <c r="M268" s="386"/>
      <c r="N268" s="387"/>
      <c r="O268" s="387"/>
      <c r="P268" s="180"/>
      <c r="Q268" s="180"/>
      <c r="R268" s="180"/>
      <c r="S268" s="384"/>
      <c r="T268" s="384"/>
      <c r="U268" s="376"/>
      <c r="V268" s="376"/>
      <c r="W268" s="376"/>
      <c r="X268" s="376"/>
      <c r="Y268" s="377"/>
    </row>
    <row r="269" spans="1:25" ht="15.75">
      <c r="A269" s="180"/>
      <c r="B269" s="385"/>
      <c r="C269" s="180"/>
      <c r="D269" s="180"/>
      <c r="E269" s="180"/>
      <c r="F269" s="180"/>
      <c r="G269" s="180"/>
      <c r="H269" s="180"/>
      <c r="I269" s="180"/>
      <c r="J269" s="180"/>
      <c r="K269" s="180"/>
      <c r="L269" s="364"/>
      <c r="M269" s="386"/>
      <c r="N269" s="387"/>
      <c r="O269" s="387"/>
      <c r="P269" s="180"/>
      <c r="Q269" s="180"/>
      <c r="R269" s="180"/>
      <c r="S269" s="384"/>
      <c r="T269" s="384"/>
      <c r="U269" s="376"/>
      <c r="V269" s="376"/>
      <c r="W269" s="376"/>
      <c r="X269" s="376"/>
      <c r="Y269" s="377"/>
    </row>
    <row r="270" spans="1:25" ht="15.75">
      <c r="A270" s="180"/>
      <c r="B270" s="385"/>
      <c r="C270" s="180"/>
      <c r="D270" s="180"/>
      <c r="E270" s="180"/>
      <c r="F270" s="180"/>
      <c r="G270" s="180"/>
      <c r="H270" s="180"/>
      <c r="I270" s="180"/>
      <c r="J270" s="180"/>
      <c r="K270" s="180"/>
      <c r="L270" s="364"/>
      <c r="M270" s="386"/>
      <c r="N270" s="387"/>
      <c r="O270" s="387"/>
      <c r="P270" s="180"/>
      <c r="Q270" s="180"/>
      <c r="R270" s="180"/>
      <c r="S270" s="384"/>
      <c r="T270" s="384"/>
      <c r="U270" s="376"/>
      <c r="V270" s="376"/>
      <c r="W270" s="376"/>
      <c r="X270" s="376"/>
      <c r="Y270" s="377"/>
    </row>
    <row r="271" spans="1:25" ht="15.75">
      <c r="A271" s="180"/>
      <c r="B271" s="385"/>
      <c r="C271" s="180"/>
      <c r="D271" s="180"/>
      <c r="E271" s="180"/>
      <c r="F271" s="180"/>
      <c r="G271" s="180"/>
      <c r="H271" s="180"/>
      <c r="I271" s="180"/>
      <c r="J271" s="180"/>
      <c r="K271" s="180"/>
      <c r="L271" s="364"/>
      <c r="M271" s="386"/>
      <c r="N271" s="387"/>
      <c r="O271" s="387"/>
      <c r="P271" s="180"/>
      <c r="Q271" s="180"/>
      <c r="R271" s="180"/>
      <c r="S271" s="384"/>
      <c r="T271" s="384"/>
      <c r="U271" s="376"/>
      <c r="V271" s="376"/>
      <c r="W271" s="376"/>
      <c r="X271" s="376"/>
      <c r="Y271" s="377"/>
    </row>
    <row r="272" spans="1:25" ht="15.75">
      <c r="A272" s="180"/>
      <c r="B272" s="385"/>
      <c r="C272" s="180"/>
      <c r="D272" s="180"/>
      <c r="E272" s="180"/>
      <c r="F272" s="180"/>
      <c r="G272" s="180"/>
      <c r="H272" s="180"/>
      <c r="I272" s="180"/>
      <c r="J272" s="180"/>
      <c r="K272" s="180"/>
      <c r="L272" s="364"/>
      <c r="M272" s="386"/>
      <c r="N272" s="387"/>
      <c r="O272" s="387"/>
      <c r="P272" s="180"/>
      <c r="Q272" s="180"/>
      <c r="R272" s="180"/>
      <c r="S272" s="384"/>
      <c r="T272" s="384"/>
      <c r="U272" s="376"/>
      <c r="V272" s="376"/>
      <c r="W272" s="376"/>
      <c r="X272" s="376"/>
      <c r="Y272" s="377"/>
    </row>
    <row r="273" spans="1:25" ht="15.75">
      <c r="A273" s="180"/>
      <c r="B273" s="385"/>
      <c r="C273" s="180"/>
      <c r="D273" s="180"/>
      <c r="E273" s="180"/>
      <c r="F273" s="180"/>
      <c r="G273" s="180"/>
      <c r="H273" s="180"/>
      <c r="I273" s="180"/>
      <c r="J273" s="180"/>
      <c r="K273" s="180"/>
      <c r="L273" s="364"/>
      <c r="M273" s="386"/>
      <c r="N273" s="387"/>
      <c r="O273" s="387"/>
      <c r="P273" s="180"/>
      <c r="Q273" s="180"/>
      <c r="R273" s="180"/>
      <c r="S273" s="384"/>
      <c r="T273" s="384"/>
      <c r="U273" s="376"/>
      <c r="V273" s="376"/>
      <c r="W273" s="376"/>
      <c r="X273" s="376"/>
      <c r="Y273" s="377"/>
    </row>
    <row r="274" spans="1:25" ht="15.75">
      <c r="A274" s="180"/>
      <c r="B274" s="385"/>
      <c r="C274" s="180"/>
      <c r="D274" s="180"/>
      <c r="E274" s="180"/>
      <c r="F274" s="180"/>
      <c r="G274" s="180"/>
      <c r="H274" s="180"/>
      <c r="I274" s="180"/>
      <c r="J274" s="180"/>
      <c r="K274" s="180"/>
      <c r="L274" s="364"/>
      <c r="M274" s="386"/>
      <c r="N274" s="387"/>
      <c r="O274" s="387"/>
      <c r="P274" s="180"/>
      <c r="Q274" s="180"/>
      <c r="R274" s="180"/>
      <c r="S274" s="384"/>
      <c r="T274" s="384"/>
      <c r="U274" s="376"/>
      <c r="V274" s="376"/>
      <c r="W274" s="376"/>
      <c r="X274" s="376"/>
      <c r="Y274" s="377"/>
    </row>
    <row r="275" spans="1:25" ht="15.75">
      <c r="A275" s="180"/>
      <c r="B275" s="385"/>
      <c r="C275" s="180"/>
      <c r="D275" s="180"/>
      <c r="E275" s="180"/>
      <c r="F275" s="180"/>
      <c r="G275" s="180"/>
      <c r="H275" s="180"/>
      <c r="I275" s="180"/>
      <c r="J275" s="180"/>
      <c r="K275" s="180"/>
      <c r="L275" s="364"/>
      <c r="M275" s="386"/>
      <c r="N275" s="387"/>
      <c r="O275" s="387"/>
      <c r="P275" s="180"/>
      <c r="Q275" s="180"/>
      <c r="R275" s="180"/>
      <c r="S275" s="384"/>
      <c r="T275" s="384"/>
      <c r="U275" s="376"/>
      <c r="V275" s="376"/>
      <c r="W275" s="376"/>
      <c r="X275" s="376"/>
      <c r="Y275" s="377"/>
    </row>
    <row r="276" spans="1:25" ht="15.75">
      <c r="A276" s="180"/>
      <c r="B276" s="385"/>
      <c r="C276" s="180"/>
      <c r="D276" s="180"/>
      <c r="E276" s="180"/>
      <c r="F276" s="180"/>
      <c r="G276" s="180"/>
      <c r="H276" s="180"/>
      <c r="I276" s="180"/>
      <c r="J276" s="180"/>
      <c r="K276" s="180"/>
      <c r="L276" s="364"/>
      <c r="M276" s="386"/>
      <c r="N276" s="387"/>
      <c r="O276" s="387"/>
      <c r="P276" s="180"/>
      <c r="Q276" s="180"/>
      <c r="R276" s="180"/>
      <c r="S276" s="384"/>
      <c r="T276" s="384"/>
      <c r="U276" s="376"/>
      <c r="V276" s="376"/>
      <c r="W276" s="376"/>
      <c r="X276" s="376"/>
      <c r="Y276" s="377"/>
    </row>
    <row r="277" spans="1:25" ht="15.75">
      <c r="A277" s="389"/>
      <c r="B277" s="390"/>
      <c r="C277" s="373"/>
      <c r="D277" s="373"/>
      <c r="E277" s="373"/>
      <c r="F277" s="373"/>
      <c r="G277" s="373"/>
      <c r="H277" s="373"/>
      <c r="I277" s="373"/>
      <c r="J277" s="373"/>
      <c r="K277" s="373"/>
      <c r="L277" s="364"/>
      <c r="M277" s="386"/>
      <c r="N277" s="387"/>
      <c r="O277" s="387"/>
      <c r="P277" s="373"/>
      <c r="Q277" s="180"/>
      <c r="R277" s="373"/>
      <c r="S277" s="373"/>
      <c r="T277" s="376"/>
      <c r="U277" s="376"/>
      <c r="V277" s="376"/>
      <c r="W277" s="376"/>
      <c r="X277" s="376"/>
      <c r="Y277" s="377"/>
    </row>
    <row r="278" spans="1:25" ht="15.75">
      <c r="A278" s="389"/>
      <c r="B278" s="390"/>
      <c r="C278" s="373"/>
      <c r="D278" s="373"/>
      <c r="E278" s="373"/>
      <c r="F278" s="373"/>
      <c r="G278" s="373"/>
      <c r="H278" s="373"/>
      <c r="I278" s="373"/>
      <c r="J278" s="373"/>
      <c r="K278" s="373"/>
      <c r="L278" s="364"/>
      <c r="M278" s="386"/>
      <c r="N278" s="387"/>
      <c r="O278" s="387"/>
      <c r="P278" s="373"/>
      <c r="Q278" s="180"/>
      <c r="R278" s="373"/>
      <c r="S278" s="373"/>
      <c r="T278" s="376"/>
      <c r="U278" s="376"/>
      <c r="V278" s="376"/>
      <c r="W278" s="376"/>
      <c r="X278" s="376"/>
      <c r="Y278" s="377"/>
    </row>
    <row r="279" spans="1:25" ht="15.75">
      <c r="A279" s="389"/>
      <c r="B279" s="390"/>
      <c r="C279" s="373"/>
      <c r="D279" s="373"/>
      <c r="E279" s="373"/>
      <c r="F279" s="373"/>
      <c r="G279" s="373"/>
      <c r="H279" s="373"/>
      <c r="I279" s="373"/>
      <c r="J279" s="373"/>
      <c r="K279" s="373"/>
      <c r="L279" s="364"/>
      <c r="M279" s="386"/>
      <c r="N279" s="387"/>
      <c r="O279" s="387"/>
      <c r="P279" s="373"/>
      <c r="Q279" s="180"/>
      <c r="R279" s="373"/>
      <c r="S279" s="373"/>
      <c r="T279" s="376"/>
      <c r="U279" s="376"/>
      <c r="V279" s="376"/>
      <c r="W279" s="376"/>
      <c r="X279" s="376"/>
      <c r="Y279" s="377"/>
    </row>
    <row r="280" spans="1:25" ht="15.75">
      <c r="A280" s="389"/>
      <c r="B280" s="390"/>
      <c r="C280" s="373"/>
      <c r="D280" s="373"/>
      <c r="E280" s="373"/>
      <c r="F280" s="373"/>
      <c r="G280" s="373"/>
      <c r="H280" s="373"/>
      <c r="I280" s="373"/>
      <c r="J280" s="373"/>
      <c r="K280" s="373"/>
      <c r="L280" s="364"/>
      <c r="M280" s="386"/>
      <c r="N280" s="387"/>
      <c r="O280" s="387"/>
      <c r="P280" s="373"/>
      <c r="Q280" s="180"/>
      <c r="R280" s="373"/>
      <c r="S280" s="373"/>
      <c r="T280" s="376"/>
      <c r="U280" s="376"/>
      <c r="V280" s="376"/>
      <c r="W280" s="376"/>
      <c r="X280" s="376"/>
      <c r="Y280" s="377"/>
    </row>
    <row r="281" spans="1:25" ht="15.75">
      <c r="A281" s="389"/>
      <c r="B281" s="390"/>
      <c r="C281" s="373"/>
      <c r="D281" s="373"/>
      <c r="E281" s="373"/>
      <c r="F281" s="373"/>
      <c r="G281" s="373"/>
      <c r="H281" s="373"/>
      <c r="I281" s="373"/>
      <c r="J281" s="373"/>
      <c r="K281" s="373"/>
      <c r="L281" s="364"/>
      <c r="M281" s="386"/>
      <c r="N281" s="387"/>
      <c r="O281" s="387"/>
      <c r="P281" s="373"/>
      <c r="Q281" s="373"/>
      <c r="R281" s="373"/>
      <c r="S281" s="373"/>
      <c r="T281" s="376"/>
      <c r="U281" s="376"/>
      <c r="V281" s="376"/>
      <c r="W281" s="376"/>
      <c r="X281" s="376"/>
      <c r="Y281" s="377"/>
    </row>
    <row r="282" spans="1:25" ht="15.75">
      <c r="A282" s="389"/>
      <c r="B282" s="390"/>
      <c r="C282" s="373"/>
      <c r="D282" s="373"/>
      <c r="E282" s="373"/>
      <c r="F282" s="373"/>
      <c r="G282" s="373"/>
      <c r="H282" s="373"/>
      <c r="I282" s="373"/>
      <c r="J282" s="373"/>
      <c r="K282" s="373"/>
      <c r="L282" s="364"/>
      <c r="M282" s="386"/>
      <c r="N282" s="387"/>
      <c r="O282" s="387"/>
      <c r="P282" s="373"/>
      <c r="Q282" s="180"/>
      <c r="R282" s="373"/>
      <c r="S282" s="373"/>
      <c r="T282" s="376"/>
      <c r="U282" s="376"/>
      <c r="V282" s="376"/>
      <c r="W282" s="376"/>
      <c r="X282" s="376"/>
      <c r="Y282" s="377"/>
    </row>
    <row r="283" spans="1:25" ht="15.75">
      <c r="A283" s="389"/>
      <c r="B283" s="390"/>
      <c r="C283" s="373"/>
      <c r="D283" s="373"/>
      <c r="E283" s="373"/>
      <c r="F283" s="373"/>
      <c r="G283" s="373"/>
      <c r="H283" s="373"/>
      <c r="I283" s="373"/>
      <c r="J283" s="373"/>
      <c r="K283" s="373"/>
      <c r="L283" s="364"/>
      <c r="M283" s="386"/>
      <c r="N283" s="387"/>
      <c r="O283" s="387"/>
      <c r="P283" s="373"/>
      <c r="Q283" s="180"/>
      <c r="R283" s="373"/>
      <c r="S283" s="373"/>
      <c r="T283" s="376"/>
      <c r="U283" s="376"/>
      <c r="V283" s="376"/>
      <c r="W283" s="376"/>
      <c r="X283" s="376"/>
      <c r="Y283" s="377"/>
    </row>
    <row r="284" spans="1:25" ht="15.75">
      <c r="A284" s="389"/>
      <c r="B284" s="390"/>
      <c r="C284" s="373"/>
      <c r="D284" s="373"/>
      <c r="E284" s="373"/>
      <c r="F284" s="373"/>
      <c r="G284" s="373"/>
      <c r="H284" s="373"/>
      <c r="I284" s="373"/>
      <c r="J284" s="373"/>
      <c r="K284" s="373"/>
      <c r="L284" s="364"/>
      <c r="M284" s="386"/>
      <c r="N284" s="387"/>
      <c r="O284" s="387"/>
      <c r="P284" s="373"/>
      <c r="Q284" s="180"/>
      <c r="R284" s="373"/>
      <c r="S284" s="373"/>
      <c r="T284" s="376"/>
      <c r="U284" s="376"/>
      <c r="V284" s="376"/>
      <c r="W284" s="376"/>
      <c r="X284" s="376"/>
      <c r="Y284" s="377"/>
    </row>
    <row r="285" spans="1:25" ht="15.75">
      <c r="A285" s="389"/>
      <c r="B285" s="390"/>
      <c r="C285" s="373"/>
      <c r="D285" s="373"/>
      <c r="E285" s="373"/>
      <c r="F285" s="373"/>
      <c r="G285" s="373"/>
      <c r="H285" s="373"/>
      <c r="I285" s="373"/>
      <c r="J285" s="391"/>
      <c r="K285" s="373"/>
      <c r="L285" s="364"/>
      <c r="M285" s="386"/>
      <c r="N285" s="387"/>
      <c r="O285" s="387"/>
      <c r="P285" s="373"/>
      <c r="Q285" s="180"/>
      <c r="R285" s="373"/>
      <c r="S285" s="373"/>
      <c r="T285" s="376"/>
      <c r="U285" s="376"/>
      <c r="V285" s="376"/>
      <c r="W285" s="376"/>
      <c r="X285" s="376"/>
      <c r="Y285" s="377"/>
    </row>
    <row r="286" spans="1:25" ht="15.75">
      <c r="A286" s="389"/>
      <c r="B286" s="390"/>
      <c r="C286" s="373"/>
      <c r="D286" s="373"/>
      <c r="E286" s="373"/>
      <c r="F286" s="373"/>
      <c r="G286" s="373"/>
      <c r="H286" s="373"/>
      <c r="I286" s="373"/>
      <c r="J286" s="373"/>
      <c r="K286" s="373"/>
      <c r="L286" s="364"/>
      <c r="M286" s="386"/>
      <c r="N286" s="387"/>
      <c r="O286" s="387"/>
      <c r="P286" s="373"/>
      <c r="Q286" s="180"/>
      <c r="R286" s="373"/>
      <c r="S286" s="373"/>
      <c r="T286" s="376"/>
      <c r="U286" s="376"/>
      <c r="V286" s="376"/>
      <c r="W286" s="376"/>
      <c r="X286" s="376"/>
      <c r="Y286" s="377"/>
    </row>
    <row r="287" spans="1:25" ht="15.75">
      <c r="A287" s="389"/>
      <c r="B287" s="390"/>
      <c r="C287" s="373"/>
      <c r="D287" s="373"/>
      <c r="E287" s="373"/>
      <c r="F287" s="373"/>
      <c r="G287" s="373"/>
      <c r="H287" s="373"/>
      <c r="I287" s="373"/>
      <c r="J287" s="373"/>
      <c r="K287" s="373"/>
      <c r="L287" s="364"/>
      <c r="M287" s="386"/>
      <c r="N287" s="387"/>
      <c r="O287" s="387"/>
      <c r="P287" s="373"/>
      <c r="Q287" s="180"/>
      <c r="R287" s="373"/>
      <c r="S287" s="373"/>
      <c r="T287" s="376"/>
      <c r="U287" s="376"/>
      <c r="V287" s="376"/>
      <c r="W287" s="376"/>
      <c r="X287" s="376"/>
      <c r="Y287" s="377"/>
    </row>
    <row r="288" spans="1:25" ht="15.75">
      <c r="A288" s="389"/>
      <c r="B288" s="390"/>
      <c r="C288" s="373"/>
      <c r="D288" s="373"/>
      <c r="E288" s="373"/>
      <c r="F288" s="373"/>
      <c r="G288" s="373"/>
      <c r="H288" s="373"/>
      <c r="I288" s="373"/>
      <c r="J288" s="373"/>
      <c r="K288" s="373"/>
      <c r="L288" s="364"/>
      <c r="M288" s="386"/>
      <c r="N288" s="387"/>
      <c r="O288" s="387"/>
      <c r="P288" s="373"/>
      <c r="Q288" s="180"/>
      <c r="R288" s="373"/>
      <c r="S288" s="373"/>
      <c r="T288" s="376"/>
      <c r="U288" s="376"/>
      <c r="V288" s="376"/>
      <c r="W288" s="376"/>
      <c r="X288" s="376"/>
      <c r="Y288" s="377"/>
    </row>
    <row r="289" spans="1:25" ht="15.75">
      <c r="A289" s="389"/>
      <c r="B289" s="390"/>
      <c r="C289" s="373"/>
      <c r="D289" s="373"/>
      <c r="E289" s="373"/>
      <c r="F289" s="373"/>
      <c r="G289" s="373"/>
      <c r="H289" s="373"/>
      <c r="I289" s="373"/>
      <c r="J289" s="373"/>
      <c r="K289" s="373"/>
      <c r="L289" s="364"/>
      <c r="M289" s="386"/>
      <c r="N289" s="387"/>
      <c r="O289" s="387"/>
      <c r="P289" s="373"/>
      <c r="Q289" s="180"/>
      <c r="R289" s="373"/>
      <c r="S289" s="373"/>
      <c r="T289" s="376"/>
      <c r="U289" s="376"/>
      <c r="V289" s="376"/>
      <c r="W289" s="376"/>
      <c r="X289" s="376"/>
      <c r="Y289" s="377"/>
    </row>
    <row r="290" spans="1:25" ht="15.75">
      <c r="A290" s="389"/>
      <c r="B290" s="390"/>
      <c r="C290" s="373"/>
      <c r="D290" s="373"/>
      <c r="E290" s="373"/>
      <c r="F290" s="373"/>
      <c r="G290" s="373"/>
      <c r="H290" s="373"/>
      <c r="I290" s="373"/>
      <c r="J290" s="373"/>
      <c r="K290" s="373"/>
      <c r="L290" s="364"/>
      <c r="M290" s="386"/>
      <c r="N290" s="387"/>
      <c r="O290" s="387"/>
      <c r="P290" s="373"/>
      <c r="Q290" s="180"/>
      <c r="R290" s="373"/>
      <c r="S290" s="373"/>
      <c r="T290" s="376"/>
      <c r="U290" s="376"/>
      <c r="V290" s="376"/>
      <c r="W290" s="376"/>
      <c r="X290" s="376"/>
      <c r="Y290" s="377"/>
    </row>
    <row r="291" spans="1:25" ht="15.75">
      <c r="A291" s="389"/>
      <c r="B291" s="390"/>
      <c r="C291" s="373"/>
      <c r="D291" s="373"/>
      <c r="E291" s="373"/>
      <c r="F291" s="373"/>
      <c r="G291" s="373"/>
      <c r="H291" s="373"/>
      <c r="I291" s="373"/>
      <c r="J291" s="373"/>
      <c r="K291" s="373"/>
      <c r="L291" s="364"/>
      <c r="M291" s="386"/>
      <c r="N291" s="387"/>
      <c r="O291" s="387"/>
      <c r="P291" s="373"/>
      <c r="Q291" s="180"/>
      <c r="R291" s="373"/>
      <c r="S291" s="373"/>
      <c r="T291" s="376"/>
      <c r="U291" s="376"/>
      <c r="V291" s="376"/>
      <c r="W291" s="376"/>
      <c r="X291" s="376"/>
      <c r="Y291" s="377"/>
    </row>
    <row r="292" spans="1:25" ht="15.75">
      <c r="A292" s="389"/>
      <c r="B292" s="390"/>
      <c r="C292" s="373"/>
      <c r="D292" s="373"/>
      <c r="E292" s="373"/>
      <c r="F292" s="373"/>
      <c r="G292" s="373"/>
      <c r="H292" s="373"/>
      <c r="I292" s="373"/>
      <c r="J292" s="373"/>
      <c r="K292" s="373"/>
      <c r="L292" s="364"/>
      <c r="M292" s="386"/>
      <c r="N292" s="387"/>
      <c r="O292" s="387"/>
      <c r="P292" s="373"/>
      <c r="Q292" s="180"/>
      <c r="R292" s="373"/>
      <c r="S292" s="373"/>
      <c r="T292" s="376"/>
      <c r="U292" s="376"/>
      <c r="V292" s="376"/>
      <c r="W292" s="376"/>
      <c r="X292" s="376"/>
      <c r="Y292" s="377"/>
    </row>
    <row r="293" spans="1:25" ht="15.75">
      <c r="A293" s="389"/>
      <c r="B293" s="390"/>
      <c r="C293" s="373"/>
      <c r="D293" s="373"/>
      <c r="E293" s="373"/>
      <c r="F293" s="373"/>
      <c r="G293" s="373"/>
      <c r="H293" s="373"/>
      <c r="I293" s="373"/>
      <c r="J293" s="373"/>
      <c r="K293" s="373"/>
      <c r="L293" s="364"/>
      <c r="M293" s="386"/>
      <c r="N293" s="387"/>
      <c r="O293" s="387"/>
      <c r="P293" s="373"/>
      <c r="Q293" s="180"/>
      <c r="R293" s="373"/>
      <c r="S293" s="373"/>
      <c r="T293" s="376"/>
      <c r="U293" s="376"/>
      <c r="V293" s="376"/>
      <c r="W293" s="376"/>
      <c r="X293" s="376"/>
      <c r="Y293" s="377"/>
    </row>
    <row r="294" spans="1:25" ht="15.75">
      <c r="A294" s="389"/>
      <c r="B294" s="390"/>
      <c r="C294" s="373"/>
      <c r="D294" s="373"/>
      <c r="E294" s="373"/>
      <c r="F294" s="373"/>
      <c r="G294" s="373"/>
      <c r="H294" s="373"/>
      <c r="I294" s="373"/>
      <c r="J294" s="373"/>
      <c r="K294" s="373"/>
      <c r="L294" s="364"/>
      <c r="M294" s="386"/>
      <c r="N294" s="387"/>
      <c r="O294" s="387"/>
      <c r="P294" s="373"/>
      <c r="Q294" s="180"/>
      <c r="R294" s="373"/>
      <c r="S294" s="373"/>
      <c r="T294" s="376"/>
      <c r="U294" s="376"/>
      <c r="V294" s="376"/>
      <c r="W294" s="376"/>
      <c r="X294" s="376"/>
      <c r="Y294" s="377"/>
    </row>
    <row r="295" spans="1:25" ht="15.75">
      <c r="A295" s="389"/>
      <c r="B295" s="390"/>
      <c r="C295" s="373"/>
      <c r="D295" s="373"/>
      <c r="E295" s="373"/>
      <c r="F295" s="373"/>
      <c r="G295" s="373"/>
      <c r="H295" s="373"/>
      <c r="I295" s="373"/>
      <c r="J295" s="373"/>
      <c r="K295" s="373"/>
      <c r="L295" s="364"/>
      <c r="M295" s="386"/>
      <c r="N295" s="387"/>
      <c r="O295" s="387"/>
      <c r="P295" s="373"/>
      <c r="Q295" s="180"/>
      <c r="R295" s="373"/>
      <c r="S295" s="373"/>
      <c r="T295" s="376"/>
      <c r="U295" s="376"/>
      <c r="V295" s="376"/>
      <c r="W295" s="376"/>
      <c r="X295" s="376"/>
      <c r="Y295" s="377"/>
    </row>
    <row r="296" spans="1:25" ht="15.75">
      <c r="A296" s="389"/>
      <c r="B296" s="390"/>
      <c r="C296" s="373"/>
      <c r="D296" s="373"/>
      <c r="E296" s="373"/>
      <c r="F296" s="373"/>
      <c r="G296" s="373"/>
      <c r="H296" s="373"/>
      <c r="I296" s="373"/>
      <c r="J296" s="373"/>
      <c r="K296" s="373"/>
      <c r="L296" s="364"/>
      <c r="M296" s="386"/>
      <c r="N296" s="387"/>
      <c r="O296" s="387"/>
      <c r="P296" s="373"/>
      <c r="Q296" s="180"/>
      <c r="R296" s="373"/>
      <c r="S296" s="373"/>
      <c r="T296" s="376"/>
      <c r="U296" s="376"/>
      <c r="V296" s="376"/>
      <c r="W296" s="376"/>
      <c r="X296" s="376"/>
      <c r="Y296" s="377"/>
    </row>
    <row r="297" spans="1:25" ht="15.75">
      <c r="A297" s="389"/>
      <c r="B297" s="390"/>
      <c r="C297" s="373"/>
      <c r="D297" s="373"/>
      <c r="E297" s="373"/>
      <c r="F297" s="373"/>
      <c r="G297" s="373"/>
      <c r="H297" s="373"/>
      <c r="I297" s="373"/>
      <c r="J297" s="373"/>
      <c r="K297" s="373"/>
      <c r="L297" s="364"/>
      <c r="M297" s="386"/>
      <c r="N297" s="387"/>
      <c r="O297" s="387"/>
      <c r="P297" s="373"/>
      <c r="Q297" s="180"/>
      <c r="R297" s="373"/>
      <c r="S297" s="373"/>
      <c r="T297" s="376"/>
      <c r="U297" s="376"/>
      <c r="V297" s="376"/>
      <c r="W297" s="376"/>
      <c r="X297" s="376"/>
      <c r="Y297" s="377"/>
    </row>
    <row r="298" spans="1:25" ht="15.75">
      <c r="A298" s="389"/>
      <c r="B298" s="390"/>
      <c r="C298" s="373"/>
      <c r="D298" s="373"/>
      <c r="E298" s="373"/>
      <c r="F298" s="373"/>
      <c r="G298" s="373"/>
      <c r="H298" s="373"/>
      <c r="I298" s="373"/>
      <c r="J298" s="373"/>
      <c r="K298" s="373"/>
      <c r="L298" s="364"/>
      <c r="M298" s="386"/>
      <c r="N298" s="387"/>
      <c r="O298" s="387"/>
      <c r="P298" s="373"/>
      <c r="Q298" s="180"/>
      <c r="R298" s="373"/>
      <c r="S298" s="373"/>
      <c r="T298" s="376"/>
      <c r="U298" s="376"/>
      <c r="V298" s="376"/>
      <c r="W298" s="376"/>
      <c r="X298" s="376"/>
      <c r="Y298" s="377"/>
    </row>
    <row r="299" spans="1:25" ht="15.75">
      <c r="A299" s="389"/>
      <c r="B299" s="390"/>
      <c r="C299" s="373"/>
      <c r="D299" s="373"/>
      <c r="E299" s="373"/>
      <c r="F299" s="373"/>
      <c r="G299" s="373"/>
      <c r="H299" s="373"/>
      <c r="I299" s="373"/>
      <c r="J299" s="373"/>
      <c r="K299" s="373"/>
      <c r="L299" s="364"/>
      <c r="M299" s="386"/>
      <c r="N299" s="387"/>
      <c r="O299" s="387"/>
      <c r="P299" s="373"/>
      <c r="Q299" s="180"/>
      <c r="R299" s="373"/>
      <c r="S299" s="373"/>
      <c r="T299" s="376"/>
      <c r="U299" s="376"/>
      <c r="V299" s="376"/>
      <c r="W299" s="376"/>
      <c r="X299" s="376"/>
      <c r="Y299" s="377"/>
    </row>
    <row r="300" spans="1:25" ht="15.75">
      <c r="A300" s="180"/>
      <c r="B300" s="392"/>
      <c r="C300" s="180"/>
      <c r="D300" s="180"/>
      <c r="E300" s="180"/>
      <c r="F300" s="180"/>
      <c r="G300" s="180"/>
      <c r="H300" s="180"/>
      <c r="I300" s="180"/>
      <c r="J300" s="180"/>
      <c r="K300" s="180"/>
      <c r="L300" s="364"/>
      <c r="M300" s="386"/>
      <c r="N300" s="387"/>
      <c r="O300" s="387"/>
      <c r="P300" s="180"/>
      <c r="Q300" s="180"/>
      <c r="R300" s="180"/>
      <c r="S300" s="180"/>
      <c r="T300" s="376"/>
      <c r="U300" s="376"/>
      <c r="V300" s="376"/>
      <c r="W300" s="376"/>
      <c r="X300" s="376"/>
      <c r="Y300" s="377"/>
    </row>
    <row r="301" spans="1:25" ht="15.75">
      <c r="A301" s="180"/>
      <c r="B301" s="385"/>
      <c r="C301" s="180"/>
      <c r="D301" s="180"/>
      <c r="E301" s="180"/>
      <c r="F301" s="180"/>
      <c r="G301" s="180"/>
      <c r="H301" s="180"/>
      <c r="I301" s="180"/>
      <c r="J301" s="180"/>
      <c r="K301" s="180"/>
      <c r="L301" s="364"/>
      <c r="M301" s="386"/>
      <c r="N301" s="387"/>
      <c r="O301" s="387"/>
      <c r="P301" s="180"/>
      <c r="Q301" s="180"/>
      <c r="R301" s="180"/>
      <c r="S301" s="184"/>
      <c r="T301" s="376"/>
      <c r="U301" s="376"/>
      <c r="V301" s="376"/>
      <c r="W301" s="376"/>
      <c r="X301" s="376"/>
      <c r="Y301" s="377"/>
    </row>
    <row r="302" spans="1:25" ht="15.75">
      <c r="A302" s="180"/>
      <c r="B302" s="385"/>
      <c r="C302" s="180"/>
      <c r="D302" s="180"/>
      <c r="E302" s="180"/>
      <c r="F302" s="180"/>
      <c r="G302" s="180"/>
      <c r="H302" s="180"/>
      <c r="I302" s="180"/>
      <c r="J302" s="180"/>
      <c r="K302" s="180"/>
      <c r="L302" s="364"/>
      <c r="M302" s="386"/>
      <c r="N302" s="387"/>
      <c r="O302" s="387"/>
      <c r="P302" s="180"/>
      <c r="Q302" s="180"/>
      <c r="R302" s="180"/>
      <c r="S302" s="184"/>
      <c r="T302" s="376"/>
      <c r="U302" s="376"/>
      <c r="V302" s="376"/>
      <c r="W302" s="376"/>
      <c r="X302" s="376"/>
      <c r="Y302" s="377"/>
    </row>
    <row r="303" spans="1:25" ht="15.75">
      <c r="A303" s="180"/>
      <c r="B303" s="385"/>
      <c r="C303" s="180"/>
      <c r="D303" s="180"/>
      <c r="E303" s="180"/>
      <c r="F303" s="180"/>
      <c r="G303" s="180"/>
      <c r="H303" s="180"/>
      <c r="I303" s="180"/>
      <c r="J303" s="180"/>
      <c r="K303" s="180"/>
      <c r="L303" s="364"/>
      <c r="M303" s="386"/>
      <c r="N303" s="387"/>
      <c r="O303" s="387"/>
      <c r="P303" s="180"/>
      <c r="Q303" s="180"/>
      <c r="R303" s="180"/>
      <c r="S303" s="184"/>
      <c r="T303" s="376"/>
      <c r="U303" s="376"/>
      <c r="V303" s="376"/>
      <c r="W303" s="376"/>
      <c r="X303" s="376"/>
      <c r="Y303" s="377"/>
    </row>
    <row r="304" spans="1:25" ht="15.75">
      <c r="A304" s="180"/>
      <c r="B304" s="385"/>
      <c r="C304" s="180"/>
      <c r="D304" s="180"/>
      <c r="E304" s="180"/>
      <c r="F304" s="180"/>
      <c r="G304" s="180"/>
      <c r="H304" s="180"/>
      <c r="I304" s="180"/>
      <c r="J304" s="180"/>
      <c r="K304" s="180"/>
      <c r="L304" s="364"/>
      <c r="M304" s="386"/>
      <c r="N304" s="387"/>
      <c r="O304" s="387"/>
      <c r="P304" s="180"/>
      <c r="Q304" s="180"/>
      <c r="R304" s="180"/>
      <c r="S304" s="184"/>
      <c r="T304" s="376"/>
      <c r="U304" s="376"/>
      <c r="V304" s="376"/>
      <c r="W304" s="376"/>
      <c r="X304" s="376"/>
      <c r="Y304" s="377"/>
    </row>
    <row r="305" spans="1:25" ht="15.75">
      <c r="A305" s="180"/>
      <c r="B305" s="385"/>
      <c r="C305" s="180"/>
      <c r="D305" s="180"/>
      <c r="E305" s="180"/>
      <c r="F305" s="180"/>
      <c r="G305" s="180"/>
      <c r="H305" s="180"/>
      <c r="I305" s="180"/>
      <c r="J305" s="180"/>
      <c r="K305" s="180"/>
      <c r="L305" s="364"/>
      <c r="M305" s="386"/>
      <c r="N305" s="387"/>
      <c r="O305" s="387"/>
      <c r="P305" s="180"/>
      <c r="Q305" s="180"/>
      <c r="R305" s="180"/>
      <c r="S305" s="184"/>
      <c r="T305" s="376"/>
      <c r="U305" s="376"/>
      <c r="V305" s="376"/>
      <c r="W305" s="376"/>
      <c r="X305" s="376"/>
      <c r="Y305" s="377"/>
    </row>
    <row r="306" spans="1:25" ht="15.75">
      <c r="A306" s="180"/>
      <c r="B306" s="385"/>
      <c r="C306" s="180"/>
      <c r="D306" s="180"/>
      <c r="E306" s="180"/>
      <c r="F306" s="180"/>
      <c r="G306" s="180"/>
      <c r="H306" s="180"/>
      <c r="I306" s="180"/>
      <c r="J306" s="180"/>
      <c r="K306" s="180"/>
      <c r="L306" s="364"/>
      <c r="M306" s="386"/>
      <c r="N306" s="387"/>
      <c r="O306" s="387"/>
      <c r="P306" s="180"/>
      <c r="Q306" s="180"/>
      <c r="R306" s="180"/>
      <c r="S306" s="184"/>
      <c r="T306" s="376"/>
      <c r="U306" s="376"/>
      <c r="V306" s="376"/>
      <c r="W306" s="376"/>
      <c r="X306" s="376"/>
      <c r="Y306" s="377"/>
    </row>
    <row r="307" spans="1:25" ht="15.75">
      <c r="A307" s="180"/>
      <c r="B307" s="385"/>
      <c r="C307" s="180"/>
      <c r="D307" s="180"/>
      <c r="E307" s="180"/>
      <c r="F307" s="180"/>
      <c r="G307" s="180"/>
      <c r="H307" s="180"/>
      <c r="I307" s="180"/>
      <c r="J307" s="180"/>
      <c r="K307" s="180"/>
      <c r="L307" s="364"/>
      <c r="M307" s="386"/>
      <c r="N307" s="387"/>
      <c r="O307" s="387"/>
      <c r="P307" s="180"/>
      <c r="Q307" s="180"/>
      <c r="R307" s="180"/>
      <c r="S307" s="184"/>
      <c r="T307" s="376"/>
      <c r="U307" s="376"/>
      <c r="V307" s="376"/>
      <c r="W307" s="376"/>
      <c r="X307" s="376"/>
      <c r="Y307" s="377"/>
    </row>
    <row r="308" spans="1:25" ht="15.75">
      <c r="A308" s="180"/>
      <c r="B308" s="385"/>
      <c r="C308" s="180"/>
      <c r="D308" s="180"/>
      <c r="E308" s="180"/>
      <c r="F308" s="180"/>
      <c r="G308" s="180"/>
      <c r="H308" s="180"/>
      <c r="I308" s="180"/>
      <c r="J308" s="180"/>
      <c r="K308" s="180"/>
      <c r="L308" s="364"/>
      <c r="M308" s="386"/>
      <c r="N308" s="387"/>
      <c r="O308" s="387"/>
      <c r="P308" s="180"/>
      <c r="Q308" s="180"/>
      <c r="R308" s="180"/>
      <c r="S308" s="184"/>
      <c r="T308" s="376"/>
      <c r="U308" s="376"/>
      <c r="V308" s="376"/>
      <c r="W308" s="376"/>
      <c r="X308" s="376"/>
      <c r="Y308" s="377"/>
    </row>
    <row r="309" spans="1:25" ht="15.75">
      <c r="A309" s="180"/>
      <c r="B309" s="385"/>
      <c r="C309" s="180"/>
      <c r="D309" s="180"/>
      <c r="E309" s="180"/>
      <c r="F309" s="180"/>
      <c r="G309" s="180"/>
      <c r="H309" s="180"/>
      <c r="I309" s="180"/>
      <c r="J309" s="180"/>
      <c r="K309" s="180"/>
      <c r="L309" s="364"/>
      <c r="M309" s="386"/>
      <c r="N309" s="387"/>
      <c r="O309" s="387"/>
      <c r="P309" s="180"/>
      <c r="Q309" s="180"/>
      <c r="R309" s="180"/>
      <c r="S309" s="184"/>
      <c r="T309" s="376"/>
      <c r="U309" s="376"/>
      <c r="V309" s="376"/>
      <c r="W309" s="376"/>
      <c r="X309" s="376"/>
      <c r="Y309" s="377"/>
    </row>
    <row r="310" spans="1:25" ht="15.75">
      <c r="A310" s="180"/>
      <c r="B310" s="385"/>
      <c r="C310" s="180"/>
      <c r="D310" s="180"/>
      <c r="E310" s="180"/>
      <c r="F310" s="180"/>
      <c r="G310" s="180"/>
      <c r="H310" s="180"/>
      <c r="I310" s="180"/>
      <c r="J310" s="180"/>
      <c r="K310" s="180"/>
      <c r="L310" s="364"/>
      <c r="M310" s="386"/>
      <c r="N310" s="387"/>
      <c r="O310" s="387"/>
      <c r="P310" s="180"/>
      <c r="Q310" s="180"/>
      <c r="R310" s="180"/>
      <c r="S310" s="184"/>
      <c r="T310" s="376"/>
      <c r="U310" s="376"/>
      <c r="V310" s="376"/>
      <c r="W310" s="376"/>
      <c r="X310" s="376"/>
      <c r="Y310" s="377"/>
    </row>
    <row r="311" spans="1:25" ht="15.75">
      <c r="A311" s="180"/>
      <c r="B311" s="385"/>
      <c r="C311" s="180"/>
      <c r="D311" s="180"/>
      <c r="E311" s="180"/>
      <c r="F311" s="180"/>
      <c r="G311" s="180"/>
      <c r="H311" s="180"/>
      <c r="I311" s="180"/>
      <c r="J311" s="180"/>
      <c r="K311" s="180"/>
      <c r="L311" s="364"/>
      <c r="M311" s="386"/>
      <c r="N311" s="387"/>
      <c r="O311" s="387"/>
      <c r="P311" s="180"/>
      <c r="Q311" s="180"/>
      <c r="R311" s="180"/>
      <c r="S311" s="184"/>
      <c r="T311" s="376"/>
      <c r="U311" s="376"/>
      <c r="V311" s="376"/>
      <c r="W311" s="376"/>
      <c r="X311" s="376"/>
      <c r="Y311" s="377"/>
    </row>
    <row r="312" spans="1:25" ht="15.75">
      <c r="A312" s="180"/>
      <c r="B312" s="385"/>
      <c r="C312" s="180"/>
      <c r="D312" s="180"/>
      <c r="E312" s="180"/>
      <c r="F312" s="180"/>
      <c r="G312" s="180"/>
      <c r="H312" s="180"/>
      <c r="I312" s="180"/>
      <c r="J312" s="180"/>
      <c r="K312" s="180"/>
      <c r="L312" s="364"/>
      <c r="M312" s="386"/>
      <c r="N312" s="387"/>
      <c r="O312" s="387"/>
      <c r="P312" s="180"/>
      <c r="Q312" s="180"/>
      <c r="R312" s="180"/>
      <c r="S312" s="184"/>
      <c r="T312" s="376"/>
      <c r="U312" s="376"/>
      <c r="V312" s="376"/>
      <c r="W312" s="376"/>
      <c r="X312" s="376"/>
      <c r="Y312" s="377"/>
    </row>
    <row r="313" spans="1:25" ht="15.75">
      <c r="A313" s="180"/>
      <c r="B313" s="385"/>
      <c r="C313" s="180"/>
      <c r="D313" s="180"/>
      <c r="E313" s="180"/>
      <c r="F313" s="180"/>
      <c r="G313" s="180"/>
      <c r="H313" s="180"/>
      <c r="I313" s="180"/>
      <c r="J313" s="180"/>
      <c r="K313" s="180"/>
      <c r="L313" s="364"/>
      <c r="M313" s="386"/>
      <c r="N313" s="387"/>
      <c r="O313" s="387"/>
      <c r="P313" s="180"/>
      <c r="Q313" s="180"/>
      <c r="R313" s="180"/>
      <c r="S313" s="184"/>
      <c r="T313" s="376"/>
      <c r="U313" s="376"/>
      <c r="V313" s="376"/>
      <c r="W313" s="376"/>
      <c r="X313" s="376"/>
      <c r="Y313" s="377"/>
    </row>
    <row r="314" spans="1:25" ht="15.75">
      <c r="A314" s="180"/>
      <c r="B314" s="385"/>
      <c r="C314" s="180"/>
      <c r="D314" s="180"/>
      <c r="E314" s="180"/>
      <c r="F314" s="180"/>
      <c r="G314" s="180"/>
      <c r="H314" s="180"/>
      <c r="I314" s="180"/>
      <c r="J314" s="180"/>
      <c r="K314" s="180"/>
      <c r="L314" s="364"/>
      <c r="M314" s="386"/>
      <c r="N314" s="387"/>
      <c r="O314" s="387"/>
      <c r="P314" s="180"/>
      <c r="Q314" s="180"/>
      <c r="R314" s="180"/>
      <c r="S314" s="184"/>
      <c r="T314" s="376"/>
      <c r="U314" s="376"/>
      <c r="V314" s="376"/>
      <c r="W314" s="376"/>
      <c r="X314" s="376"/>
      <c r="Y314" s="377"/>
    </row>
    <row r="315" spans="1:25" ht="15.75">
      <c r="A315" s="180"/>
      <c r="B315" s="385"/>
      <c r="C315" s="180"/>
      <c r="D315" s="180"/>
      <c r="E315" s="180"/>
      <c r="F315" s="180"/>
      <c r="G315" s="180"/>
      <c r="H315" s="180"/>
      <c r="I315" s="180"/>
      <c r="J315" s="180"/>
      <c r="K315" s="180"/>
      <c r="L315" s="364"/>
      <c r="M315" s="386"/>
      <c r="N315" s="387"/>
      <c r="O315" s="387"/>
      <c r="P315" s="180"/>
      <c r="Q315" s="180"/>
      <c r="R315" s="180"/>
      <c r="S315" s="184"/>
      <c r="T315" s="376"/>
      <c r="U315" s="376"/>
      <c r="V315" s="376"/>
      <c r="W315" s="376"/>
      <c r="X315" s="376"/>
      <c r="Y315" s="377"/>
    </row>
    <row r="316" spans="1:25" ht="15.75">
      <c r="A316" s="393"/>
      <c r="B316" s="52"/>
      <c r="C316" s="394"/>
      <c r="D316" s="394"/>
      <c r="E316" s="394"/>
      <c r="F316" s="394"/>
      <c r="G316" s="394"/>
      <c r="H316" s="394"/>
      <c r="I316" s="394"/>
      <c r="J316" s="394"/>
      <c r="K316" s="394"/>
      <c r="L316" s="394"/>
      <c r="M316" s="395"/>
      <c r="N316" s="396"/>
      <c r="O316" s="396"/>
      <c r="P316" s="394"/>
      <c r="Q316" s="394"/>
      <c r="R316" s="394"/>
      <c r="S316" s="376"/>
      <c r="T316" s="376"/>
      <c r="U316" s="376"/>
      <c r="V316" s="376"/>
      <c r="W316" s="376"/>
      <c r="X316" s="376"/>
      <c r="Y316" s="377"/>
    </row>
    <row r="317" spans="1:25" ht="15.75">
      <c r="A317" s="393"/>
      <c r="B317" s="52"/>
      <c r="C317" s="394"/>
      <c r="D317" s="394"/>
      <c r="E317" s="394"/>
      <c r="F317" s="394"/>
      <c r="G317" s="394"/>
      <c r="H317" s="394"/>
      <c r="I317" s="394"/>
      <c r="J317" s="394"/>
      <c r="K317" s="394"/>
      <c r="L317" s="394"/>
      <c r="M317" s="395"/>
      <c r="N317" s="396"/>
      <c r="O317" s="396"/>
      <c r="P317" s="394"/>
      <c r="Q317" s="394"/>
      <c r="R317" s="394"/>
      <c r="S317" s="376"/>
      <c r="T317" s="376"/>
      <c r="U317" s="376"/>
      <c r="V317" s="376"/>
      <c r="W317" s="376"/>
      <c r="X317" s="376"/>
      <c r="Y317" s="377"/>
    </row>
    <row r="318" spans="1:25" ht="15.75">
      <c r="A318" s="393"/>
      <c r="B318" s="52"/>
      <c r="C318" s="394"/>
      <c r="D318" s="394"/>
      <c r="E318" s="394"/>
      <c r="F318" s="394"/>
      <c r="G318" s="394"/>
      <c r="H318" s="394"/>
      <c r="I318" s="394"/>
      <c r="J318" s="394"/>
      <c r="K318" s="394"/>
      <c r="L318" s="394"/>
      <c r="M318" s="395"/>
      <c r="N318" s="396"/>
      <c r="O318" s="396"/>
      <c r="P318" s="394"/>
      <c r="Q318" s="394"/>
      <c r="R318" s="394"/>
      <c r="S318" s="376"/>
      <c r="T318" s="376"/>
      <c r="U318" s="376"/>
      <c r="V318" s="376"/>
      <c r="W318" s="376"/>
      <c r="X318" s="376"/>
      <c r="Y318" s="377"/>
    </row>
    <row r="319" spans="1:25" ht="15.75">
      <c r="A319" s="393"/>
      <c r="B319" s="52"/>
      <c r="C319" s="394"/>
      <c r="D319" s="394"/>
      <c r="E319" s="394"/>
      <c r="F319" s="394"/>
      <c r="G319" s="394"/>
      <c r="H319" s="394"/>
      <c r="I319" s="394"/>
      <c r="J319" s="394"/>
      <c r="K319" s="394"/>
      <c r="L319" s="394"/>
      <c r="M319" s="395"/>
      <c r="N319" s="396"/>
      <c r="O319" s="396"/>
      <c r="P319" s="394"/>
      <c r="Q319" s="394"/>
      <c r="R319" s="394"/>
      <c r="S319" s="376"/>
      <c r="T319" s="376"/>
      <c r="U319" s="376"/>
      <c r="V319" s="376"/>
      <c r="W319" s="376"/>
      <c r="X319" s="376"/>
      <c r="Y319" s="377"/>
    </row>
    <row r="320" spans="1:25" ht="15.75">
      <c r="A320" s="393"/>
      <c r="B320" s="52"/>
      <c r="C320" s="394"/>
      <c r="D320" s="394"/>
      <c r="E320" s="394"/>
      <c r="F320" s="394"/>
      <c r="G320" s="394"/>
      <c r="H320" s="394"/>
      <c r="I320" s="394"/>
      <c r="J320" s="394"/>
      <c r="K320" s="394"/>
      <c r="L320" s="394"/>
      <c r="M320" s="395"/>
      <c r="N320" s="396"/>
      <c r="O320" s="396"/>
      <c r="P320" s="394"/>
      <c r="Q320" s="394"/>
      <c r="R320" s="394"/>
      <c r="S320" s="376"/>
      <c r="T320" s="376"/>
      <c r="U320" s="376"/>
      <c r="V320" s="376"/>
      <c r="W320" s="376"/>
      <c r="X320" s="376"/>
      <c r="Y320" s="377"/>
    </row>
    <row r="321" spans="1:25" ht="15.75">
      <c r="A321" s="393"/>
      <c r="B321" s="52"/>
      <c r="C321" s="394"/>
      <c r="D321" s="394"/>
      <c r="E321" s="394"/>
      <c r="F321" s="394"/>
      <c r="G321" s="394"/>
      <c r="H321" s="394"/>
      <c r="I321" s="394"/>
      <c r="J321" s="394"/>
      <c r="K321" s="394"/>
      <c r="L321" s="394"/>
      <c r="M321" s="395"/>
      <c r="N321" s="396"/>
      <c r="O321" s="396"/>
      <c r="P321" s="394"/>
      <c r="Q321" s="394"/>
      <c r="R321" s="394"/>
      <c r="S321" s="376"/>
      <c r="T321" s="376"/>
      <c r="U321" s="376"/>
      <c r="V321" s="376"/>
      <c r="W321" s="376"/>
      <c r="X321" s="376"/>
      <c r="Y321" s="377"/>
    </row>
    <row r="322" spans="1:25" ht="15.75">
      <c r="A322" s="393"/>
      <c r="B322" s="52"/>
      <c r="C322" s="394"/>
      <c r="D322" s="394"/>
      <c r="E322" s="394"/>
      <c r="F322" s="394"/>
      <c r="G322" s="394"/>
      <c r="H322" s="394"/>
      <c r="I322" s="394"/>
      <c r="J322" s="394"/>
      <c r="K322" s="394"/>
      <c r="L322" s="394"/>
      <c r="M322" s="395"/>
      <c r="N322" s="396"/>
      <c r="O322" s="396"/>
      <c r="P322" s="394"/>
      <c r="Q322" s="394"/>
      <c r="R322" s="394"/>
      <c r="S322" s="376"/>
      <c r="T322" s="376"/>
      <c r="U322" s="376"/>
      <c r="V322" s="376"/>
      <c r="W322" s="376"/>
      <c r="X322" s="376"/>
      <c r="Y322" s="377"/>
    </row>
    <row r="323" spans="1:25" ht="15.75">
      <c r="A323" s="393"/>
      <c r="B323" s="52"/>
      <c r="C323" s="394"/>
      <c r="D323" s="394"/>
      <c r="E323" s="394"/>
      <c r="F323" s="394"/>
      <c r="G323" s="394"/>
      <c r="H323" s="394"/>
      <c r="I323" s="394"/>
      <c r="J323" s="394"/>
      <c r="K323" s="394"/>
      <c r="L323" s="394"/>
      <c r="M323" s="395"/>
      <c r="N323" s="396"/>
      <c r="O323" s="396"/>
      <c r="P323" s="394"/>
      <c r="Q323" s="394"/>
      <c r="R323" s="394"/>
      <c r="S323" s="376"/>
      <c r="T323" s="376"/>
      <c r="U323" s="376"/>
      <c r="V323" s="376"/>
      <c r="W323" s="376"/>
      <c r="X323" s="376"/>
      <c r="Y323" s="377"/>
    </row>
    <row r="324" spans="1:25" ht="15.75">
      <c r="A324" s="393"/>
      <c r="B324" s="52"/>
      <c r="C324" s="394"/>
      <c r="D324" s="394"/>
      <c r="E324" s="394"/>
      <c r="F324" s="394"/>
      <c r="G324" s="394"/>
      <c r="H324" s="394"/>
      <c r="I324" s="394"/>
      <c r="J324" s="394"/>
      <c r="K324" s="394"/>
      <c r="L324" s="394"/>
      <c r="M324" s="395"/>
      <c r="N324" s="396"/>
      <c r="O324" s="396"/>
      <c r="P324" s="394"/>
      <c r="Q324" s="394"/>
      <c r="R324" s="394"/>
      <c r="S324" s="376"/>
      <c r="T324" s="376"/>
      <c r="U324" s="376"/>
      <c r="V324" s="376"/>
      <c r="W324" s="376"/>
      <c r="X324" s="376"/>
      <c r="Y324" s="377"/>
    </row>
    <row r="325" spans="1:25" ht="15.75">
      <c r="A325" s="393"/>
      <c r="B325" s="52"/>
      <c r="C325" s="394"/>
      <c r="D325" s="394"/>
      <c r="E325" s="394"/>
      <c r="F325" s="394"/>
      <c r="G325" s="394"/>
      <c r="H325" s="394"/>
      <c r="I325" s="394"/>
      <c r="J325" s="394"/>
      <c r="K325" s="394"/>
      <c r="L325" s="394"/>
      <c r="M325" s="395"/>
      <c r="N325" s="396"/>
      <c r="O325" s="396"/>
      <c r="P325" s="394"/>
      <c r="Q325" s="394"/>
      <c r="R325" s="394"/>
      <c r="S325" s="376"/>
      <c r="T325" s="376"/>
      <c r="U325" s="376"/>
      <c r="V325" s="376"/>
      <c r="W325" s="376"/>
      <c r="X325" s="376"/>
      <c r="Y325" s="377"/>
    </row>
    <row r="326" spans="1:25" ht="15.75">
      <c r="A326" s="393"/>
      <c r="B326" s="52"/>
      <c r="C326" s="394"/>
      <c r="D326" s="394"/>
      <c r="E326" s="394"/>
      <c r="F326" s="394"/>
      <c r="G326" s="394"/>
      <c r="H326" s="394"/>
      <c r="I326" s="394"/>
      <c r="J326" s="394"/>
      <c r="K326" s="394"/>
      <c r="L326" s="394"/>
      <c r="M326" s="395"/>
      <c r="N326" s="396"/>
      <c r="O326" s="396"/>
      <c r="P326" s="394"/>
      <c r="Q326" s="394"/>
      <c r="R326" s="394"/>
      <c r="S326" s="376"/>
      <c r="T326" s="376"/>
      <c r="U326" s="376"/>
      <c r="V326" s="376"/>
      <c r="W326" s="376"/>
      <c r="X326" s="376"/>
      <c r="Y326" s="377"/>
    </row>
    <row r="327" spans="1:25" ht="15.75">
      <c r="A327" s="393"/>
      <c r="B327" s="52"/>
      <c r="C327" s="394"/>
      <c r="D327" s="394"/>
      <c r="E327" s="394"/>
      <c r="F327" s="394"/>
      <c r="G327" s="394"/>
      <c r="H327" s="394"/>
      <c r="I327" s="394"/>
      <c r="J327" s="394"/>
      <c r="K327" s="394"/>
      <c r="L327" s="394"/>
      <c r="M327" s="395"/>
      <c r="N327" s="396"/>
      <c r="O327" s="396"/>
      <c r="P327" s="394"/>
      <c r="Q327" s="394"/>
      <c r="R327" s="394"/>
      <c r="S327" s="376"/>
      <c r="T327" s="376"/>
      <c r="U327" s="376"/>
      <c r="V327" s="376"/>
      <c r="W327" s="376"/>
      <c r="X327" s="376"/>
      <c r="Y327" s="377"/>
    </row>
    <row r="328" spans="1:25" ht="15.75">
      <c r="A328" s="393"/>
      <c r="B328" s="52"/>
      <c r="C328" s="394"/>
      <c r="D328" s="394"/>
      <c r="E328" s="394"/>
      <c r="F328" s="394"/>
      <c r="G328" s="394"/>
      <c r="H328" s="394"/>
      <c r="I328" s="394"/>
      <c r="J328" s="394"/>
      <c r="K328" s="394"/>
      <c r="L328" s="394"/>
      <c r="M328" s="395"/>
      <c r="N328" s="396"/>
      <c r="O328" s="396"/>
      <c r="P328" s="394"/>
      <c r="Q328" s="394"/>
      <c r="R328" s="394"/>
      <c r="S328" s="376"/>
      <c r="T328" s="376"/>
      <c r="U328" s="376"/>
      <c r="V328" s="376"/>
      <c r="W328" s="376"/>
      <c r="X328" s="376"/>
      <c r="Y328" s="377"/>
    </row>
    <row r="329" spans="1:25" ht="15.75">
      <c r="A329" s="393"/>
      <c r="B329" s="52"/>
      <c r="C329" s="394"/>
      <c r="D329" s="394"/>
      <c r="E329" s="394"/>
      <c r="F329" s="394"/>
      <c r="G329" s="394"/>
      <c r="H329" s="394"/>
      <c r="I329" s="394"/>
      <c r="J329" s="394"/>
      <c r="K329" s="394"/>
      <c r="L329" s="394"/>
      <c r="M329" s="395"/>
      <c r="N329" s="396"/>
      <c r="O329" s="396"/>
      <c r="P329" s="394"/>
      <c r="Q329" s="394"/>
      <c r="R329" s="394"/>
      <c r="S329" s="376"/>
      <c r="T329" s="376"/>
      <c r="U329" s="376"/>
      <c r="V329" s="376"/>
      <c r="W329" s="376"/>
      <c r="X329" s="376"/>
      <c r="Y329" s="377"/>
    </row>
    <row r="330" spans="1:25" ht="15.75">
      <c r="A330" s="393"/>
      <c r="B330" s="52"/>
      <c r="C330" s="394"/>
      <c r="D330" s="394"/>
      <c r="E330" s="394"/>
      <c r="F330" s="394"/>
      <c r="G330" s="394"/>
      <c r="H330" s="394"/>
      <c r="I330" s="394"/>
      <c r="J330" s="394"/>
      <c r="K330" s="394"/>
      <c r="L330" s="394"/>
      <c r="M330" s="395"/>
      <c r="N330" s="396"/>
      <c r="O330" s="396"/>
      <c r="P330" s="394"/>
      <c r="Q330" s="394"/>
      <c r="R330" s="394"/>
      <c r="S330" s="376"/>
      <c r="T330" s="376"/>
      <c r="U330" s="376"/>
      <c r="V330" s="376"/>
      <c r="W330" s="376"/>
      <c r="X330" s="376"/>
      <c r="Y330" s="377"/>
    </row>
    <row r="331" spans="1:25" ht="15.75">
      <c r="A331" s="393"/>
      <c r="B331" s="52"/>
      <c r="C331" s="394"/>
      <c r="D331" s="394"/>
      <c r="E331" s="394"/>
      <c r="F331" s="394"/>
      <c r="G331" s="394"/>
      <c r="H331" s="394"/>
      <c r="I331" s="394"/>
      <c r="J331" s="394"/>
      <c r="K331" s="394"/>
      <c r="L331" s="394"/>
      <c r="M331" s="395"/>
      <c r="N331" s="396"/>
      <c r="O331" s="396"/>
      <c r="P331" s="394"/>
      <c r="Q331" s="394"/>
      <c r="R331" s="394"/>
      <c r="S331" s="376"/>
      <c r="T331" s="376"/>
      <c r="U331" s="376"/>
      <c r="V331" s="376"/>
      <c r="W331" s="376"/>
      <c r="X331" s="376"/>
      <c r="Y331" s="377"/>
    </row>
    <row r="332" spans="1:25" ht="15.75">
      <c r="A332" s="393"/>
      <c r="B332" s="394"/>
      <c r="C332" s="394"/>
      <c r="D332" s="394"/>
      <c r="E332" s="394"/>
      <c r="F332" s="394"/>
      <c r="G332" s="394"/>
      <c r="H332" s="394"/>
      <c r="I332" s="394"/>
      <c r="J332" s="394"/>
      <c r="K332" s="394"/>
      <c r="L332" s="394"/>
      <c r="M332" s="395"/>
      <c r="N332" s="396"/>
      <c r="O332" s="396"/>
      <c r="P332" s="394"/>
      <c r="Q332" s="394"/>
      <c r="R332" s="394"/>
      <c r="S332" s="376"/>
      <c r="T332" s="376"/>
      <c r="U332" s="376"/>
      <c r="V332" s="376"/>
      <c r="W332" s="376"/>
      <c r="X332" s="376"/>
      <c r="Y332" s="377"/>
    </row>
    <row r="333" spans="1:25" ht="15.75">
      <c r="A333" s="393"/>
      <c r="B333" s="394"/>
      <c r="C333" s="394"/>
      <c r="D333" s="394"/>
      <c r="E333" s="394"/>
      <c r="F333" s="394"/>
      <c r="G333" s="394"/>
      <c r="H333" s="394"/>
      <c r="I333" s="394"/>
      <c r="J333" s="394"/>
      <c r="K333" s="394"/>
      <c r="L333" s="394"/>
      <c r="M333" s="395"/>
      <c r="N333" s="396"/>
      <c r="O333" s="396"/>
      <c r="P333" s="394"/>
      <c r="Q333" s="394"/>
      <c r="R333" s="394"/>
      <c r="S333" s="376"/>
      <c r="T333" s="376"/>
      <c r="U333" s="376"/>
      <c r="V333" s="376"/>
      <c r="W333" s="376"/>
      <c r="X333" s="376"/>
      <c r="Y333" s="377"/>
    </row>
    <row r="334" spans="1:25" ht="15.75">
      <c r="A334" s="393"/>
      <c r="B334" s="394"/>
      <c r="C334" s="394"/>
      <c r="D334" s="394"/>
      <c r="E334" s="394"/>
      <c r="F334" s="394"/>
      <c r="G334" s="394"/>
      <c r="H334" s="394"/>
      <c r="I334" s="394"/>
      <c r="J334" s="394"/>
      <c r="K334" s="394"/>
      <c r="L334" s="394"/>
      <c r="M334" s="395"/>
      <c r="N334" s="396"/>
      <c r="O334" s="396"/>
      <c r="P334" s="394"/>
      <c r="Q334" s="394"/>
      <c r="R334" s="394"/>
      <c r="S334" s="376"/>
      <c r="T334" s="376"/>
      <c r="U334" s="376"/>
      <c r="V334" s="376"/>
      <c r="W334" s="376"/>
      <c r="X334" s="376"/>
      <c r="Y334" s="377"/>
    </row>
    <row r="335" spans="1:25" ht="15.75">
      <c r="A335" s="393"/>
      <c r="B335" s="394"/>
      <c r="C335" s="394"/>
      <c r="D335" s="394"/>
      <c r="E335" s="394"/>
      <c r="F335" s="394"/>
      <c r="G335" s="394"/>
      <c r="H335" s="394"/>
      <c r="I335" s="394"/>
      <c r="J335" s="394"/>
      <c r="K335" s="394"/>
      <c r="L335" s="394"/>
      <c r="M335" s="395"/>
      <c r="N335" s="396"/>
      <c r="O335" s="396"/>
      <c r="P335" s="394"/>
      <c r="Q335" s="394"/>
      <c r="R335" s="394"/>
      <c r="S335" s="376"/>
      <c r="T335" s="376"/>
      <c r="U335" s="376"/>
      <c r="V335" s="376"/>
      <c r="W335" s="376"/>
      <c r="X335" s="376"/>
      <c r="Y335" s="377"/>
    </row>
    <row r="336" spans="1:25" ht="15.75">
      <c r="A336" s="393"/>
      <c r="B336" s="394"/>
      <c r="C336" s="394"/>
      <c r="D336" s="394"/>
      <c r="E336" s="394"/>
      <c r="F336" s="394"/>
      <c r="G336" s="394"/>
      <c r="H336" s="394"/>
      <c r="I336" s="394"/>
      <c r="J336" s="394"/>
      <c r="K336" s="394"/>
      <c r="L336" s="394"/>
      <c r="M336" s="395"/>
      <c r="N336" s="396"/>
      <c r="O336" s="396"/>
      <c r="P336" s="394"/>
      <c r="Q336" s="394"/>
      <c r="R336" s="394"/>
      <c r="S336" s="376"/>
      <c r="T336" s="376"/>
      <c r="U336" s="376"/>
      <c r="V336" s="376"/>
      <c r="W336" s="376"/>
      <c r="X336" s="376"/>
      <c r="Y336" s="377"/>
    </row>
    <row r="337" spans="1:25" ht="15.75">
      <c r="A337" s="393"/>
      <c r="B337" s="394"/>
      <c r="C337" s="394"/>
      <c r="D337" s="394"/>
      <c r="E337" s="394"/>
      <c r="F337" s="394"/>
      <c r="G337" s="394"/>
      <c r="H337" s="394"/>
      <c r="I337" s="394"/>
      <c r="J337" s="394"/>
      <c r="K337" s="394"/>
      <c r="L337" s="394"/>
      <c r="M337" s="395"/>
      <c r="N337" s="396"/>
      <c r="O337" s="396"/>
      <c r="P337" s="394"/>
      <c r="Q337" s="394"/>
      <c r="R337" s="394"/>
      <c r="S337" s="376"/>
      <c r="T337" s="376"/>
      <c r="U337" s="376"/>
      <c r="V337" s="376"/>
      <c r="W337" s="376"/>
      <c r="X337" s="376"/>
      <c r="Y337" s="377"/>
    </row>
    <row r="338" spans="1:25" ht="15.75">
      <c r="A338" s="393"/>
      <c r="B338" s="394"/>
      <c r="C338" s="394"/>
      <c r="D338" s="394"/>
      <c r="E338" s="394"/>
      <c r="F338" s="394"/>
      <c r="G338" s="394"/>
      <c r="H338" s="394"/>
      <c r="I338" s="394"/>
      <c r="J338" s="394"/>
      <c r="K338" s="394"/>
      <c r="L338" s="394"/>
      <c r="M338" s="395"/>
      <c r="N338" s="396"/>
      <c r="O338" s="396"/>
      <c r="P338" s="394"/>
      <c r="Q338" s="394"/>
      <c r="R338" s="394"/>
      <c r="S338" s="376"/>
      <c r="T338" s="376"/>
      <c r="U338" s="376"/>
      <c r="V338" s="376"/>
      <c r="W338" s="376"/>
      <c r="X338" s="376"/>
      <c r="Y338" s="377"/>
    </row>
    <row r="339" spans="1:25" ht="15.75">
      <c r="A339" s="393"/>
      <c r="B339" s="394"/>
      <c r="C339" s="394"/>
      <c r="D339" s="394"/>
      <c r="E339" s="394"/>
      <c r="F339" s="394"/>
      <c r="G339" s="394"/>
      <c r="H339" s="394"/>
      <c r="I339" s="394"/>
      <c r="J339" s="394"/>
      <c r="K339" s="394"/>
      <c r="L339" s="394"/>
      <c r="M339" s="395"/>
      <c r="N339" s="396"/>
      <c r="O339" s="396"/>
      <c r="P339" s="394"/>
      <c r="Q339" s="394"/>
      <c r="R339" s="394"/>
      <c r="S339" s="376"/>
      <c r="T339" s="376"/>
      <c r="U339" s="376"/>
      <c r="V339" s="376"/>
      <c r="W339" s="376"/>
      <c r="X339" s="376"/>
      <c r="Y339" s="377"/>
    </row>
    <row r="340" spans="1:25" ht="15.75">
      <c r="A340" s="393"/>
      <c r="B340" s="394"/>
      <c r="C340" s="394"/>
      <c r="D340" s="394"/>
      <c r="E340" s="394"/>
      <c r="F340" s="394"/>
      <c r="G340" s="394"/>
      <c r="H340" s="394"/>
      <c r="I340" s="394"/>
      <c r="J340" s="394"/>
      <c r="K340" s="394"/>
      <c r="L340" s="394"/>
      <c r="M340" s="395"/>
      <c r="N340" s="396"/>
      <c r="O340" s="396"/>
      <c r="P340" s="394"/>
      <c r="Q340" s="394"/>
      <c r="R340" s="394"/>
      <c r="S340" s="376"/>
      <c r="T340" s="376"/>
      <c r="U340" s="376"/>
      <c r="V340" s="376"/>
      <c r="W340" s="376"/>
      <c r="X340" s="376"/>
      <c r="Y340" s="377"/>
    </row>
    <row r="341" spans="1:25" ht="15.75">
      <c r="A341" s="393"/>
      <c r="B341" s="394"/>
      <c r="C341" s="394"/>
      <c r="D341" s="394"/>
      <c r="E341" s="394"/>
      <c r="F341" s="394"/>
      <c r="G341" s="394"/>
      <c r="H341" s="394"/>
      <c r="I341" s="394"/>
      <c r="J341" s="394"/>
      <c r="K341" s="394"/>
      <c r="L341" s="394"/>
      <c r="M341" s="395"/>
      <c r="N341" s="396"/>
      <c r="O341" s="396"/>
      <c r="P341" s="394"/>
      <c r="Q341" s="394"/>
      <c r="R341" s="394"/>
      <c r="S341" s="376"/>
      <c r="T341" s="376"/>
      <c r="U341" s="376"/>
      <c r="V341" s="376"/>
      <c r="W341" s="376"/>
      <c r="X341" s="376"/>
      <c r="Y341" s="377"/>
    </row>
    <row r="342" spans="1:25" ht="15.75">
      <c r="A342" s="393"/>
      <c r="B342" s="394"/>
      <c r="C342" s="394"/>
      <c r="D342" s="394"/>
      <c r="E342" s="394"/>
      <c r="F342" s="394"/>
      <c r="G342" s="394"/>
      <c r="H342" s="394"/>
      <c r="I342" s="394"/>
      <c r="J342" s="394"/>
      <c r="K342" s="394"/>
      <c r="L342" s="394"/>
      <c r="M342" s="395"/>
      <c r="N342" s="396"/>
      <c r="O342" s="396"/>
      <c r="P342" s="394"/>
      <c r="Q342" s="394"/>
      <c r="R342" s="394"/>
      <c r="S342" s="376"/>
      <c r="T342" s="376"/>
      <c r="U342" s="376"/>
      <c r="V342" s="376"/>
      <c r="W342" s="376"/>
      <c r="X342" s="376"/>
      <c r="Y342" s="377"/>
    </row>
    <row r="343" spans="1:25" ht="15.75">
      <c r="A343" s="393"/>
      <c r="B343" s="394"/>
      <c r="C343" s="394"/>
      <c r="D343" s="394"/>
      <c r="E343" s="394"/>
      <c r="F343" s="394"/>
      <c r="G343" s="394"/>
      <c r="H343" s="394"/>
      <c r="I343" s="394"/>
      <c r="J343" s="394"/>
      <c r="K343" s="394"/>
      <c r="L343" s="394"/>
      <c r="M343" s="395"/>
      <c r="N343" s="396"/>
      <c r="O343" s="396"/>
      <c r="P343" s="394"/>
      <c r="Q343" s="394"/>
      <c r="R343" s="394"/>
      <c r="S343" s="376"/>
      <c r="T343" s="376"/>
      <c r="U343" s="376"/>
      <c r="V343" s="376"/>
      <c r="W343" s="376"/>
      <c r="X343" s="376"/>
      <c r="Y343" s="377"/>
    </row>
    <row r="344" spans="1:25" ht="15.75">
      <c r="A344" s="393"/>
      <c r="B344" s="394"/>
      <c r="C344" s="394"/>
      <c r="D344" s="394"/>
      <c r="E344" s="394"/>
      <c r="F344" s="394"/>
      <c r="G344" s="394"/>
      <c r="H344" s="394"/>
      <c r="I344" s="394"/>
      <c r="J344" s="394"/>
      <c r="K344" s="394"/>
      <c r="L344" s="394"/>
      <c r="M344" s="395"/>
      <c r="N344" s="396"/>
      <c r="O344" s="396"/>
      <c r="P344" s="394"/>
      <c r="Q344" s="394"/>
      <c r="R344" s="394"/>
      <c r="S344" s="376"/>
      <c r="T344" s="376"/>
      <c r="U344" s="376"/>
      <c r="V344" s="376"/>
      <c r="W344" s="376"/>
      <c r="X344" s="376"/>
      <c r="Y344" s="377"/>
    </row>
    <row r="345" spans="1:25" ht="15.75">
      <c r="A345" s="393"/>
      <c r="B345" s="394"/>
      <c r="C345" s="394"/>
      <c r="D345" s="394"/>
      <c r="E345" s="394"/>
      <c r="F345" s="394"/>
      <c r="G345" s="394"/>
      <c r="H345" s="394"/>
      <c r="I345" s="394"/>
      <c r="J345" s="394"/>
      <c r="K345" s="394"/>
      <c r="L345" s="394"/>
      <c r="M345" s="395"/>
      <c r="N345" s="396"/>
      <c r="O345" s="396"/>
      <c r="P345" s="394"/>
      <c r="Q345" s="394"/>
      <c r="R345" s="394"/>
      <c r="S345" s="376"/>
      <c r="T345" s="376"/>
      <c r="U345" s="376"/>
      <c r="V345" s="376"/>
      <c r="W345" s="376"/>
      <c r="X345" s="376"/>
      <c r="Y345" s="377"/>
    </row>
    <row r="346" spans="1:25" ht="15.75">
      <c r="A346" s="393"/>
      <c r="B346" s="394"/>
      <c r="C346" s="394"/>
      <c r="D346" s="394"/>
      <c r="E346" s="394"/>
      <c r="F346" s="394"/>
      <c r="G346" s="394"/>
      <c r="H346" s="394"/>
      <c r="I346" s="394"/>
      <c r="J346" s="394"/>
      <c r="K346" s="394"/>
      <c r="L346" s="394"/>
      <c r="M346" s="395"/>
      <c r="N346" s="396"/>
      <c r="O346" s="396"/>
      <c r="P346" s="394"/>
      <c r="Q346" s="394"/>
      <c r="R346" s="394"/>
      <c r="S346" s="376"/>
      <c r="T346" s="376"/>
      <c r="U346" s="376"/>
      <c r="V346" s="376"/>
      <c r="W346" s="376"/>
      <c r="X346" s="376"/>
      <c r="Y346" s="377"/>
    </row>
    <row r="347" spans="1:25" ht="15.75">
      <c r="A347" s="393"/>
      <c r="B347" s="394"/>
      <c r="C347" s="394"/>
      <c r="D347" s="394"/>
      <c r="E347" s="394"/>
      <c r="F347" s="394"/>
      <c r="G347" s="394"/>
      <c r="H347" s="394"/>
      <c r="I347" s="394"/>
      <c r="J347" s="394"/>
      <c r="K347" s="394"/>
      <c r="L347" s="394"/>
      <c r="M347" s="395"/>
      <c r="N347" s="396"/>
      <c r="O347" s="396"/>
      <c r="P347" s="394"/>
      <c r="Q347" s="394"/>
      <c r="R347" s="394"/>
      <c r="S347" s="376"/>
      <c r="T347" s="376"/>
      <c r="U347" s="376"/>
      <c r="V347" s="376"/>
      <c r="W347" s="376"/>
      <c r="X347" s="376"/>
      <c r="Y347" s="377"/>
    </row>
    <row r="348" spans="1:25" ht="15.75">
      <c r="A348" s="393"/>
      <c r="B348" s="394"/>
      <c r="C348" s="394"/>
      <c r="D348" s="394"/>
      <c r="E348" s="394"/>
      <c r="F348" s="394"/>
      <c r="G348" s="394"/>
      <c r="H348" s="394"/>
      <c r="I348" s="394"/>
      <c r="J348" s="394"/>
      <c r="K348" s="394"/>
      <c r="L348" s="394"/>
      <c r="M348" s="395"/>
      <c r="N348" s="396"/>
      <c r="O348" s="396"/>
      <c r="P348" s="394"/>
      <c r="Q348" s="394"/>
      <c r="R348" s="394"/>
      <c r="S348" s="376"/>
      <c r="T348" s="376"/>
      <c r="U348" s="376"/>
      <c r="V348" s="376"/>
      <c r="W348" s="376"/>
      <c r="X348" s="376"/>
      <c r="Y348" s="377"/>
    </row>
    <row r="349" spans="1:25" ht="15.75">
      <c r="A349" s="393"/>
      <c r="B349" s="394"/>
      <c r="C349" s="394"/>
      <c r="D349" s="394"/>
      <c r="E349" s="394"/>
      <c r="F349" s="394"/>
      <c r="G349" s="394"/>
      <c r="H349" s="394"/>
      <c r="I349" s="394"/>
      <c r="J349" s="394"/>
      <c r="K349" s="394"/>
      <c r="L349" s="394"/>
      <c r="M349" s="395"/>
      <c r="N349" s="396"/>
      <c r="O349" s="396"/>
      <c r="P349" s="394"/>
      <c r="Q349" s="394"/>
      <c r="R349" s="394"/>
      <c r="S349" s="376"/>
      <c r="T349" s="376"/>
      <c r="U349" s="376"/>
      <c r="V349" s="376"/>
      <c r="W349" s="376"/>
      <c r="X349" s="376"/>
      <c r="Y349" s="377"/>
    </row>
    <row r="350" spans="1:25" ht="15.75">
      <c r="A350" s="393"/>
      <c r="B350" s="394"/>
      <c r="C350" s="394"/>
      <c r="D350" s="394"/>
      <c r="E350" s="394"/>
      <c r="F350" s="394"/>
      <c r="G350" s="394"/>
      <c r="H350" s="394"/>
      <c r="I350" s="394"/>
      <c r="J350" s="394"/>
      <c r="K350" s="394"/>
      <c r="L350" s="394"/>
      <c r="M350" s="395"/>
      <c r="N350" s="396"/>
      <c r="O350" s="396"/>
      <c r="P350" s="394"/>
      <c r="Q350" s="394"/>
      <c r="R350" s="394"/>
      <c r="S350" s="376"/>
      <c r="T350" s="376"/>
      <c r="U350" s="376"/>
      <c r="V350" s="376"/>
      <c r="W350" s="376"/>
      <c r="X350" s="376"/>
      <c r="Y350" s="377"/>
    </row>
    <row r="351" spans="1:25" ht="15.75">
      <c r="A351" s="393"/>
      <c r="B351" s="394"/>
      <c r="C351" s="394"/>
      <c r="D351" s="394"/>
      <c r="E351" s="394"/>
      <c r="F351" s="394"/>
      <c r="G351" s="394"/>
      <c r="H351" s="394"/>
      <c r="I351" s="394"/>
      <c r="J351" s="394"/>
      <c r="K351" s="394"/>
      <c r="L351" s="394"/>
      <c r="M351" s="395"/>
      <c r="N351" s="396"/>
      <c r="O351" s="396"/>
      <c r="P351" s="394"/>
      <c r="Q351" s="394"/>
      <c r="R351" s="394"/>
      <c r="S351" s="376"/>
      <c r="T351" s="376"/>
      <c r="U351" s="376"/>
      <c r="V351" s="376"/>
      <c r="W351" s="376"/>
      <c r="X351" s="376"/>
      <c r="Y351" s="377"/>
    </row>
    <row r="352" spans="1:25" ht="15.75">
      <c r="A352" s="393"/>
      <c r="B352" s="394"/>
      <c r="C352" s="394"/>
      <c r="D352" s="394"/>
      <c r="E352" s="394"/>
      <c r="F352" s="394"/>
      <c r="G352" s="394"/>
      <c r="H352" s="394"/>
      <c r="I352" s="394"/>
      <c r="J352" s="394"/>
      <c r="K352" s="394"/>
      <c r="L352" s="394"/>
      <c r="M352" s="395"/>
      <c r="N352" s="396"/>
      <c r="O352" s="396"/>
      <c r="P352" s="394"/>
      <c r="Q352" s="394"/>
      <c r="R352" s="394"/>
      <c r="S352" s="376"/>
      <c r="T352" s="376"/>
      <c r="U352" s="376"/>
      <c r="V352" s="376"/>
      <c r="W352" s="376"/>
      <c r="X352" s="376"/>
      <c r="Y352" s="377"/>
    </row>
    <row r="353" spans="1:25" ht="15.75">
      <c r="A353" s="393"/>
      <c r="B353" s="394"/>
      <c r="C353" s="394"/>
      <c r="D353" s="394"/>
      <c r="E353" s="394"/>
      <c r="F353" s="394"/>
      <c r="G353" s="394"/>
      <c r="H353" s="394"/>
      <c r="I353" s="394"/>
      <c r="J353" s="394"/>
      <c r="K353" s="394"/>
      <c r="L353" s="394"/>
      <c r="M353" s="395"/>
      <c r="N353" s="396"/>
      <c r="O353" s="396"/>
      <c r="P353" s="394"/>
      <c r="Q353" s="394"/>
      <c r="R353" s="394"/>
      <c r="S353" s="376"/>
      <c r="T353" s="376"/>
      <c r="U353" s="376"/>
      <c r="V353" s="376"/>
      <c r="W353" s="376"/>
      <c r="X353" s="376"/>
      <c r="Y353" s="377"/>
    </row>
    <row r="354" spans="1:25" ht="15.75">
      <c r="A354" s="393"/>
      <c r="B354" s="394"/>
      <c r="C354" s="394"/>
      <c r="D354" s="394"/>
      <c r="E354" s="394"/>
      <c r="F354" s="394"/>
      <c r="G354" s="394"/>
      <c r="H354" s="394"/>
      <c r="I354" s="394"/>
      <c r="J354" s="394"/>
      <c r="K354" s="394"/>
      <c r="L354" s="394"/>
      <c r="M354" s="395"/>
      <c r="N354" s="396"/>
      <c r="O354" s="396"/>
      <c r="P354" s="394"/>
      <c r="Q354" s="394"/>
      <c r="R354" s="394"/>
      <c r="S354" s="376"/>
      <c r="T354" s="376"/>
      <c r="U354" s="376"/>
      <c r="V354" s="376"/>
      <c r="W354" s="376"/>
      <c r="X354" s="376"/>
      <c r="Y354" s="377"/>
    </row>
    <row r="355" spans="1:25" ht="15.75">
      <c r="A355" s="393"/>
      <c r="B355" s="394"/>
      <c r="C355" s="394"/>
      <c r="D355" s="394"/>
      <c r="E355" s="394"/>
      <c r="F355" s="394"/>
      <c r="G355" s="394"/>
      <c r="H355" s="394"/>
      <c r="I355" s="394"/>
      <c r="J355" s="394"/>
      <c r="K355" s="394"/>
      <c r="L355" s="394"/>
      <c r="M355" s="395"/>
      <c r="N355" s="396"/>
      <c r="O355" s="396"/>
      <c r="P355" s="394"/>
      <c r="Q355" s="394"/>
      <c r="R355" s="394"/>
      <c r="S355" s="376"/>
      <c r="T355" s="376"/>
      <c r="U355" s="376"/>
      <c r="V355" s="376"/>
      <c r="W355" s="376"/>
      <c r="X355" s="376"/>
      <c r="Y355" s="377"/>
    </row>
    <row r="356" spans="1:25" ht="15.75">
      <c r="A356" s="393"/>
      <c r="B356" s="394"/>
      <c r="C356" s="394"/>
      <c r="D356" s="394"/>
      <c r="E356" s="394"/>
      <c r="F356" s="394"/>
      <c r="G356" s="394"/>
      <c r="H356" s="394"/>
      <c r="I356" s="394"/>
      <c r="J356" s="394"/>
      <c r="K356" s="394"/>
      <c r="L356" s="394"/>
      <c r="M356" s="395"/>
      <c r="N356" s="396"/>
      <c r="O356" s="396"/>
      <c r="P356" s="394"/>
      <c r="Q356" s="394"/>
      <c r="R356" s="394"/>
      <c r="S356" s="376"/>
      <c r="T356" s="376"/>
      <c r="U356" s="376"/>
      <c r="V356" s="376"/>
      <c r="W356" s="376"/>
      <c r="X356" s="376"/>
      <c r="Y356" s="377"/>
    </row>
    <row r="357" spans="1:25" ht="15.75">
      <c r="A357" s="393"/>
      <c r="B357" s="394"/>
      <c r="C357" s="394"/>
      <c r="D357" s="394"/>
      <c r="E357" s="394"/>
      <c r="F357" s="394"/>
      <c r="G357" s="394"/>
      <c r="H357" s="394"/>
      <c r="I357" s="394"/>
      <c r="J357" s="394"/>
      <c r="K357" s="394"/>
      <c r="L357" s="394"/>
      <c r="M357" s="395"/>
      <c r="N357" s="396"/>
      <c r="O357" s="396"/>
      <c r="P357" s="394"/>
      <c r="Q357" s="394"/>
      <c r="R357" s="394"/>
      <c r="S357" s="376"/>
      <c r="T357" s="376"/>
      <c r="U357" s="376"/>
      <c r="V357" s="376"/>
      <c r="W357" s="376"/>
      <c r="X357" s="376"/>
      <c r="Y357" s="377"/>
    </row>
    <row r="358" spans="1:25" ht="15.75">
      <c r="A358" s="393"/>
      <c r="B358" s="394"/>
      <c r="C358" s="394"/>
      <c r="D358" s="394"/>
      <c r="E358" s="394"/>
      <c r="F358" s="394"/>
      <c r="G358" s="394"/>
      <c r="H358" s="394"/>
      <c r="I358" s="394"/>
      <c r="J358" s="394"/>
      <c r="K358" s="394"/>
      <c r="L358" s="394"/>
      <c r="M358" s="395"/>
      <c r="N358" s="396"/>
      <c r="O358" s="396"/>
      <c r="P358" s="394"/>
      <c r="Q358" s="394"/>
      <c r="R358" s="394"/>
      <c r="S358" s="376"/>
      <c r="T358" s="376"/>
      <c r="U358" s="376"/>
      <c r="V358" s="376"/>
      <c r="W358" s="376"/>
      <c r="X358" s="376"/>
      <c r="Y358" s="377"/>
    </row>
    <row r="359" spans="1:25" ht="15.75">
      <c r="A359" s="393"/>
      <c r="B359" s="394"/>
      <c r="C359" s="394"/>
      <c r="D359" s="394"/>
      <c r="E359" s="394"/>
      <c r="F359" s="394"/>
      <c r="G359" s="394"/>
      <c r="H359" s="394"/>
      <c r="I359" s="394"/>
      <c r="J359" s="394"/>
      <c r="K359" s="394"/>
      <c r="L359" s="394"/>
      <c r="M359" s="395"/>
      <c r="N359" s="396"/>
      <c r="O359" s="396"/>
      <c r="P359" s="394"/>
      <c r="Q359" s="394"/>
      <c r="R359" s="394"/>
      <c r="S359" s="376"/>
      <c r="T359" s="376"/>
      <c r="U359" s="376"/>
      <c r="V359" s="376"/>
      <c r="W359" s="376"/>
      <c r="X359" s="376"/>
      <c r="Y359" s="377"/>
    </row>
    <row r="360" spans="1:25" ht="15.75">
      <c r="A360" s="393"/>
      <c r="B360" s="394"/>
      <c r="C360" s="394"/>
      <c r="D360" s="394"/>
      <c r="E360" s="394"/>
      <c r="F360" s="394"/>
      <c r="G360" s="394"/>
      <c r="H360" s="394"/>
      <c r="I360" s="394"/>
      <c r="J360" s="394"/>
      <c r="K360" s="394"/>
      <c r="L360" s="394"/>
      <c r="M360" s="395"/>
      <c r="N360" s="396"/>
      <c r="O360" s="396"/>
      <c r="P360" s="394"/>
      <c r="Q360" s="394"/>
      <c r="R360" s="394"/>
      <c r="S360" s="376"/>
      <c r="T360" s="376"/>
      <c r="U360" s="376"/>
      <c r="V360" s="376"/>
      <c r="W360" s="376"/>
      <c r="X360" s="376"/>
      <c r="Y360" s="377"/>
    </row>
    <row r="361" spans="1:25" ht="15.75">
      <c r="A361" s="393"/>
      <c r="B361" s="394"/>
      <c r="C361" s="394"/>
      <c r="D361" s="394"/>
      <c r="E361" s="394"/>
      <c r="F361" s="394"/>
      <c r="G361" s="394"/>
      <c r="H361" s="394"/>
      <c r="I361" s="394"/>
      <c r="J361" s="394"/>
      <c r="K361" s="394"/>
      <c r="L361" s="394"/>
      <c r="M361" s="395"/>
      <c r="N361" s="396"/>
      <c r="O361" s="396"/>
      <c r="P361" s="397"/>
      <c r="Q361" s="397"/>
      <c r="R361" s="397"/>
      <c r="S361" s="377"/>
      <c r="T361" s="377"/>
      <c r="U361" s="377"/>
      <c r="V361" s="377"/>
      <c r="W361" s="377"/>
      <c r="X361" s="377"/>
      <c r="Y361" s="377"/>
    </row>
    <row r="362" spans="1:25" ht="15.75">
      <c r="A362" s="393"/>
      <c r="B362" s="394"/>
      <c r="C362" s="394"/>
      <c r="D362" s="394"/>
      <c r="E362" s="394"/>
      <c r="F362" s="394"/>
      <c r="G362" s="394"/>
      <c r="H362" s="394"/>
      <c r="I362" s="394"/>
      <c r="J362" s="394"/>
      <c r="K362" s="394"/>
      <c r="L362" s="394"/>
      <c r="M362" s="395"/>
      <c r="N362" s="396"/>
      <c r="O362" s="396"/>
      <c r="P362" s="397"/>
      <c r="Q362" s="397"/>
      <c r="R362" s="397"/>
      <c r="S362" s="377"/>
      <c r="T362" s="377"/>
      <c r="U362" s="377"/>
      <c r="V362" s="377"/>
      <c r="W362" s="377"/>
      <c r="X362" s="377"/>
      <c r="Y362" s="377"/>
    </row>
    <row r="363" spans="1:25" ht="15.75">
      <c r="A363" s="393"/>
      <c r="B363" s="394"/>
      <c r="C363" s="394"/>
      <c r="D363" s="394"/>
      <c r="E363" s="394"/>
      <c r="F363" s="394"/>
      <c r="G363" s="394"/>
      <c r="H363" s="394"/>
      <c r="I363" s="394"/>
      <c r="J363" s="394"/>
      <c r="K363" s="394"/>
      <c r="L363" s="394"/>
      <c r="M363" s="395"/>
      <c r="N363" s="396"/>
      <c r="O363" s="396"/>
      <c r="P363" s="397"/>
      <c r="Q363" s="397"/>
      <c r="R363" s="397"/>
      <c r="S363" s="377"/>
      <c r="T363" s="377"/>
      <c r="U363" s="377"/>
      <c r="V363" s="377"/>
      <c r="W363" s="377"/>
      <c r="X363" s="377"/>
      <c r="Y363" s="377"/>
    </row>
    <row r="364" spans="1:25" ht="15.75">
      <c r="A364" s="393"/>
      <c r="B364" s="394"/>
      <c r="C364" s="394"/>
      <c r="D364" s="394"/>
      <c r="E364" s="394"/>
      <c r="F364" s="394"/>
      <c r="G364" s="394"/>
      <c r="H364" s="394"/>
      <c r="I364" s="394"/>
      <c r="J364" s="394"/>
      <c r="K364" s="394"/>
      <c r="L364" s="394"/>
      <c r="M364" s="395"/>
      <c r="N364" s="396"/>
      <c r="O364" s="396"/>
      <c r="P364" s="397"/>
      <c r="Q364" s="397"/>
      <c r="R364" s="397"/>
      <c r="S364" s="377"/>
      <c r="T364" s="377"/>
      <c r="U364" s="377"/>
      <c r="V364" s="377"/>
      <c r="W364" s="377"/>
      <c r="X364" s="377"/>
      <c r="Y364" s="377"/>
    </row>
    <row r="365" spans="1:25" ht="15.75">
      <c r="A365" s="393"/>
      <c r="B365" s="394"/>
      <c r="C365" s="394"/>
      <c r="D365" s="394"/>
      <c r="E365" s="394"/>
      <c r="F365" s="394"/>
      <c r="G365" s="394"/>
      <c r="H365" s="394"/>
      <c r="I365" s="394"/>
      <c r="J365" s="394"/>
      <c r="K365" s="394"/>
      <c r="L365" s="394"/>
      <c r="M365" s="395"/>
      <c r="N365" s="396"/>
      <c r="O365" s="396"/>
      <c r="P365" s="397"/>
      <c r="Q365" s="397"/>
      <c r="R365" s="397"/>
      <c r="S365" s="377"/>
      <c r="T365" s="377"/>
      <c r="U365" s="377"/>
      <c r="V365" s="377"/>
      <c r="W365" s="377"/>
      <c r="X365" s="377"/>
      <c r="Y365" s="377"/>
    </row>
    <row r="366" spans="1:25" ht="15.75">
      <c r="A366" s="393"/>
      <c r="B366" s="394"/>
      <c r="C366" s="394"/>
      <c r="D366" s="394"/>
      <c r="E366" s="394"/>
      <c r="F366" s="394"/>
      <c r="G366" s="394"/>
      <c r="H366" s="394"/>
      <c r="I366" s="394"/>
      <c r="J366" s="394"/>
      <c r="K366" s="394"/>
      <c r="L366" s="394"/>
      <c r="M366" s="395"/>
      <c r="N366" s="396"/>
      <c r="O366" s="396"/>
      <c r="P366" s="397"/>
      <c r="Q366" s="397"/>
      <c r="R366" s="397"/>
      <c r="S366" s="377"/>
      <c r="T366" s="377"/>
      <c r="U366" s="377"/>
      <c r="V366" s="377"/>
      <c r="W366" s="377"/>
      <c r="X366" s="377"/>
      <c r="Y366" s="377"/>
    </row>
    <row r="367" spans="1:25" ht="15.75">
      <c r="A367" s="393"/>
      <c r="B367" s="394"/>
      <c r="C367" s="394"/>
      <c r="D367" s="394"/>
      <c r="E367" s="394"/>
      <c r="F367" s="394"/>
      <c r="G367" s="394"/>
      <c r="H367" s="394"/>
      <c r="I367" s="394"/>
      <c r="J367" s="394"/>
      <c r="K367" s="394"/>
      <c r="L367" s="394"/>
      <c r="M367" s="395"/>
      <c r="N367" s="396"/>
      <c r="O367" s="396"/>
      <c r="P367" s="397"/>
      <c r="Q367" s="397"/>
      <c r="R367" s="397"/>
      <c r="S367" s="377"/>
      <c r="T367" s="377"/>
      <c r="U367" s="377"/>
      <c r="V367" s="377"/>
      <c r="W367" s="377"/>
      <c r="X367" s="377"/>
      <c r="Y367" s="377"/>
    </row>
    <row r="368" spans="1:25" ht="15.75">
      <c r="A368" s="393"/>
      <c r="B368" s="394"/>
      <c r="C368" s="394"/>
      <c r="D368" s="394"/>
      <c r="E368" s="394"/>
      <c r="F368" s="394"/>
      <c r="G368" s="394"/>
      <c r="H368" s="394"/>
      <c r="I368" s="394"/>
      <c r="J368" s="394"/>
      <c r="K368" s="394"/>
      <c r="L368" s="394"/>
      <c r="M368" s="395"/>
      <c r="N368" s="396"/>
      <c r="O368" s="396"/>
      <c r="P368" s="397"/>
      <c r="Q368" s="397"/>
      <c r="R368" s="397"/>
      <c r="S368" s="377"/>
      <c r="T368" s="377"/>
      <c r="U368" s="377"/>
      <c r="V368" s="377"/>
      <c r="W368" s="377"/>
      <c r="X368" s="377"/>
      <c r="Y368" s="377"/>
    </row>
    <row r="369" spans="1:25" ht="15.75">
      <c r="A369" s="393"/>
      <c r="B369" s="394"/>
      <c r="C369" s="394"/>
      <c r="D369" s="394"/>
      <c r="E369" s="394"/>
      <c r="F369" s="394"/>
      <c r="G369" s="394"/>
      <c r="H369" s="394"/>
      <c r="I369" s="394"/>
      <c r="J369" s="394"/>
      <c r="K369" s="394"/>
      <c r="L369" s="394"/>
      <c r="M369" s="395"/>
      <c r="N369" s="396"/>
      <c r="O369" s="396"/>
      <c r="P369" s="397"/>
      <c r="Q369" s="397"/>
      <c r="R369" s="397"/>
      <c r="S369" s="377"/>
      <c r="T369" s="377"/>
      <c r="U369" s="377"/>
      <c r="V369" s="377"/>
      <c r="W369" s="377"/>
      <c r="X369" s="377"/>
      <c r="Y369" s="377"/>
    </row>
    <row r="370" spans="1:25" ht="15.75">
      <c r="A370" s="393"/>
      <c r="B370" s="394"/>
      <c r="C370" s="394"/>
      <c r="D370" s="394"/>
      <c r="E370" s="394"/>
      <c r="F370" s="394"/>
      <c r="G370" s="394"/>
      <c r="H370" s="394"/>
      <c r="I370" s="394"/>
      <c r="J370" s="394"/>
      <c r="K370" s="394"/>
      <c r="L370" s="394"/>
      <c r="M370" s="395"/>
      <c r="N370" s="396"/>
      <c r="O370" s="396"/>
      <c r="P370" s="397"/>
      <c r="Q370" s="397"/>
      <c r="R370" s="397"/>
      <c r="S370" s="377"/>
      <c r="T370" s="377"/>
      <c r="U370" s="377"/>
      <c r="V370" s="377"/>
      <c r="W370" s="377"/>
      <c r="X370" s="377"/>
      <c r="Y370" s="377"/>
    </row>
    <row r="371" spans="1:25" ht="15.75">
      <c r="A371" s="393"/>
      <c r="B371" s="394"/>
      <c r="C371" s="394"/>
      <c r="D371" s="394"/>
      <c r="E371" s="394"/>
      <c r="F371" s="394"/>
      <c r="G371" s="394"/>
      <c r="H371" s="394"/>
      <c r="I371" s="394"/>
      <c r="J371" s="394"/>
      <c r="K371" s="394"/>
      <c r="L371" s="394"/>
      <c r="M371" s="395"/>
      <c r="N371" s="396"/>
      <c r="O371" s="396"/>
      <c r="P371" s="397"/>
      <c r="Q371" s="397"/>
      <c r="R371" s="397"/>
      <c r="S371" s="377"/>
      <c r="T371" s="377"/>
      <c r="U371" s="377"/>
      <c r="V371" s="377"/>
      <c r="W371" s="377"/>
      <c r="X371" s="377"/>
      <c r="Y371" s="377"/>
    </row>
    <row r="372" spans="1:25" ht="15.75">
      <c r="A372" s="393"/>
      <c r="B372" s="394"/>
      <c r="C372" s="394"/>
      <c r="D372" s="394"/>
      <c r="E372" s="394"/>
      <c r="F372" s="394"/>
      <c r="G372" s="394"/>
      <c r="H372" s="394"/>
      <c r="I372" s="394"/>
      <c r="J372" s="394"/>
      <c r="K372" s="394"/>
      <c r="L372" s="394"/>
      <c r="M372" s="395"/>
      <c r="N372" s="396"/>
      <c r="O372" s="396"/>
      <c r="P372" s="397"/>
      <c r="Q372" s="397"/>
      <c r="R372" s="397"/>
      <c r="S372" s="377"/>
      <c r="T372" s="377"/>
      <c r="U372" s="377"/>
      <c r="V372" s="377"/>
      <c r="W372" s="377"/>
      <c r="X372" s="377"/>
      <c r="Y372" s="377"/>
    </row>
    <row r="373" spans="1:25" ht="15.75">
      <c r="A373" s="393"/>
      <c r="B373" s="394"/>
      <c r="C373" s="394"/>
      <c r="D373" s="394"/>
      <c r="E373" s="394"/>
      <c r="F373" s="394"/>
      <c r="G373" s="394"/>
      <c r="H373" s="394"/>
      <c r="I373" s="394"/>
      <c r="J373" s="394"/>
      <c r="K373" s="394"/>
      <c r="L373" s="394"/>
      <c r="M373" s="395"/>
      <c r="N373" s="396"/>
      <c r="O373" s="396"/>
      <c r="P373" s="397"/>
      <c r="Q373" s="397"/>
      <c r="R373" s="397"/>
      <c r="S373" s="377"/>
      <c r="T373" s="377"/>
      <c r="U373" s="377"/>
      <c r="V373" s="377"/>
      <c r="W373" s="377"/>
      <c r="X373" s="377"/>
      <c r="Y373" s="377"/>
    </row>
    <row r="374" spans="1:25" ht="15.75">
      <c r="A374" s="393"/>
      <c r="B374" s="394"/>
      <c r="C374" s="394"/>
      <c r="D374" s="394"/>
      <c r="E374" s="394"/>
      <c r="F374" s="394"/>
      <c r="G374" s="394"/>
      <c r="H374" s="394"/>
      <c r="I374" s="394"/>
      <c r="J374" s="394"/>
      <c r="K374" s="394"/>
      <c r="L374" s="394"/>
      <c r="M374" s="395"/>
      <c r="N374" s="396"/>
      <c r="O374" s="396"/>
      <c r="P374" s="397"/>
      <c r="Q374" s="397"/>
      <c r="R374" s="397"/>
      <c r="S374" s="377"/>
      <c r="T374" s="377"/>
      <c r="U374" s="377"/>
      <c r="V374" s="377"/>
      <c r="W374" s="377"/>
      <c r="X374" s="377"/>
      <c r="Y374" s="377"/>
    </row>
    <row r="375" spans="1:25" ht="15.75">
      <c r="A375" s="393"/>
      <c r="B375" s="394"/>
      <c r="C375" s="394"/>
      <c r="D375" s="394"/>
      <c r="E375" s="394"/>
      <c r="F375" s="394"/>
      <c r="G375" s="394"/>
      <c r="H375" s="394"/>
      <c r="I375" s="394"/>
      <c r="J375" s="394"/>
      <c r="K375" s="394"/>
      <c r="L375" s="394"/>
      <c r="M375" s="395"/>
      <c r="N375" s="396"/>
      <c r="O375" s="396"/>
      <c r="P375" s="397"/>
      <c r="Q375" s="397"/>
      <c r="R375" s="397"/>
      <c r="S375" s="377"/>
      <c r="T375" s="377"/>
      <c r="U375" s="377"/>
      <c r="V375" s="377"/>
      <c r="W375" s="377"/>
      <c r="X375" s="377"/>
      <c r="Y375" s="377"/>
    </row>
    <row r="376" spans="1:25" ht="15.75">
      <c r="A376" s="393"/>
      <c r="B376" s="394"/>
      <c r="C376" s="394"/>
      <c r="D376" s="394"/>
      <c r="E376" s="394"/>
      <c r="F376" s="394"/>
      <c r="G376" s="394"/>
      <c r="H376" s="394"/>
      <c r="I376" s="394"/>
      <c r="J376" s="394"/>
      <c r="K376" s="394"/>
      <c r="L376" s="394"/>
      <c r="M376" s="395"/>
      <c r="N376" s="396"/>
      <c r="O376" s="396"/>
      <c r="P376" s="397"/>
      <c r="Q376" s="397"/>
      <c r="R376" s="397"/>
      <c r="S376" s="377"/>
      <c r="T376" s="377"/>
      <c r="U376" s="377"/>
      <c r="V376" s="377"/>
      <c r="W376" s="377"/>
      <c r="X376" s="377"/>
      <c r="Y376" s="377"/>
    </row>
    <row r="377" spans="1:25" ht="15.75">
      <c r="A377" s="393"/>
      <c r="B377" s="394"/>
      <c r="C377" s="394"/>
      <c r="D377" s="394"/>
      <c r="E377" s="394"/>
      <c r="F377" s="394"/>
      <c r="G377" s="394"/>
      <c r="H377" s="394"/>
      <c r="I377" s="394"/>
      <c r="J377" s="394"/>
      <c r="K377" s="394"/>
      <c r="L377" s="394"/>
      <c r="M377" s="395"/>
      <c r="N377" s="396"/>
      <c r="O377" s="396"/>
      <c r="P377" s="397"/>
      <c r="Q377" s="397"/>
      <c r="R377" s="397"/>
      <c r="S377" s="377"/>
      <c r="T377" s="377"/>
      <c r="U377" s="377"/>
      <c r="V377" s="377"/>
      <c r="W377" s="377"/>
      <c r="X377" s="377"/>
      <c r="Y377" s="377"/>
    </row>
    <row r="378" spans="1:25" ht="15.75">
      <c r="A378" s="393"/>
      <c r="B378" s="394"/>
      <c r="C378" s="394"/>
      <c r="D378" s="394"/>
      <c r="E378" s="394"/>
      <c r="F378" s="394"/>
      <c r="G378" s="394"/>
      <c r="H378" s="394"/>
      <c r="I378" s="394"/>
      <c r="J378" s="394"/>
      <c r="K378" s="394"/>
      <c r="L378" s="394"/>
      <c r="M378" s="395"/>
      <c r="N378" s="396"/>
      <c r="O378" s="396"/>
      <c r="P378" s="397"/>
      <c r="Q378" s="397"/>
      <c r="R378" s="397"/>
      <c r="S378" s="377"/>
      <c r="T378" s="377"/>
      <c r="U378" s="377"/>
      <c r="V378" s="377"/>
      <c r="W378" s="377"/>
      <c r="X378" s="377"/>
      <c r="Y378" s="377"/>
    </row>
    <row r="379" spans="1:25" ht="15.75">
      <c r="A379" s="393"/>
      <c r="B379" s="394"/>
      <c r="C379" s="394"/>
      <c r="D379" s="394"/>
      <c r="E379" s="394"/>
      <c r="F379" s="394"/>
      <c r="G379" s="394"/>
      <c r="H379" s="394"/>
      <c r="I379" s="394"/>
      <c r="J379" s="394"/>
      <c r="K379" s="394"/>
      <c r="L379" s="394"/>
      <c r="M379" s="395"/>
      <c r="N379" s="396"/>
      <c r="O379" s="396"/>
      <c r="P379" s="397"/>
      <c r="Q379" s="397"/>
      <c r="R379" s="397"/>
      <c r="S379" s="377"/>
      <c r="T379" s="377"/>
      <c r="U379" s="377"/>
      <c r="V379" s="377"/>
      <c r="W379" s="377"/>
      <c r="X379" s="377"/>
      <c r="Y379" s="377"/>
    </row>
    <row r="380" spans="1:25" ht="15.75">
      <c r="A380" s="393"/>
      <c r="B380" s="394"/>
      <c r="C380" s="394"/>
      <c r="D380" s="394"/>
      <c r="E380" s="394"/>
      <c r="F380" s="394"/>
      <c r="G380" s="394"/>
      <c r="H380" s="394"/>
      <c r="I380" s="394"/>
      <c r="J380" s="394"/>
      <c r="K380" s="394"/>
      <c r="L380" s="394"/>
      <c r="M380" s="395"/>
      <c r="N380" s="396"/>
      <c r="O380" s="396"/>
      <c r="P380" s="397"/>
      <c r="Q380" s="397"/>
      <c r="R380" s="397"/>
      <c r="S380" s="377"/>
      <c r="T380" s="377"/>
      <c r="U380" s="377"/>
      <c r="V380" s="377"/>
      <c r="W380" s="377"/>
      <c r="X380" s="377"/>
      <c r="Y380" s="377"/>
    </row>
    <row r="381" spans="1:25" ht="15.75">
      <c r="A381" s="393"/>
      <c r="B381" s="394"/>
      <c r="C381" s="394"/>
      <c r="D381" s="394"/>
      <c r="E381" s="394"/>
      <c r="F381" s="394"/>
      <c r="G381" s="394"/>
      <c r="H381" s="394"/>
      <c r="I381" s="394"/>
      <c r="J381" s="394"/>
      <c r="K381" s="394"/>
      <c r="L381" s="394"/>
      <c r="M381" s="395"/>
      <c r="N381" s="396"/>
      <c r="O381" s="396"/>
      <c r="P381" s="397"/>
      <c r="Q381" s="397"/>
      <c r="R381" s="397"/>
      <c r="S381" s="377"/>
      <c r="T381" s="377"/>
      <c r="U381" s="377"/>
      <c r="V381" s="377"/>
      <c r="W381" s="377"/>
      <c r="X381" s="377"/>
      <c r="Y381" s="377"/>
    </row>
    <row r="382" spans="1:25" ht="15.75">
      <c r="A382" s="393"/>
      <c r="B382" s="394"/>
      <c r="C382" s="394"/>
      <c r="D382" s="394"/>
      <c r="E382" s="394"/>
      <c r="F382" s="394"/>
      <c r="G382" s="394"/>
      <c r="H382" s="394"/>
      <c r="I382" s="394"/>
      <c r="J382" s="394"/>
      <c r="K382" s="394"/>
      <c r="L382" s="394"/>
      <c r="M382" s="395"/>
      <c r="N382" s="396"/>
      <c r="O382" s="396"/>
      <c r="P382" s="397"/>
      <c r="Q382" s="397"/>
      <c r="R382" s="397"/>
      <c r="S382" s="377"/>
      <c r="T382" s="377"/>
      <c r="U382" s="377"/>
      <c r="V382" s="377"/>
      <c r="W382" s="377"/>
      <c r="X382" s="377"/>
      <c r="Y382" s="377"/>
    </row>
    <row r="383" spans="1:25" ht="15.75">
      <c r="A383" s="393"/>
      <c r="B383" s="394"/>
      <c r="C383" s="394"/>
      <c r="D383" s="394"/>
      <c r="E383" s="394"/>
      <c r="F383" s="394"/>
      <c r="G383" s="394"/>
      <c r="H383" s="394"/>
      <c r="I383" s="394"/>
      <c r="J383" s="394"/>
      <c r="K383" s="394"/>
      <c r="L383" s="394"/>
      <c r="M383" s="395"/>
      <c r="N383" s="396"/>
      <c r="O383" s="396"/>
      <c r="P383" s="397"/>
      <c r="Q383" s="397"/>
      <c r="R383" s="397"/>
      <c r="S383" s="377"/>
      <c r="T383" s="377"/>
      <c r="U383" s="377"/>
      <c r="V383" s="377"/>
      <c r="W383" s="377"/>
      <c r="X383" s="377"/>
      <c r="Y383" s="377"/>
    </row>
    <row r="384" spans="1:25" ht="15.75">
      <c r="A384" s="393"/>
      <c r="B384" s="394"/>
      <c r="C384" s="394"/>
      <c r="D384" s="394"/>
      <c r="E384" s="394"/>
      <c r="F384" s="394"/>
      <c r="G384" s="394"/>
      <c r="H384" s="394"/>
      <c r="I384" s="394"/>
      <c r="J384" s="394"/>
      <c r="K384" s="394"/>
      <c r="L384" s="394"/>
      <c r="M384" s="395"/>
      <c r="N384" s="396"/>
      <c r="O384" s="396"/>
      <c r="P384" s="397"/>
      <c r="Q384" s="397"/>
      <c r="R384" s="397"/>
      <c r="S384" s="377"/>
      <c r="T384" s="377"/>
      <c r="U384" s="377"/>
      <c r="V384" s="377"/>
      <c r="W384" s="377"/>
      <c r="X384" s="377"/>
      <c r="Y384" s="377"/>
    </row>
    <row r="385" spans="1:25" ht="15.75">
      <c r="A385" s="393"/>
      <c r="B385" s="394"/>
      <c r="C385" s="394"/>
      <c r="D385" s="394"/>
      <c r="E385" s="394"/>
      <c r="F385" s="394"/>
      <c r="G385" s="394"/>
      <c r="H385" s="394"/>
      <c r="I385" s="394"/>
      <c r="J385" s="394"/>
      <c r="K385" s="394"/>
      <c r="L385" s="394"/>
      <c r="M385" s="395"/>
      <c r="N385" s="396"/>
      <c r="O385" s="396"/>
      <c r="P385" s="397"/>
      <c r="Q385" s="397"/>
      <c r="R385" s="397"/>
      <c r="S385" s="377"/>
      <c r="T385" s="377"/>
      <c r="U385" s="377"/>
      <c r="V385" s="377"/>
      <c r="W385" s="377"/>
      <c r="X385" s="377"/>
      <c r="Y385" s="377"/>
    </row>
    <row r="386" spans="1:25" ht="15.75">
      <c r="A386" s="393"/>
      <c r="B386" s="394"/>
      <c r="C386" s="394"/>
      <c r="D386" s="394"/>
      <c r="E386" s="394"/>
      <c r="F386" s="394"/>
      <c r="G386" s="394"/>
      <c r="H386" s="394"/>
      <c r="I386" s="394"/>
      <c r="J386" s="394"/>
      <c r="K386" s="394"/>
      <c r="L386" s="394"/>
      <c r="M386" s="395"/>
      <c r="N386" s="396"/>
      <c r="O386" s="396"/>
      <c r="P386" s="397"/>
      <c r="Q386" s="397"/>
      <c r="R386" s="397"/>
      <c r="S386" s="377"/>
      <c r="T386" s="377"/>
      <c r="U386" s="377"/>
      <c r="V386" s="377"/>
      <c r="W386" s="377"/>
      <c r="X386" s="377"/>
      <c r="Y386" s="377"/>
    </row>
    <row r="387" spans="1:25" ht="15.75">
      <c r="A387" s="393"/>
      <c r="B387" s="394"/>
      <c r="C387" s="394"/>
      <c r="D387" s="394"/>
      <c r="E387" s="394"/>
      <c r="F387" s="394"/>
      <c r="G387" s="394"/>
      <c r="H387" s="394"/>
      <c r="I387" s="394"/>
      <c r="J387" s="394"/>
      <c r="K387" s="394"/>
      <c r="L387" s="394"/>
      <c r="M387" s="395"/>
      <c r="N387" s="396"/>
      <c r="O387" s="396"/>
      <c r="P387" s="397"/>
      <c r="Q387" s="397"/>
      <c r="R387" s="397"/>
      <c r="S387" s="377"/>
      <c r="T387" s="377"/>
      <c r="U387" s="377"/>
      <c r="V387" s="377"/>
      <c r="W387" s="377"/>
      <c r="X387" s="377"/>
      <c r="Y387" s="377"/>
    </row>
    <row r="388" spans="1:25" ht="15.75">
      <c r="A388" s="393"/>
      <c r="B388" s="394"/>
      <c r="C388" s="394"/>
      <c r="D388" s="394"/>
      <c r="E388" s="394"/>
      <c r="F388" s="394"/>
      <c r="G388" s="394"/>
      <c r="H388" s="394"/>
      <c r="I388" s="394"/>
      <c r="J388" s="394"/>
      <c r="K388" s="394"/>
      <c r="L388" s="394"/>
      <c r="M388" s="395"/>
      <c r="N388" s="396"/>
      <c r="O388" s="396"/>
      <c r="P388" s="397"/>
      <c r="Q388" s="397"/>
      <c r="R388" s="397"/>
      <c r="S388" s="377"/>
      <c r="T388" s="377"/>
      <c r="U388" s="377"/>
      <c r="V388" s="377"/>
      <c r="W388" s="377"/>
      <c r="X388" s="377"/>
      <c r="Y388" s="377"/>
    </row>
    <row r="389" spans="1:25" ht="15.75">
      <c r="A389" s="393"/>
      <c r="B389" s="394"/>
      <c r="C389" s="394"/>
      <c r="D389" s="394"/>
      <c r="E389" s="394"/>
      <c r="F389" s="394"/>
      <c r="G389" s="394"/>
      <c r="H389" s="394"/>
      <c r="I389" s="394"/>
      <c r="J389" s="394"/>
      <c r="K389" s="394"/>
      <c r="L389" s="394"/>
      <c r="M389" s="395"/>
      <c r="N389" s="396"/>
      <c r="O389" s="396"/>
      <c r="P389" s="397"/>
      <c r="Q389" s="397"/>
      <c r="R389" s="397"/>
      <c r="S389" s="377"/>
      <c r="T389" s="377"/>
      <c r="U389" s="377"/>
      <c r="V389" s="377"/>
      <c r="W389" s="377"/>
      <c r="X389" s="377"/>
      <c r="Y389" s="377"/>
    </row>
    <row r="390" spans="1:25" ht="15.75">
      <c r="A390" s="393"/>
      <c r="B390" s="394"/>
      <c r="C390" s="394"/>
      <c r="D390" s="394"/>
      <c r="E390" s="394"/>
      <c r="F390" s="394"/>
      <c r="G390" s="394"/>
      <c r="H390" s="394"/>
      <c r="I390" s="394"/>
      <c r="J390" s="394"/>
      <c r="K390" s="394"/>
      <c r="L390" s="394"/>
      <c r="M390" s="395"/>
      <c r="N390" s="396"/>
      <c r="O390" s="396"/>
      <c r="P390" s="397"/>
      <c r="Q390" s="397"/>
      <c r="R390" s="397"/>
      <c r="S390" s="377"/>
      <c r="T390" s="377"/>
      <c r="U390" s="377"/>
      <c r="V390" s="377"/>
      <c r="W390" s="377"/>
      <c r="X390" s="377"/>
      <c r="Y390" s="377"/>
    </row>
    <row r="391" spans="1:25" ht="15.75">
      <c r="A391" s="393"/>
      <c r="B391" s="394"/>
      <c r="C391" s="394"/>
      <c r="D391" s="394"/>
      <c r="E391" s="394"/>
      <c r="F391" s="394"/>
      <c r="G391" s="394"/>
      <c r="H391" s="394"/>
      <c r="I391" s="394"/>
      <c r="J391" s="394"/>
      <c r="K391" s="394"/>
      <c r="L391" s="394"/>
      <c r="M391" s="395"/>
      <c r="N391" s="396"/>
      <c r="O391" s="396"/>
      <c r="P391" s="397"/>
      <c r="Q391" s="397"/>
      <c r="R391" s="397"/>
      <c r="S391" s="377"/>
      <c r="T391" s="377"/>
      <c r="U391" s="377"/>
      <c r="V391" s="377"/>
      <c r="W391" s="377"/>
      <c r="X391" s="377"/>
      <c r="Y391" s="377"/>
    </row>
    <row r="392" spans="1:25" ht="15.75">
      <c r="A392" s="393"/>
      <c r="B392" s="394"/>
      <c r="C392" s="394"/>
      <c r="D392" s="394"/>
      <c r="E392" s="394"/>
      <c r="F392" s="394"/>
      <c r="G392" s="394"/>
      <c r="H392" s="394"/>
      <c r="I392" s="394"/>
      <c r="J392" s="394"/>
      <c r="K392" s="394"/>
      <c r="L392" s="394"/>
      <c r="M392" s="395"/>
      <c r="N392" s="396"/>
      <c r="O392" s="396"/>
      <c r="P392" s="397"/>
      <c r="Q392" s="397"/>
      <c r="R392" s="397"/>
      <c r="S392" s="377"/>
      <c r="T392" s="377"/>
      <c r="U392" s="377"/>
      <c r="V392" s="377"/>
      <c r="W392" s="377"/>
      <c r="X392" s="377"/>
      <c r="Y392" s="377"/>
    </row>
    <row r="393" spans="1:25" ht="15.75">
      <c r="A393" s="393"/>
      <c r="B393" s="394"/>
      <c r="C393" s="394"/>
      <c r="D393" s="394"/>
      <c r="E393" s="394"/>
      <c r="F393" s="394"/>
      <c r="G393" s="394"/>
      <c r="H393" s="394"/>
      <c r="I393" s="394"/>
      <c r="J393" s="394"/>
      <c r="K393" s="394"/>
      <c r="L393" s="394"/>
      <c r="M393" s="395"/>
      <c r="N393" s="396"/>
      <c r="O393" s="396"/>
      <c r="P393" s="397"/>
      <c r="Q393" s="397"/>
      <c r="R393" s="397"/>
      <c r="S393" s="377"/>
      <c r="T393" s="377"/>
      <c r="U393" s="377"/>
      <c r="V393" s="377"/>
      <c r="W393" s="377"/>
      <c r="X393" s="377"/>
      <c r="Y393" s="377"/>
    </row>
    <row r="394" spans="1:25" ht="15.75">
      <c r="A394" s="393"/>
      <c r="B394" s="394"/>
      <c r="C394" s="394"/>
      <c r="D394" s="394"/>
      <c r="E394" s="394"/>
      <c r="F394" s="394"/>
      <c r="G394" s="394"/>
      <c r="H394" s="394"/>
      <c r="I394" s="394"/>
      <c r="J394" s="394"/>
      <c r="K394" s="394"/>
      <c r="L394" s="394"/>
      <c r="M394" s="395"/>
      <c r="N394" s="396"/>
      <c r="O394" s="396"/>
      <c r="P394" s="397"/>
      <c r="Q394" s="397"/>
      <c r="R394" s="397"/>
      <c r="S394" s="377"/>
      <c r="T394" s="377"/>
      <c r="U394" s="377"/>
      <c r="V394" s="377"/>
      <c r="W394" s="377"/>
      <c r="X394" s="377"/>
      <c r="Y394" s="377"/>
    </row>
    <row r="395" spans="1:25" ht="15.75">
      <c r="A395" s="393"/>
      <c r="B395" s="394"/>
      <c r="C395" s="394"/>
      <c r="D395" s="394"/>
      <c r="E395" s="394"/>
      <c r="F395" s="394"/>
      <c r="G395" s="394"/>
      <c r="H395" s="394"/>
      <c r="I395" s="394"/>
      <c r="J395" s="394"/>
      <c r="K395" s="394"/>
      <c r="L395" s="394"/>
      <c r="M395" s="395"/>
      <c r="N395" s="396"/>
      <c r="O395" s="396"/>
      <c r="P395" s="397"/>
      <c r="Q395" s="397"/>
      <c r="R395" s="397"/>
      <c r="S395" s="377"/>
      <c r="T395" s="377"/>
      <c r="U395" s="377"/>
      <c r="V395" s="377"/>
      <c r="W395" s="377"/>
      <c r="X395" s="377"/>
      <c r="Y395" s="377"/>
    </row>
    <row r="396" spans="1:25" ht="15.75">
      <c r="A396" s="393"/>
      <c r="B396" s="394"/>
      <c r="C396" s="394"/>
      <c r="D396" s="394"/>
      <c r="E396" s="394"/>
      <c r="F396" s="394"/>
      <c r="G396" s="394"/>
      <c r="H396" s="394"/>
      <c r="I396" s="394"/>
      <c r="J396" s="394"/>
      <c r="K396" s="394"/>
      <c r="L396" s="394"/>
      <c r="M396" s="395"/>
      <c r="N396" s="396"/>
      <c r="O396" s="396"/>
      <c r="P396" s="397"/>
      <c r="Q396" s="397"/>
      <c r="R396" s="397"/>
      <c r="S396" s="377"/>
      <c r="T396" s="377"/>
      <c r="U396" s="377"/>
      <c r="V396" s="377"/>
      <c r="W396" s="377"/>
      <c r="X396" s="377"/>
      <c r="Y396" s="377"/>
    </row>
    <row r="397" spans="1:25" ht="15.75">
      <c r="A397" s="393"/>
      <c r="B397" s="394"/>
      <c r="C397" s="394"/>
      <c r="D397" s="394"/>
      <c r="E397" s="394"/>
      <c r="F397" s="394"/>
      <c r="G397" s="394"/>
      <c r="H397" s="394"/>
      <c r="I397" s="394"/>
      <c r="J397" s="394"/>
      <c r="K397" s="394"/>
      <c r="L397" s="394"/>
      <c r="M397" s="395"/>
      <c r="N397" s="396"/>
      <c r="O397" s="396"/>
      <c r="P397" s="397"/>
      <c r="Q397" s="397"/>
      <c r="R397" s="397"/>
      <c r="S397" s="377"/>
      <c r="T397" s="377"/>
      <c r="U397" s="377"/>
      <c r="V397" s="377"/>
      <c r="W397" s="377"/>
      <c r="X397" s="377"/>
      <c r="Y397" s="377"/>
    </row>
    <row r="398" spans="1:25" ht="15.75">
      <c r="A398" s="393"/>
      <c r="B398" s="394"/>
      <c r="C398" s="394"/>
      <c r="D398" s="394"/>
      <c r="E398" s="394"/>
      <c r="F398" s="394"/>
      <c r="G398" s="394"/>
      <c r="H398" s="394"/>
      <c r="I398" s="394"/>
      <c r="J398" s="394"/>
      <c r="K398" s="394"/>
      <c r="L398" s="394"/>
      <c r="M398" s="395"/>
      <c r="N398" s="396"/>
      <c r="O398" s="396"/>
      <c r="P398" s="397"/>
      <c r="Q398" s="397"/>
      <c r="R398" s="397"/>
      <c r="S398" s="377"/>
      <c r="T398" s="377"/>
      <c r="U398" s="377"/>
      <c r="V398" s="377"/>
      <c r="W398" s="377"/>
      <c r="X398" s="377"/>
      <c r="Y398" s="377"/>
    </row>
    <row r="399" spans="1:25" ht="15.75">
      <c r="A399" s="393"/>
      <c r="B399" s="394"/>
      <c r="C399" s="394"/>
      <c r="D399" s="394"/>
      <c r="E399" s="394"/>
      <c r="F399" s="394"/>
      <c r="G399" s="394"/>
      <c r="H399" s="394"/>
      <c r="I399" s="394"/>
      <c r="J399" s="394"/>
      <c r="K399" s="394"/>
      <c r="L399" s="394"/>
      <c r="M399" s="395"/>
      <c r="N399" s="396"/>
      <c r="O399" s="396"/>
      <c r="P399" s="397"/>
      <c r="Q399" s="397"/>
      <c r="R399" s="397"/>
      <c r="S399" s="377"/>
      <c r="T399" s="377"/>
      <c r="U399" s="377"/>
      <c r="V399" s="377"/>
      <c r="W399" s="377"/>
      <c r="X399" s="377"/>
      <c r="Y399" s="377"/>
    </row>
    <row r="400" spans="1:25" ht="15.75">
      <c r="A400" s="393"/>
      <c r="B400" s="394"/>
      <c r="C400" s="394"/>
      <c r="D400" s="394"/>
      <c r="E400" s="394"/>
      <c r="F400" s="394"/>
      <c r="G400" s="394"/>
      <c r="H400" s="394"/>
      <c r="I400" s="394"/>
      <c r="J400" s="394"/>
      <c r="K400" s="394"/>
      <c r="L400" s="394"/>
      <c r="M400" s="395"/>
      <c r="N400" s="396"/>
      <c r="O400" s="396"/>
      <c r="P400" s="397"/>
      <c r="Q400" s="397"/>
      <c r="R400" s="397"/>
      <c r="S400" s="377"/>
      <c r="T400" s="377"/>
      <c r="U400" s="377"/>
      <c r="V400" s="377"/>
      <c r="W400" s="377"/>
      <c r="X400" s="377"/>
      <c r="Y400" s="377"/>
    </row>
    <row r="401" spans="1:25" ht="15.75">
      <c r="A401" s="393"/>
      <c r="B401" s="394"/>
      <c r="C401" s="394"/>
      <c r="D401" s="394"/>
      <c r="E401" s="394"/>
      <c r="F401" s="394"/>
      <c r="G401" s="394"/>
      <c r="H401" s="394"/>
      <c r="I401" s="394"/>
      <c r="J401" s="394"/>
      <c r="K401" s="394"/>
      <c r="L401" s="394"/>
      <c r="M401" s="395"/>
      <c r="N401" s="396"/>
      <c r="O401" s="396"/>
      <c r="P401" s="397"/>
      <c r="Q401" s="397"/>
      <c r="R401" s="397"/>
      <c r="S401" s="377"/>
      <c r="T401" s="377"/>
      <c r="U401" s="377"/>
      <c r="V401" s="377"/>
      <c r="W401" s="377"/>
      <c r="X401" s="377"/>
      <c r="Y401" s="377"/>
    </row>
    <row r="402" spans="1:25" ht="15.75">
      <c r="A402" s="393"/>
      <c r="B402" s="394"/>
      <c r="C402" s="394"/>
      <c r="D402" s="394"/>
      <c r="E402" s="394"/>
      <c r="F402" s="394"/>
      <c r="G402" s="394"/>
      <c r="H402" s="394"/>
      <c r="I402" s="394"/>
      <c r="J402" s="394"/>
      <c r="K402" s="394"/>
      <c r="L402" s="394"/>
      <c r="M402" s="395"/>
      <c r="N402" s="396"/>
      <c r="O402" s="396"/>
      <c r="P402" s="397"/>
      <c r="Q402" s="397"/>
      <c r="R402" s="397"/>
      <c r="S402" s="377"/>
      <c r="T402" s="377"/>
      <c r="U402" s="377"/>
      <c r="V402" s="377"/>
      <c r="W402" s="377"/>
      <c r="X402" s="377"/>
      <c r="Y402" s="377"/>
    </row>
    <row r="403" spans="1:25" ht="15.75">
      <c r="A403" s="393"/>
      <c r="B403" s="394"/>
      <c r="C403" s="394"/>
      <c r="D403" s="394"/>
      <c r="E403" s="394"/>
      <c r="F403" s="394"/>
      <c r="G403" s="394"/>
      <c r="H403" s="394"/>
      <c r="I403" s="394"/>
      <c r="J403" s="394"/>
      <c r="K403" s="394"/>
      <c r="L403" s="394"/>
      <c r="M403" s="395"/>
      <c r="N403" s="396"/>
      <c r="O403" s="396"/>
      <c r="P403" s="397"/>
      <c r="Q403" s="397"/>
      <c r="R403" s="397"/>
      <c r="S403" s="377"/>
      <c r="T403" s="377"/>
      <c r="U403" s="377"/>
      <c r="V403" s="377"/>
      <c r="W403" s="377"/>
      <c r="X403" s="377"/>
      <c r="Y403" s="377"/>
    </row>
    <row r="404" spans="1:25" ht="15.75">
      <c r="A404" s="393"/>
      <c r="B404" s="394"/>
      <c r="C404" s="394"/>
      <c r="D404" s="394"/>
      <c r="E404" s="394"/>
      <c r="F404" s="394"/>
      <c r="G404" s="394"/>
      <c r="H404" s="394"/>
      <c r="I404" s="394"/>
      <c r="J404" s="394"/>
      <c r="K404" s="394"/>
      <c r="L404" s="394"/>
      <c r="M404" s="395"/>
      <c r="N404" s="396"/>
      <c r="O404" s="396"/>
      <c r="P404" s="397"/>
      <c r="Q404" s="397"/>
      <c r="R404" s="397"/>
      <c r="S404" s="377"/>
      <c r="T404" s="377"/>
      <c r="U404" s="377"/>
      <c r="V404" s="377"/>
      <c r="W404" s="377"/>
      <c r="X404" s="377"/>
      <c r="Y404" s="377"/>
    </row>
    <row r="405" spans="1:25" ht="15.75">
      <c r="A405" s="393"/>
      <c r="B405" s="394"/>
      <c r="C405" s="394"/>
      <c r="D405" s="394"/>
      <c r="E405" s="394"/>
      <c r="F405" s="394"/>
      <c r="G405" s="394"/>
      <c r="H405" s="394"/>
      <c r="I405" s="394"/>
      <c r="J405" s="394"/>
      <c r="K405" s="394"/>
      <c r="L405" s="394"/>
      <c r="M405" s="395"/>
      <c r="N405" s="396"/>
      <c r="O405" s="396"/>
      <c r="P405" s="397"/>
      <c r="Q405" s="397"/>
      <c r="R405" s="397"/>
      <c r="S405" s="377"/>
      <c r="T405" s="377"/>
      <c r="U405" s="377"/>
      <c r="V405" s="377"/>
      <c r="W405" s="377"/>
      <c r="X405" s="377"/>
      <c r="Y405" s="377"/>
    </row>
    <row r="406" spans="1:25" ht="15.75">
      <c r="A406" s="393"/>
      <c r="B406" s="394"/>
      <c r="C406" s="394"/>
      <c r="D406" s="394"/>
      <c r="E406" s="394"/>
      <c r="F406" s="394"/>
      <c r="G406" s="394"/>
      <c r="H406" s="394"/>
      <c r="I406" s="394"/>
      <c r="J406" s="394"/>
      <c r="K406" s="394"/>
      <c r="L406" s="394"/>
      <c r="M406" s="395"/>
      <c r="N406" s="396"/>
      <c r="O406" s="396"/>
      <c r="P406" s="397"/>
      <c r="Q406" s="397"/>
      <c r="R406" s="397"/>
      <c r="S406" s="377"/>
      <c r="T406" s="377"/>
      <c r="U406" s="377"/>
      <c r="V406" s="377"/>
      <c r="W406" s="377"/>
      <c r="X406" s="377"/>
      <c r="Y406" s="377"/>
    </row>
    <row r="407" spans="1:25" ht="15.75">
      <c r="A407" s="393"/>
      <c r="B407" s="394"/>
      <c r="C407" s="394"/>
      <c r="D407" s="394"/>
      <c r="E407" s="394"/>
      <c r="F407" s="394"/>
      <c r="G407" s="394"/>
      <c r="H407" s="394"/>
      <c r="I407" s="394"/>
      <c r="J407" s="394"/>
      <c r="K407" s="394"/>
      <c r="L407" s="394"/>
      <c r="M407" s="395"/>
      <c r="N407" s="396"/>
      <c r="O407" s="396"/>
      <c r="P407" s="397"/>
      <c r="Q407" s="397"/>
      <c r="R407" s="397"/>
      <c r="S407" s="377"/>
      <c r="T407" s="377"/>
      <c r="U407" s="377"/>
      <c r="V407" s="377"/>
      <c r="W407" s="377"/>
      <c r="X407" s="377"/>
      <c r="Y407" s="377"/>
    </row>
    <row r="408" spans="1:25" ht="15.75">
      <c r="A408" s="393"/>
      <c r="B408" s="394"/>
      <c r="C408" s="394"/>
      <c r="D408" s="394"/>
      <c r="E408" s="394"/>
      <c r="F408" s="394"/>
      <c r="G408" s="394"/>
      <c r="H408" s="394"/>
      <c r="I408" s="394"/>
      <c r="J408" s="394"/>
      <c r="K408" s="394"/>
      <c r="L408" s="394"/>
      <c r="M408" s="395"/>
      <c r="N408" s="396"/>
      <c r="O408" s="396"/>
      <c r="P408" s="397"/>
      <c r="Q408" s="397"/>
      <c r="R408" s="397"/>
      <c r="S408" s="377"/>
      <c r="T408" s="377"/>
      <c r="U408" s="377"/>
      <c r="V408" s="377"/>
      <c r="W408" s="377"/>
      <c r="X408" s="377"/>
      <c r="Y408" s="377"/>
    </row>
    <row r="409" spans="1:25" ht="15.75">
      <c r="A409" s="393"/>
      <c r="B409" s="394"/>
      <c r="C409" s="394"/>
      <c r="D409" s="394"/>
      <c r="E409" s="394"/>
      <c r="F409" s="394"/>
      <c r="G409" s="394"/>
      <c r="H409" s="394"/>
      <c r="I409" s="394"/>
      <c r="J409" s="394"/>
      <c r="K409" s="394"/>
      <c r="L409" s="394"/>
      <c r="M409" s="395"/>
      <c r="N409" s="396"/>
      <c r="O409" s="396"/>
      <c r="P409" s="397"/>
      <c r="Q409" s="397"/>
      <c r="R409" s="397"/>
      <c r="S409" s="377"/>
      <c r="T409" s="377"/>
      <c r="U409" s="377"/>
      <c r="V409" s="377"/>
      <c r="W409" s="377"/>
      <c r="X409" s="377"/>
      <c r="Y409" s="377"/>
    </row>
    <row r="410" spans="1:25" ht="15.75">
      <c r="A410" s="393"/>
      <c r="B410" s="394"/>
      <c r="C410" s="394"/>
      <c r="D410" s="394"/>
      <c r="E410" s="394"/>
      <c r="F410" s="394"/>
      <c r="G410" s="394"/>
      <c r="H410" s="394"/>
      <c r="I410" s="394"/>
      <c r="J410" s="394"/>
      <c r="K410" s="394"/>
      <c r="L410" s="394"/>
      <c r="M410" s="395"/>
      <c r="N410" s="396"/>
      <c r="O410" s="396"/>
      <c r="P410" s="397"/>
      <c r="Q410" s="397"/>
      <c r="R410" s="397"/>
      <c r="S410" s="377"/>
      <c r="T410" s="377"/>
      <c r="U410" s="377"/>
      <c r="V410" s="377"/>
      <c r="W410" s="377"/>
      <c r="X410" s="377"/>
      <c r="Y410" s="377"/>
    </row>
    <row r="411" spans="1:25" ht="15.75">
      <c r="A411" s="393"/>
      <c r="B411" s="394"/>
      <c r="C411" s="394"/>
      <c r="D411" s="394"/>
      <c r="E411" s="394"/>
      <c r="F411" s="394"/>
      <c r="G411" s="394"/>
      <c r="H411" s="394"/>
      <c r="I411" s="394"/>
      <c r="J411" s="394"/>
      <c r="K411" s="394"/>
      <c r="L411" s="394"/>
      <c r="M411" s="395"/>
      <c r="N411" s="396"/>
      <c r="O411" s="396"/>
      <c r="P411" s="397"/>
      <c r="Q411" s="397"/>
      <c r="R411" s="397"/>
      <c r="S411" s="377"/>
      <c r="T411" s="377"/>
      <c r="U411" s="377"/>
      <c r="V411" s="377"/>
      <c r="W411" s="377"/>
      <c r="X411" s="377"/>
      <c r="Y411" s="377"/>
    </row>
    <row r="412" spans="1:25" ht="15.75">
      <c r="A412" s="393"/>
      <c r="B412" s="394"/>
      <c r="C412" s="394"/>
      <c r="D412" s="394"/>
      <c r="E412" s="394"/>
      <c r="F412" s="394"/>
      <c r="G412" s="394"/>
      <c r="H412" s="394"/>
      <c r="I412" s="394"/>
      <c r="J412" s="394"/>
      <c r="K412" s="394"/>
      <c r="L412" s="394"/>
      <c r="M412" s="395"/>
      <c r="N412" s="396"/>
      <c r="O412" s="396"/>
      <c r="P412" s="397"/>
      <c r="Q412" s="397"/>
      <c r="R412" s="397"/>
      <c r="S412" s="377"/>
      <c r="T412" s="377"/>
      <c r="U412" s="377"/>
      <c r="V412" s="377"/>
      <c r="W412" s="377"/>
      <c r="X412" s="377"/>
      <c r="Y412" s="377"/>
    </row>
    <row r="413" spans="1:25" ht="15.75">
      <c r="A413" s="393"/>
      <c r="B413" s="394"/>
      <c r="C413" s="394"/>
      <c r="D413" s="394"/>
      <c r="E413" s="394"/>
      <c r="F413" s="394"/>
      <c r="G413" s="394"/>
      <c r="H413" s="394"/>
      <c r="I413" s="394"/>
      <c r="J413" s="394"/>
      <c r="K413" s="394"/>
      <c r="L413" s="394"/>
      <c r="M413" s="395"/>
      <c r="N413" s="396"/>
      <c r="O413" s="396"/>
      <c r="P413" s="397"/>
      <c r="Q413" s="397"/>
      <c r="R413" s="397"/>
      <c r="S413" s="377"/>
      <c r="T413" s="377"/>
      <c r="U413" s="377"/>
      <c r="V413" s="377"/>
      <c r="W413" s="377"/>
      <c r="X413" s="377"/>
      <c r="Y413" s="377"/>
    </row>
    <row r="414" spans="1:25" ht="15.75">
      <c r="A414" s="393"/>
      <c r="B414" s="394"/>
      <c r="C414" s="394"/>
      <c r="D414" s="394"/>
      <c r="E414" s="394"/>
      <c r="F414" s="394"/>
      <c r="G414" s="394"/>
      <c r="H414" s="394"/>
      <c r="I414" s="394"/>
      <c r="J414" s="394"/>
      <c r="K414" s="394"/>
      <c r="L414" s="394"/>
      <c r="M414" s="395"/>
      <c r="N414" s="396"/>
      <c r="O414" s="396"/>
      <c r="P414" s="397"/>
      <c r="Q414" s="397"/>
      <c r="R414" s="397"/>
      <c r="S414" s="377"/>
      <c r="T414" s="377"/>
      <c r="U414" s="377"/>
      <c r="V414" s="377"/>
      <c r="W414" s="377"/>
      <c r="X414" s="377"/>
      <c r="Y414" s="377"/>
    </row>
    <row r="415" spans="1:25" ht="15.75">
      <c r="A415" s="393"/>
      <c r="B415" s="394"/>
      <c r="C415" s="394"/>
      <c r="D415" s="394"/>
      <c r="E415" s="394"/>
      <c r="F415" s="394"/>
      <c r="G415" s="394"/>
      <c r="H415" s="394"/>
      <c r="I415" s="394"/>
      <c r="J415" s="394"/>
      <c r="K415" s="394"/>
      <c r="L415" s="394"/>
      <c r="M415" s="395"/>
      <c r="N415" s="396"/>
      <c r="O415" s="396"/>
      <c r="P415" s="397"/>
      <c r="Q415" s="397"/>
      <c r="R415" s="397"/>
      <c r="S415" s="377"/>
      <c r="T415" s="377"/>
      <c r="U415" s="377"/>
      <c r="V415" s="377"/>
      <c r="W415" s="377"/>
      <c r="X415" s="377"/>
      <c r="Y415" s="377"/>
    </row>
    <row r="416" spans="1:25" ht="15.75">
      <c r="A416" s="393"/>
      <c r="B416" s="394"/>
      <c r="C416" s="394"/>
      <c r="D416" s="394"/>
      <c r="E416" s="394"/>
      <c r="F416" s="394"/>
      <c r="G416" s="394"/>
      <c r="H416" s="394"/>
      <c r="I416" s="394"/>
      <c r="J416" s="394"/>
      <c r="K416" s="394"/>
      <c r="L416" s="394"/>
      <c r="M416" s="395"/>
      <c r="N416" s="396"/>
      <c r="O416" s="396"/>
      <c r="P416" s="397"/>
      <c r="Q416" s="397"/>
      <c r="R416" s="397"/>
      <c r="S416" s="377"/>
      <c r="T416" s="377"/>
      <c r="U416" s="377"/>
      <c r="V416" s="377"/>
      <c r="W416" s="377"/>
      <c r="X416" s="377"/>
      <c r="Y416" s="377"/>
    </row>
    <row r="417" spans="1:25" ht="15.75">
      <c r="A417" s="393"/>
      <c r="B417" s="394"/>
      <c r="C417" s="394"/>
      <c r="D417" s="394"/>
      <c r="E417" s="394"/>
      <c r="F417" s="394"/>
      <c r="G417" s="394"/>
      <c r="H417" s="394"/>
      <c r="I417" s="394"/>
      <c r="J417" s="394"/>
      <c r="K417" s="394"/>
      <c r="L417" s="394"/>
      <c r="M417" s="395"/>
      <c r="N417" s="396"/>
      <c r="O417" s="396"/>
      <c r="P417" s="397"/>
      <c r="Q417" s="397"/>
      <c r="R417" s="397"/>
      <c r="S417" s="377"/>
      <c r="T417" s="377"/>
      <c r="U417" s="377"/>
      <c r="V417" s="377"/>
      <c r="W417" s="377"/>
      <c r="X417" s="377"/>
      <c r="Y417" s="377"/>
    </row>
    <row r="418" spans="1:25" ht="15.75">
      <c r="A418" s="393"/>
      <c r="B418" s="394"/>
      <c r="C418" s="394"/>
      <c r="D418" s="394"/>
      <c r="E418" s="394"/>
      <c r="F418" s="394"/>
      <c r="G418" s="394"/>
      <c r="H418" s="394"/>
      <c r="I418" s="394"/>
      <c r="J418" s="394"/>
      <c r="K418" s="394"/>
      <c r="L418" s="394"/>
      <c r="M418" s="395"/>
      <c r="N418" s="396"/>
      <c r="O418" s="396"/>
      <c r="P418" s="397"/>
      <c r="Q418" s="397"/>
      <c r="R418" s="397"/>
      <c r="S418" s="377"/>
      <c r="T418" s="377"/>
      <c r="U418" s="377"/>
      <c r="V418" s="377"/>
      <c r="W418" s="377"/>
      <c r="X418" s="377"/>
      <c r="Y418" s="377"/>
    </row>
    <row r="419" spans="1:25" ht="15.75">
      <c r="A419" s="393"/>
      <c r="B419" s="394"/>
      <c r="C419" s="394"/>
      <c r="D419" s="394"/>
      <c r="E419" s="394"/>
      <c r="F419" s="394"/>
      <c r="G419" s="394"/>
      <c r="H419" s="394"/>
      <c r="I419" s="394"/>
      <c r="J419" s="394"/>
      <c r="K419" s="394"/>
      <c r="L419" s="394"/>
      <c r="M419" s="395"/>
      <c r="N419" s="396"/>
      <c r="O419" s="396"/>
      <c r="P419" s="397"/>
      <c r="Q419" s="397"/>
      <c r="R419" s="397"/>
      <c r="S419" s="377"/>
      <c r="T419" s="377"/>
      <c r="U419" s="377"/>
      <c r="V419" s="377"/>
      <c r="W419" s="377"/>
      <c r="X419" s="377"/>
      <c r="Y419" s="377"/>
    </row>
    <row r="420" spans="1:25" ht="15.75">
      <c r="A420" s="393"/>
      <c r="B420" s="394"/>
      <c r="C420" s="394"/>
      <c r="D420" s="394"/>
      <c r="E420" s="394"/>
      <c r="F420" s="394"/>
      <c r="G420" s="394"/>
      <c r="H420" s="394"/>
      <c r="I420" s="394"/>
      <c r="J420" s="394"/>
      <c r="K420" s="394"/>
      <c r="L420" s="394"/>
      <c r="M420" s="395"/>
      <c r="N420" s="396"/>
      <c r="O420" s="396"/>
      <c r="P420" s="397"/>
      <c r="Q420" s="397"/>
      <c r="R420" s="397"/>
      <c r="S420" s="377"/>
      <c r="T420" s="377"/>
      <c r="U420" s="377"/>
      <c r="V420" s="377"/>
      <c r="W420" s="377"/>
      <c r="X420" s="377"/>
      <c r="Y420" s="377"/>
    </row>
    <row r="421" spans="1:25" ht="15.75">
      <c r="A421" s="393"/>
      <c r="B421" s="394"/>
      <c r="C421" s="394"/>
      <c r="D421" s="394"/>
      <c r="E421" s="394"/>
      <c r="F421" s="394"/>
      <c r="G421" s="394"/>
      <c r="H421" s="394"/>
      <c r="I421" s="394"/>
      <c r="J421" s="394"/>
      <c r="K421" s="394"/>
      <c r="L421" s="394"/>
      <c r="M421" s="395"/>
      <c r="N421" s="396"/>
      <c r="O421" s="396"/>
      <c r="P421" s="397"/>
      <c r="Q421" s="397"/>
      <c r="R421" s="397"/>
      <c r="S421" s="377"/>
      <c r="T421" s="377"/>
      <c r="U421" s="377"/>
      <c r="V421" s="377"/>
      <c r="W421" s="377"/>
      <c r="X421" s="377"/>
      <c r="Y421" s="377"/>
    </row>
    <row r="422" spans="1:25" ht="15.75">
      <c r="A422" s="393"/>
      <c r="B422" s="394"/>
      <c r="C422" s="394"/>
      <c r="D422" s="394"/>
      <c r="E422" s="394"/>
      <c r="F422" s="394"/>
      <c r="G422" s="394"/>
      <c r="H422" s="394"/>
      <c r="I422" s="394"/>
      <c r="J422" s="394"/>
      <c r="K422" s="394"/>
      <c r="L422" s="394"/>
      <c r="M422" s="395"/>
      <c r="N422" s="396"/>
      <c r="O422" s="396"/>
      <c r="P422" s="397"/>
      <c r="Q422" s="397"/>
      <c r="R422" s="397"/>
      <c r="S422" s="377"/>
      <c r="T422" s="377"/>
      <c r="U422" s="377"/>
      <c r="V422" s="377"/>
      <c r="W422" s="377"/>
      <c r="X422" s="377"/>
      <c r="Y422" s="377"/>
    </row>
    <row r="423" spans="1:25" ht="15.75">
      <c r="A423" s="393"/>
      <c r="B423" s="394"/>
      <c r="C423" s="394"/>
      <c r="D423" s="394"/>
      <c r="E423" s="394"/>
      <c r="F423" s="394"/>
      <c r="G423" s="394"/>
      <c r="H423" s="394"/>
      <c r="I423" s="394"/>
      <c r="J423" s="394"/>
      <c r="K423" s="394"/>
      <c r="L423" s="394"/>
      <c r="M423" s="395"/>
      <c r="N423" s="396"/>
      <c r="O423" s="396"/>
      <c r="P423" s="397"/>
      <c r="Q423" s="397"/>
      <c r="R423" s="397"/>
      <c r="S423" s="377"/>
      <c r="T423" s="377"/>
      <c r="U423" s="377"/>
      <c r="V423" s="377"/>
      <c r="W423" s="377"/>
      <c r="X423" s="377"/>
      <c r="Y423" s="377"/>
    </row>
    <row r="424" spans="1:25" ht="15.75">
      <c r="A424" s="393"/>
      <c r="B424" s="394"/>
      <c r="C424" s="394"/>
      <c r="D424" s="394"/>
      <c r="E424" s="394"/>
      <c r="F424" s="394"/>
      <c r="G424" s="394"/>
      <c r="H424" s="394"/>
      <c r="I424" s="394"/>
      <c r="J424" s="394"/>
      <c r="K424" s="394"/>
      <c r="L424" s="394"/>
      <c r="M424" s="395"/>
      <c r="N424" s="396"/>
      <c r="O424" s="396"/>
      <c r="P424" s="397"/>
      <c r="Q424" s="397"/>
      <c r="R424" s="397"/>
      <c r="S424" s="377"/>
      <c r="T424" s="377"/>
      <c r="U424" s="377"/>
      <c r="V424" s="377"/>
      <c r="W424" s="377"/>
      <c r="X424" s="377"/>
      <c r="Y424" s="377"/>
    </row>
    <row r="425" spans="1:25" ht="15.75">
      <c r="A425" s="393"/>
      <c r="B425" s="394"/>
      <c r="C425" s="394"/>
      <c r="D425" s="394"/>
      <c r="E425" s="394"/>
      <c r="F425" s="394"/>
      <c r="G425" s="394"/>
      <c r="H425" s="394"/>
      <c r="I425" s="394"/>
      <c r="J425" s="394"/>
      <c r="K425" s="394"/>
      <c r="L425" s="394"/>
      <c r="M425" s="395"/>
      <c r="N425" s="396"/>
      <c r="O425" s="396"/>
      <c r="P425" s="397"/>
      <c r="Q425" s="397"/>
      <c r="R425" s="397"/>
      <c r="S425" s="377"/>
      <c r="T425" s="377"/>
      <c r="U425" s="377"/>
      <c r="V425" s="377"/>
      <c r="W425" s="377"/>
      <c r="X425" s="377"/>
      <c r="Y425" s="377"/>
    </row>
    <row r="426" spans="1:25" ht="15.75">
      <c r="A426" s="393"/>
      <c r="B426" s="394"/>
      <c r="C426" s="394"/>
      <c r="D426" s="394"/>
      <c r="E426" s="394"/>
      <c r="F426" s="394"/>
      <c r="G426" s="394"/>
      <c r="H426" s="394"/>
      <c r="I426" s="394"/>
      <c r="J426" s="394"/>
      <c r="K426" s="394"/>
      <c r="L426" s="394"/>
      <c r="M426" s="395"/>
      <c r="N426" s="396"/>
      <c r="O426" s="396"/>
      <c r="P426" s="397"/>
      <c r="Q426" s="397"/>
      <c r="R426" s="397"/>
      <c r="S426" s="377"/>
      <c r="T426" s="377"/>
      <c r="U426" s="377"/>
      <c r="V426" s="377"/>
      <c r="W426" s="377"/>
      <c r="X426" s="377"/>
      <c r="Y426" s="377"/>
    </row>
    <row r="427" spans="1:25" ht="15.75">
      <c r="A427" s="393"/>
      <c r="B427" s="394"/>
      <c r="C427" s="394"/>
      <c r="D427" s="394"/>
      <c r="E427" s="394"/>
      <c r="F427" s="394"/>
      <c r="G427" s="394"/>
      <c r="H427" s="394"/>
      <c r="I427" s="394"/>
      <c r="J427" s="394"/>
      <c r="K427" s="394"/>
      <c r="L427" s="394"/>
      <c r="M427" s="395"/>
      <c r="N427" s="396"/>
      <c r="O427" s="396"/>
      <c r="P427" s="397"/>
      <c r="Q427" s="397"/>
      <c r="R427" s="397"/>
      <c r="S427" s="377"/>
      <c r="T427" s="377"/>
      <c r="U427" s="377"/>
      <c r="V427" s="377"/>
      <c r="W427" s="377"/>
      <c r="X427" s="377"/>
      <c r="Y427" s="377"/>
    </row>
    <row r="428" spans="1:25" ht="15.75">
      <c r="A428" s="393"/>
      <c r="B428" s="394"/>
      <c r="C428" s="394"/>
      <c r="D428" s="394"/>
      <c r="E428" s="394"/>
      <c r="F428" s="394"/>
      <c r="G428" s="394"/>
      <c r="H428" s="394"/>
      <c r="I428" s="394"/>
      <c r="J428" s="394"/>
      <c r="K428" s="394"/>
      <c r="L428" s="394"/>
      <c r="M428" s="395"/>
      <c r="N428" s="396"/>
      <c r="O428" s="396"/>
      <c r="P428" s="397"/>
      <c r="Q428" s="397"/>
      <c r="R428" s="397"/>
      <c r="S428" s="377"/>
      <c r="T428" s="377"/>
      <c r="U428" s="377"/>
      <c r="V428" s="377"/>
      <c r="W428" s="377"/>
      <c r="X428" s="377"/>
      <c r="Y428" s="377"/>
    </row>
    <row r="429" spans="1:25" ht="15.75">
      <c r="A429" s="393"/>
      <c r="B429" s="394"/>
      <c r="C429" s="394"/>
      <c r="D429" s="394"/>
      <c r="E429" s="394"/>
      <c r="F429" s="394"/>
      <c r="G429" s="394"/>
      <c r="H429" s="394"/>
      <c r="I429" s="394"/>
      <c r="J429" s="394"/>
      <c r="K429" s="394"/>
      <c r="L429" s="394"/>
      <c r="M429" s="395"/>
      <c r="N429" s="396"/>
      <c r="O429" s="396"/>
      <c r="P429" s="397"/>
      <c r="Q429" s="397"/>
      <c r="R429" s="397"/>
      <c r="S429" s="377"/>
      <c r="T429" s="377"/>
      <c r="U429" s="377"/>
      <c r="V429" s="377"/>
      <c r="W429" s="377"/>
      <c r="X429" s="377"/>
      <c r="Y429" s="377"/>
    </row>
    <row r="430" spans="1:25" ht="15.75">
      <c r="A430" s="393"/>
      <c r="B430" s="394"/>
      <c r="C430" s="394"/>
      <c r="D430" s="394"/>
      <c r="E430" s="394"/>
      <c r="F430" s="394"/>
      <c r="G430" s="394"/>
      <c r="H430" s="394"/>
      <c r="I430" s="394"/>
      <c r="J430" s="394"/>
      <c r="K430" s="394"/>
      <c r="L430" s="394"/>
      <c r="M430" s="395"/>
      <c r="N430" s="396"/>
      <c r="O430" s="396"/>
      <c r="P430" s="397"/>
      <c r="Q430" s="397"/>
      <c r="R430" s="397"/>
      <c r="S430" s="377"/>
      <c r="T430" s="377"/>
      <c r="U430" s="377"/>
      <c r="V430" s="377"/>
      <c r="W430" s="377"/>
      <c r="X430" s="377"/>
      <c r="Y430" s="377"/>
    </row>
    <row r="431" spans="1:25" ht="15.75">
      <c r="A431" s="393"/>
      <c r="B431" s="394"/>
      <c r="C431" s="394"/>
      <c r="D431" s="394"/>
      <c r="E431" s="394"/>
      <c r="F431" s="394"/>
      <c r="G431" s="394"/>
      <c r="H431" s="394"/>
      <c r="I431" s="394"/>
      <c r="J431" s="394"/>
      <c r="K431" s="394"/>
      <c r="L431" s="394"/>
      <c r="M431" s="395"/>
      <c r="N431" s="396"/>
      <c r="O431" s="396"/>
      <c r="P431" s="397"/>
      <c r="Q431" s="397"/>
      <c r="R431" s="397"/>
      <c r="S431" s="377"/>
      <c r="T431" s="377"/>
      <c r="U431" s="377"/>
      <c r="V431" s="377"/>
      <c r="W431" s="377"/>
      <c r="X431" s="377"/>
      <c r="Y431" s="377"/>
    </row>
    <row r="432" spans="1:25" ht="15.75">
      <c r="A432" s="393"/>
      <c r="B432" s="394"/>
      <c r="C432" s="394"/>
      <c r="D432" s="394"/>
      <c r="E432" s="394"/>
      <c r="F432" s="394"/>
      <c r="G432" s="394"/>
      <c r="H432" s="394"/>
      <c r="I432" s="394"/>
      <c r="J432" s="394"/>
      <c r="K432" s="394"/>
      <c r="L432" s="394"/>
      <c r="M432" s="395"/>
      <c r="N432" s="396"/>
      <c r="O432" s="396"/>
      <c r="P432" s="397"/>
      <c r="Q432" s="397"/>
      <c r="R432" s="397"/>
      <c r="S432" s="377"/>
      <c r="T432" s="377"/>
      <c r="U432" s="377"/>
      <c r="V432" s="377"/>
      <c r="W432" s="377"/>
      <c r="X432" s="377"/>
      <c r="Y432" s="377"/>
    </row>
    <row r="433" spans="1:25" ht="15.75">
      <c r="A433" s="393"/>
      <c r="B433" s="394"/>
      <c r="C433" s="394"/>
      <c r="D433" s="394"/>
      <c r="E433" s="394"/>
      <c r="F433" s="394"/>
      <c r="G433" s="394"/>
      <c r="H433" s="394"/>
      <c r="I433" s="394"/>
      <c r="J433" s="394"/>
      <c r="K433" s="394"/>
      <c r="L433" s="394"/>
      <c r="M433" s="395"/>
      <c r="N433" s="396"/>
      <c r="O433" s="396"/>
      <c r="P433" s="397"/>
      <c r="Q433" s="397"/>
      <c r="R433" s="397"/>
      <c r="S433" s="377"/>
      <c r="T433" s="377"/>
      <c r="U433" s="377"/>
      <c r="V433" s="377"/>
      <c r="W433" s="377"/>
      <c r="X433" s="377"/>
      <c r="Y433" s="377"/>
    </row>
    <row r="434" spans="1:25" ht="15.75">
      <c r="A434" s="393"/>
      <c r="B434" s="394"/>
      <c r="C434" s="394"/>
      <c r="D434" s="394"/>
      <c r="E434" s="394"/>
      <c r="F434" s="394"/>
      <c r="G434" s="394"/>
      <c r="H434" s="394"/>
      <c r="I434" s="394"/>
      <c r="J434" s="394"/>
      <c r="K434" s="394"/>
      <c r="L434" s="394"/>
      <c r="M434" s="395"/>
      <c r="N434" s="396"/>
      <c r="O434" s="396"/>
      <c r="P434" s="397"/>
      <c r="Q434" s="397"/>
      <c r="R434" s="397"/>
      <c r="S434" s="377"/>
      <c r="T434" s="377"/>
      <c r="U434" s="377"/>
      <c r="V434" s="377"/>
      <c r="W434" s="377"/>
      <c r="X434" s="377"/>
      <c r="Y434" s="377"/>
    </row>
    <row r="435" spans="1:25" ht="15.75">
      <c r="A435" s="393"/>
      <c r="B435" s="394"/>
      <c r="C435" s="394"/>
      <c r="D435" s="394"/>
      <c r="E435" s="394"/>
      <c r="F435" s="394"/>
      <c r="G435" s="394"/>
      <c r="H435" s="394"/>
      <c r="I435" s="394"/>
      <c r="J435" s="394"/>
      <c r="K435" s="394"/>
      <c r="L435" s="394"/>
      <c r="M435" s="395"/>
      <c r="N435" s="396"/>
      <c r="O435" s="396"/>
      <c r="P435" s="397"/>
      <c r="Q435" s="397"/>
      <c r="R435" s="397"/>
      <c r="S435" s="377"/>
      <c r="T435" s="377"/>
      <c r="U435" s="377"/>
      <c r="V435" s="377"/>
      <c r="W435" s="377"/>
      <c r="X435" s="377"/>
      <c r="Y435" s="377"/>
    </row>
    <row r="436" spans="1:25" ht="15.75">
      <c r="A436" s="393"/>
      <c r="B436" s="394"/>
      <c r="C436" s="394"/>
      <c r="D436" s="394"/>
      <c r="E436" s="394"/>
      <c r="F436" s="394"/>
      <c r="G436" s="394"/>
      <c r="H436" s="394"/>
      <c r="I436" s="394"/>
      <c r="J436" s="394"/>
      <c r="K436" s="394"/>
      <c r="L436" s="394"/>
      <c r="M436" s="395"/>
      <c r="N436" s="396"/>
      <c r="O436" s="396"/>
      <c r="P436" s="397"/>
      <c r="Q436" s="397"/>
      <c r="R436" s="397"/>
      <c r="S436" s="377"/>
      <c r="T436" s="377"/>
      <c r="U436" s="377"/>
      <c r="V436" s="377"/>
      <c r="W436" s="377"/>
      <c r="X436" s="377"/>
      <c r="Y436" s="377"/>
    </row>
    <row r="437" spans="1:25" ht="15.75">
      <c r="A437" s="393"/>
      <c r="B437" s="394"/>
      <c r="C437" s="394"/>
      <c r="D437" s="394"/>
      <c r="E437" s="394"/>
      <c r="F437" s="394"/>
      <c r="G437" s="394"/>
      <c r="H437" s="394"/>
      <c r="I437" s="394"/>
      <c r="J437" s="394"/>
      <c r="K437" s="394"/>
      <c r="L437" s="394"/>
      <c r="M437" s="395"/>
      <c r="N437" s="396"/>
      <c r="O437" s="396"/>
      <c r="P437" s="397"/>
      <c r="Q437" s="397"/>
      <c r="R437" s="397"/>
      <c r="S437" s="377"/>
      <c r="T437" s="377"/>
      <c r="U437" s="377"/>
      <c r="V437" s="377"/>
      <c r="W437" s="377"/>
      <c r="X437" s="377"/>
      <c r="Y437" s="377"/>
    </row>
    <row r="438" spans="1:25" ht="15.75">
      <c r="A438" s="393"/>
      <c r="B438" s="394"/>
      <c r="C438" s="394"/>
      <c r="D438" s="394"/>
      <c r="E438" s="394"/>
      <c r="F438" s="394"/>
      <c r="G438" s="394"/>
      <c r="H438" s="394"/>
      <c r="I438" s="394"/>
      <c r="J438" s="394"/>
      <c r="K438" s="394"/>
      <c r="L438" s="394"/>
      <c r="M438" s="395"/>
      <c r="N438" s="396"/>
      <c r="O438" s="396"/>
      <c r="P438" s="397"/>
      <c r="Q438" s="397"/>
      <c r="R438" s="397"/>
      <c r="S438" s="377"/>
      <c r="T438" s="377"/>
      <c r="U438" s="377"/>
      <c r="V438" s="377"/>
      <c r="W438" s="377"/>
      <c r="X438" s="377"/>
      <c r="Y438" s="377"/>
    </row>
    <row r="439" spans="1:25" ht="15.75">
      <c r="A439" s="393"/>
      <c r="B439" s="394"/>
      <c r="C439" s="394"/>
      <c r="D439" s="394"/>
      <c r="E439" s="394"/>
      <c r="F439" s="394"/>
      <c r="G439" s="394"/>
      <c r="H439" s="394"/>
      <c r="I439" s="394"/>
      <c r="J439" s="394"/>
      <c r="K439" s="394"/>
      <c r="L439" s="394"/>
      <c r="M439" s="395"/>
      <c r="N439" s="396"/>
      <c r="O439" s="396"/>
      <c r="P439" s="397"/>
      <c r="Q439" s="397"/>
      <c r="R439" s="397"/>
      <c r="S439" s="377"/>
      <c r="T439" s="377"/>
      <c r="U439" s="377"/>
      <c r="V439" s="377"/>
      <c r="W439" s="377"/>
      <c r="X439" s="377"/>
      <c r="Y439" s="377"/>
    </row>
    <row r="440" spans="1:25" ht="15.75">
      <c r="A440" s="393"/>
      <c r="B440" s="394"/>
      <c r="C440" s="394"/>
      <c r="D440" s="394"/>
      <c r="E440" s="394"/>
      <c r="F440" s="394"/>
      <c r="G440" s="394"/>
      <c r="H440" s="394"/>
      <c r="I440" s="394"/>
      <c r="J440" s="394"/>
      <c r="K440" s="394"/>
      <c r="L440" s="394"/>
      <c r="M440" s="395"/>
      <c r="N440" s="396"/>
      <c r="O440" s="396"/>
      <c r="P440" s="397"/>
      <c r="Q440" s="397"/>
      <c r="R440" s="397"/>
      <c r="S440" s="377"/>
      <c r="T440" s="377"/>
      <c r="U440" s="377"/>
      <c r="V440" s="377"/>
      <c r="W440" s="377"/>
      <c r="X440" s="377"/>
      <c r="Y440" s="377"/>
    </row>
    <row r="441" spans="1:25" ht="15.75">
      <c r="A441" s="393"/>
      <c r="B441" s="394"/>
      <c r="C441" s="394"/>
      <c r="D441" s="394"/>
      <c r="E441" s="394"/>
      <c r="F441" s="394"/>
      <c r="G441" s="394"/>
      <c r="H441" s="394"/>
      <c r="I441" s="394"/>
      <c r="J441" s="394"/>
      <c r="K441" s="394"/>
      <c r="L441" s="394"/>
      <c r="M441" s="395"/>
      <c r="N441" s="396"/>
      <c r="O441" s="396"/>
      <c r="P441" s="397"/>
      <c r="Q441" s="397"/>
      <c r="R441" s="397"/>
      <c r="S441" s="377"/>
      <c r="T441" s="377"/>
      <c r="U441" s="377"/>
      <c r="V441" s="377"/>
      <c r="W441" s="377"/>
      <c r="X441" s="377"/>
      <c r="Y441" s="377"/>
    </row>
    <row r="442" spans="1:25" ht="15.75">
      <c r="A442" s="393"/>
      <c r="B442" s="394"/>
      <c r="C442" s="394"/>
      <c r="D442" s="394"/>
      <c r="E442" s="394"/>
      <c r="F442" s="394"/>
      <c r="G442" s="394"/>
      <c r="H442" s="394"/>
      <c r="I442" s="394"/>
      <c r="J442" s="394"/>
      <c r="K442" s="394"/>
      <c r="L442" s="394"/>
      <c r="M442" s="395"/>
      <c r="N442" s="396"/>
      <c r="O442" s="396"/>
      <c r="P442" s="397"/>
      <c r="Q442" s="397"/>
      <c r="R442" s="397"/>
      <c r="S442" s="377"/>
      <c r="T442" s="377"/>
      <c r="U442" s="377"/>
      <c r="V442" s="377"/>
      <c r="W442" s="377"/>
      <c r="X442" s="377"/>
      <c r="Y442" s="377"/>
    </row>
    <row r="443" spans="1:25" ht="15.75">
      <c r="A443" s="393"/>
      <c r="B443" s="394"/>
      <c r="C443" s="394"/>
      <c r="D443" s="394"/>
      <c r="E443" s="394"/>
      <c r="F443" s="394"/>
      <c r="G443" s="394"/>
      <c r="H443" s="394"/>
      <c r="I443" s="394"/>
      <c r="J443" s="394"/>
      <c r="K443" s="394"/>
      <c r="L443" s="394"/>
      <c r="M443" s="395"/>
      <c r="N443" s="396"/>
      <c r="O443" s="396"/>
      <c r="P443" s="397"/>
      <c r="Q443" s="397"/>
      <c r="R443" s="397"/>
      <c r="S443" s="377"/>
      <c r="T443" s="377"/>
      <c r="U443" s="377"/>
      <c r="V443" s="377"/>
      <c r="W443" s="377"/>
      <c r="X443" s="377"/>
      <c r="Y443" s="377"/>
    </row>
    <row r="444" spans="1:25" ht="15.75">
      <c r="A444" s="393"/>
      <c r="B444" s="394"/>
      <c r="C444" s="394"/>
      <c r="D444" s="394"/>
      <c r="E444" s="394"/>
      <c r="F444" s="394"/>
      <c r="G444" s="394"/>
      <c r="H444" s="394"/>
      <c r="I444" s="394"/>
      <c r="J444" s="394"/>
      <c r="K444" s="394"/>
      <c r="L444" s="394"/>
      <c r="M444" s="395"/>
      <c r="N444" s="396"/>
      <c r="O444" s="396"/>
      <c r="P444" s="397"/>
      <c r="Q444" s="397"/>
      <c r="R444" s="397"/>
      <c r="S444" s="377"/>
      <c r="T444" s="377"/>
      <c r="U444" s="377"/>
      <c r="V444" s="377"/>
      <c r="W444" s="377"/>
      <c r="X444" s="377"/>
      <c r="Y444" s="377"/>
    </row>
    <row r="445" spans="1:25" ht="15.75">
      <c r="A445" s="393"/>
      <c r="B445" s="394"/>
      <c r="C445" s="394"/>
      <c r="D445" s="394"/>
      <c r="E445" s="394"/>
      <c r="F445" s="394"/>
      <c r="G445" s="394"/>
      <c r="H445" s="394"/>
      <c r="I445" s="394"/>
      <c r="J445" s="394"/>
      <c r="K445" s="394"/>
      <c r="L445" s="394"/>
      <c r="M445" s="395"/>
      <c r="N445" s="396"/>
      <c r="O445" s="396"/>
      <c r="P445" s="397"/>
      <c r="Q445" s="397"/>
      <c r="R445" s="397"/>
      <c r="S445" s="377"/>
      <c r="T445" s="377"/>
      <c r="U445" s="377"/>
      <c r="V445" s="377"/>
      <c r="W445" s="377"/>
      <c r="X445" s="377"/>
      <c r="Y445" s="377"/>
    </row>
    <row r="446" spans="1:25" ht="15.75">
      <c r="A446" s="393"/>
      <c r="B446" s="394"/>
      <c r="C446" s="394"/>
      <c r="D446" s="394"/>
      <c r="E446" s="394"/>
      <c r="F446" s="394"/>
      <c r="G446" s="394"/>
      <c r="H446" s="394"/>
      <c r="I446" s="394"/>
      <c r="J446" s="394"/>
      <c r="K446" s="394"/>
      <c r="L446" s="394"/>
      <c r="M446" s="395"/>
      <c r="N446" s="396"/>
      <c r="O446" s="396"/>
      <c r="P446" s="397"/>
      <c r="Q446" s="397"/>
      <c r="R446" s="397"/>
      <c r="S446" s="377"/>
      <c r="T446" s="377"/>
      <c r="U446" s="377"/>
      <c r="V446" s="377"/>
      <c r="W446" s="377"/>
      <c r="X446" s="377"/>
      <c r="Y446" s="377"/>
    </row>
    <row r="447" spans="1:25" ht="15.75">
      <c r="A447" s="393"/>
      <c r="B447" s="394"/>
      <c r="C447" s="394"/>
      <c r="D447" s="394"/>
      <c r="E447" s="394"/>
      <c r="F447" s="394"/>
      <c r="G447" s="394"/>
      <c r="H447" s="394"/>
      <c r="I447" s="394"/>
      <c r="J447" s="394"/>
      <c r="K447" s="394"/>
      <c r="L447" s="394"/>
      <c r="M447" s="395"/>
      <c r="N447" s="396"/>
      <c r="O447" s="396"/>
      <c r="P447" s="397"/>
      <c r="Q447" s="397"/>
      <c r="R447" s="397"/>
      <c r="S447" s="377"/>
      <c r="T447" s="377"/>
      <c r="U447" s="377"/>
      <c r="V447" s="377"/>
      <c r="W447" s="377"/>
      <c r="X447" s="377"/>
      <c r="Y447" s="377"/>
    </row>
    <row r="448" spans="1:25" ht="15.75">
      <c r="A448" s="393"/>
      <c r="B448" s="394"/>
      <c r="C448" s="394"/>
      <c r="D448" s="394"/>
      <c r="E448" s="394"/>
      <c r="F448" s="394"/>
      <c r="G448" s="394"/>
      <c r="H448" s="394"/>
      <c r="I448" s="394"/>
      <c r="J448" s="394"/>
      <c r="K448" s="394"/>
      <c r="L448" s="394"/>
      <c r="M448" s="395"/>
      <c r="N448" s="396"/>
      <c r="O448" s="396"/>
      <c r="P448" s="397"/>
      <c r="Q448" s="397"/>
      <c r="R448" s="397"/>
      <c r="S448" s="377"/>
      <c r="T448" s="377"/>
      <c r="U448" s="377"/>
      <c r="V448" s="377"/>
      <c r="W448" s="377"/>
      <c r="X448" s="377"/>
      <c r="Y448" s="377"/>
    </row>
    <row r="449" spans="1:25" ht="15.75">
      <c r="A449" s="393"/>
      <c r="B449" s="394"/>
      <c r="C449" s="394"/>
      <c r="D449" s="394"/>
      <c r="E449" s="394"/>
      <c r="F449" s="394"/>
      <c r="G449" s="394"/>
      <c r="H449" s="394"/>
      <c r="I449" s="394"/>
      <c r="J449" s="394"/>
      <c r="K449" s="394"/>
      <c r="L449" s="394"/>
      <c r="M449" s="395"/>
      <c r="N449" s="396"/>
      <c r="O449" s="396"/>
      <c r="P449" s="397"/>
      <c r="Q449" s="397"/>
      <c r="R449" s="397"/>
      <c r="S449" s="377"/>
      <c r="T449" s="377"/>
      <c r="U449" s="377"/>
      <c r="V449" s="377"/>
      <c r="W449" s="377"/>
      <c r="X449" s="377"/>
      <c r="Y449" s="377"/>
    </row>
    <row r="450" spans="1:25" ht="15.75">
      <c r="A450" s="393"/>
      <c r="B450" s="394"/>
      <c r="C450" s="394"/>
      <c r="D450" s="394"/>
      <c r="E450" s="394"/>
      <c r="F450" s="394"/>
      <c r="G450" s="394"/>
      <c r="H450" s="394"/>
      <c r="I450" s="394"/>
      <c r="J450" s="394"/>
      <c r="K450" s="394"/>
      <c r="L450" s="394"/>
      <c r="M450" s="395"/>
      <c r="N450" s="396"/>
      <c r="O450" s="396"/>
      <c r="P450" s="397"/>
      <c r="Q450" s="397"/>
      <c r="R450" s="397"/>
      <c r="S450" s="377"/>
      <c r="T450" s="377"/>
      <c r="U450" s="377"/>
      <c r="V450" s="377"/>
      <c r="W450" s="377"/>
      <c r="X450" s="377"/>
      <c r="Y450" s="377"/>
    </row>
    <row r="451" spans="1:25" ht="15.75">
      <c r="A451" s="393"/>
      <c r="B451" s="394"/>
      <c r="C451" s="394"/>
      <c r="D451" s="394"/>
      <c r="E451" s="394"/>
      <c r="F451" s="394"/>
      <c r="G451" s="394"/>
      <c r="H451" s="394"/>
      <c r="I451" s="394"/>
      <c r="J451" s="394"/>
      <c r="K451" s="394"/>
      <c r="L451" s="394"/>
      <c r="M451" s="395"/>
      <c r="N451" s="396"/>
      <c r="O451" s="396"/>
      <c r="P451" s="397"/>
      <c r="Q451" s="397"/>
      <c r="R451" s="397"/>
      <c r="S451" s="377"/>
      <c r="T451" s="377"/>
      <c r="U451" s="377"/>
      <c r="V451" s="377"/>
      <c r="W451" s="377"/>
      <c r="X451" s="377"/>
      <c r="Y451" s="377"/>
    </row>
    <row r="452" spans="1:25" ht="15.75">
      <c r="A452" s="393"/>
      <c r="B452" s="394"/>
      <c r="C452" s="394"/>
      <c r="D452" s="394"/>
      <c r="E452" s="394"/>
      <c r="F452" s="394"/>
      <c r="G452" s="394"/>
      <c r="H452" s="394"/>
      <c r="I452" s="394"/>
      <c r="J452" s="394"/>
      <c r="K452" s="394"/>
      <c r="L452" s="394"/>
      <c r="M452" s="395"/>
      <c r="N452" s="396"/>
      <c r="O452" s="396"/>
      <c r="P452" s="397"/>
      <c r="Q452" s="397"/>
      <c r="R452" s="397"/>
      <c r="S452" s="377"/>
      <c r="T452" s="377"/>
      <c r="U452" s="377"/>
      <c r="V452" s="377"/>
      <c r="W452" s="377"/>
      <c r="X452" s="377"/>
      <c r="Y452" s="377"/>
    </row>
    <row r="453" spans="1:25" ht="15.75">
      <c r="A453" s="393"/>
      <c r="B453" s="394"/>
      <c r="C453" s="394"/>
      <c r="D453" s="394"/>
      <c r="E453" s="394"/>
      <c r="F453" s="394"/>
      <c r="G453" s="394"/>
      <c r="H453" s="394"/>
      <c r="I453" s="394"/>
      <c r="J453" s="394"/>
      <c r="K453" s="394"/>
      <c r="L453" s="394"/>
      <c r="M453" s="395"/>
      <c r="N453" s="396"/>
      <c r="O453" s="396"/>
      <c r="P453" s="397"/>
      <c r="Q453" s="397"/>
      <c r="R453" s="397"/>
      <c r="S453" s="377"/>
      <c r="T453" s="377"/>
      <c r="U453" s="377"/>
      <c r="V453" s="377"/>
      <c r="W453" s="377"/>
      <c r="X453" s="377"/>
      <c r="Y453" s="377"/>
    </row>
    <row r="454" spans="1:25" ht="15.75">
      <c r="A454" s="393"/>
      <c r="B454" s="394"/>
      <c r="C454" s="394"/>
      <c r="D454" s="394"/>
      <c r="E454" s="394"/>
      <c r="F454" s="394"/>
      <c r="G454" s="394"/>
      <c r="H454" s="394"/>
      <c r="I454" s="394"/>
      <c r="J454" s="394"/>
      <c r="K454" s="394"/>
      <c r="L454" s="394"/>
      <c r="M454" s="395"/>
      <c r="N454" s="396"/>
      <c r="O454" s="396"/>
      <c r="P454" s="397"/>
      <c r="Q454" s="397"/>
      <c r="R454" s="397"/>
      <c r="S454" s="377"/>
      <c r="T454" s="377"/>
      <c r="U454" s="377"/>
      <c r="V454" s="377"/>
      <c r="W454" s="377"/>
      <c r="X454" s="377"/>
      <c r="Y454" s="377"/>
    </row>
    <row r="455" spans="1:25" ht="15.75">
      <c r="A455" s="393"/>
      <c r="B455" s="394"/>
      <c r="C455" s="394"/>
      <c r="D455" s="394"/>
      <c r="E455" s="394"/>
      <c r="F455" s="394"/>
      <c r="G455" s="394"/>
      <c r="H455" s="394"/>
      <c r="I455" s="394"/>
      <c r="J455" s="394"/>
      <c r="K455" s="394"/>
      <c r="L455" s="394"/>
      <c r="M455" s="395"/>
      <c r="N455" s="396"/>
      <c r="O455" s="396"/>
      <c r="P455" s="397"/>
      <c r="Q455" s="397"/>
      <c r="R455" s="397"/>
      <c r="S455" s="377"/>
      <c r="T455" s="377"/>
      <c r="U455" s="377"/>
      <c r="V455" s="377"/>
      <c r="W455" s="377"/>
      <c r="X455" s="377"/>
      <c r="Y455" s="377"/>
    </row>
    <row r="456" spans="1:25" ht="15.75">
      <c r="A456" s="393"/>
      <c r="B456" s="394"/>
      <c r="C456" s="394"/>
      <c r="D456" s="394"/>
      <c r="E456" s="394"/>
      <c r="F456" s="394"/>
      <c r="G456" s="394"/>
      <c r="H456" s="394"/>
      <c r="I456" s="394"/>
      <c r="J456" s="394"/>
      <c r="K456" s="394"/>
      <c r="L456" s="394"/>
      <c r="M456" s="395"/>
      <c r="N456" s="396"/>
      <c r="O456" s="396"/>
      <c r="P456" s="397"/>
      <c r="Q456" s="397"/>
      <c r="R456" s="397"/>
      <c r="S456" s="377"/>
      <c r="T456" s="377"/>
      <c r="U456" s="377"/>
      <c r="V456" s="377"/>
      <c r="W456" s="377"/>
      <c r="X456" s="377"/>
      <c r="Y456" s="377"/>
    </row>
    <row r="457" spans="1:25" ht="15.75">
      <c r="A457" s="393"/>
      <c r="B457" s="394"/>
      <c r="C457" s="394"/>
      <c r="D457" s="394"/>
      <c r="E457" s="394"/>
      <c r="F457" s="394"/>
      <c r="G457" s="394"/>
      <c r="H457" s="394"/>
      <c r="I457" s="394"/>
      <c r="J457" s="394"/>
      <c r="K457" s="394"/>
      <c r="L457" s="394"/>
      <c r="M457" s="395"/>
      <c r="N457" s="396"/>
      <c r="O457" s="396"/>
      <c r="P457" s="397"/>
      <c r="Q457" s="397"/>
      <c r="R457" s="397"/>
      <c r="S457" s="377"/>
      <c r="T457" s="377"/>
      <c r="U457" s="377"/>
      <c r="V457" s="377"/>
      <c r="W457" s="377"/>
      <c r="X457" s="377"/>
      <c r="Y457" s="377"/>
    </row>
    <row r="458" spans="1:25" ht="15.75">
      <c r="A458" s="393"/>
      <c r="B458" s="394"/>
      <c r="C458" s="394"/>
      <c r="D458" s="394"/>
      <c r="E458" s="394"/>
      <c r="F458" s="394"/>
      <c r="G458" s="394"/>
      <c r="H458" s="394"/>
      <c r="I458" s="394"/>
      <c r="J458" s="394"/>
      <c r="K458" s="394"/>
      <c r="L458" s="394"/>
      <c r="M458" s="395"/>
      <c r="N458" s="396"/>
      <c r="O458" s="396"/>
      <c r="P458" s="397"/>
      <c r="Q458" s="397"/>
      <c r="R458" s="397"/>
      <c r="S458" s="377"/>
      <c r="T458" s="377"/>
      <c r="U458" s="377"/>
      <c r="V458" s="377"/>
      <c r="W458" s="377"/>
      <c r="X458" s="377"/>
      <c r="Y458" s="377"/>
    </row>
    <row r="459" spans="1:25" ht="15.75">
      <c r="A459" s="393"/>
      <c r="B459" s="394"/>
      <c r="C459" s="394"/>
      <c r="D459" s="394"/>
      <c r="E459" s="394"/>
      <c r="F459" s="394"/>
      <c r="G459" s="394"/>
      <c r="H459" s="394"/>
      <c r="I459" s="394"/>
      <c r="J459" s="394"/>
      <c r="K459" s="394"/>
      <c r="L459" s="394"/>
      <c r="M459" s="395"/>
      <c r="N459" s="396"/>
      <c r="O459" s="396"/>
      <c r="P459" s="397"/>
      <c r="Q459" s="397"/>
      <c r="R459" s="397"/>
      <c r="S459" s="377"/>
      <c r="T459" s="377"/>
      <c r="U459" s="377"/>
      <c r="V459" s="377"/>
      <c r="W459" s="377"/>
      <c r="X459" s="377"/>
      <c r="Y459" s="377"/>
    </row>
    <row r="460" spans="1:25" ht="15.75">
      <c r="A460" s="393"/>
      <c r="B460" s="394"/>
      <c r="C460" s="394"/>
      <c r="D460" s="394"/>
      <c r="E460" s="394"/>
      <c r="F460" s="394"/>
      <c r="G460" s="394"/>
      <c r="H460" s="394"/>
      <c r="I460" s="394"/>
      <c r="J460" s="394"/>
      <c r="K460" s="394"/>
      <c r="L460" s="394"/>
      <c r="M460" s="395"/>
      <c r="N460" s="396"/>
      <c r="O460" s="396"/>
      <c r="P460" s="397"/>
      <c r="Q460" s="397"/>
      <c r="R460" s="397"/>
      <c r="S460" s="377"/>
      <c r="T460" s="377"/>
      <c r="U460" s="377"/>
      <c r="V460" s="377"/>
      <c r="W460" s="377"/>
      <c r="X460" s="377"/>
      <c r="Y460" s="377"/>
    </row>
    <row r="461" spans="1:25" ht="15.75">
      <c r="A461" s="393"/>
      <c r="B461" s="394"/>
      <c r="C461" s="394"/>
      <c r="D461" s="394"/>
      <c r="E461" s="394"/>
      <c r="F461" s="394"/>
      <c r="G461" s="394"/>
      <c r="H461" s="394"/>
      <c r="I461" s="394"/>
      <c r="J461" s="394"/>
      <c r="K461" s="394"/>
      <c r="L461" s="394"/>
      <c r="M461" s="395"/>
      <c r="N461" s="396"/>
      <c r="O461" s="396"/>
      <c r="P461" s="397"/>
      <c r="Q461" s="397"/>
      <c r="R461" s="397"/>
      <c r="S461" s="377"/>
      <c r="T461" s="377"/>
      <c r="U461" s="377"/>
      <c r="V461" s="377"/>
      <c r="W461" s="377"/>
      <c r="X461" s="377"/>
      <c r="Y461" s="377"/>
    </row>
    <row r="462" spans="1:25" ht="15.75">
      <c r="A462" s="393"/>
      <c r="B462" s="394"/>
      <c r="C462" s="394"/>
      <c r="D462" s="394"/>
      <c r="E462" s="394"/>
      <c r="F462" s="394"/>
      <c r="G462" s="394"/>
      <c r="H462" s="394"/>
      <c r="I462" s="394"/>
      <c r="J462" s="394"/>
      <c r="K462" s="394"/>
      <c r="L462" s="394"/>
      <c r="M462" s="395"/>
      <c r="N462" s="396"/>
      <c r="O462" s="396"/>
      <c r="P462" s="397"/>
      <c r="Q462" s="397"/>
      <c r="R462" s="397"/>
      <c r="S462" s="377"/>
      <c r="T462" s="377"/>
      <c r="U462" s="377"/>
      <c r="V462" s="377"/>
      <c r="W462" s="377"/>
      <c r="X462" s="377"/>
      <c r="Y462" s="377"/>
    </row>
    <row r="463" spans="1:25" ht="15.75">
      <c r="A463" s="393"/>
      <c r="B463" s="394"/>
      <c r="C463" s="394"/>
      <c r="D463" s="394"/>
      <c r="E463" s="394"/>
      <c r="F463" s="394"/>
      <c r="G463" s="394"/>
      <c r="H463" s="394"/>
      <c r="I463" s="394"/>
      <c r="J463" s="394"/>
      <c r="K463" s="394"/>
      <c r="L463" s="394"/>
      <c r="M463" s="395"/>
      <c r="N463" s="396"/>
      <c r="O463" s="396"/>
      <c r="P463" s="397"/>
      <c r="Q463" s="397"/>
      <c r="R463" s="397"/>
      <c r="S463" s="377"/>
      <c r="T463" s="377"/>
      <c r="U463" s="377"/>
      <c r="V463" s="377"/>
      <c r="W463" s="377"/>
      <c r="X463" s="377"/>
      <c r="Y463" s="377"/>
    </row>
    <row r="464" spans="1:25" ht="15.75">
      <c r="A464" s="393"/>
      <c r="B464" s="394"/>
      <c r="C464" s="394"/>
      <c r="D464" s="394"/>
      <c r="E464" s="394"/>
      <c r="F464" s="394"/>
      <c r="G464" s="394"/>
      <c r="H464" s="394"/>
      <c r="I464" s="394"/>
      <c r="J464" s="394"/>
      <c r="K464" s="394"/>
      <c r="L464" s="394"/>
      <c r="M464" s="395"/>
      <c r="N464" s="396"/>
      <c r="O464" s="396"/>
      <c r="P464" s="397"/>
      <c r="Q464" s="397"/>
      <c r="R464" s="397"/>
      <c r="S464" s="377"/>
      <c r="T464" s="377"/>
      <c r="U464" s="377"/>
      <c r="V464" s="377"/>
      <c r="W464" s="377"/>
      <c r="X464" s="377"/>
      <c r="Y464" s="377"/>
    </row>
    <row r="465" spans="1:25" ht="15.75">
      <c r="A465" s="393"/>
      <c r="B465" s="394"/>
      <c r="C465" s="394"/>
      <c r="D465" s="394"/>
      <c r="E465" s="394"/>
      <c r="F465" s="394"/>
      <c r="G465" s="394"/>
      <c r="H465" s="394"/>
      <c r="I465" s="394"/>
      <c r="J465" s="394"/>
      <c r="K465" s="394"/>
      <c r="L465" s="394"/>
      <c r="M465" s="395"/>
      <c r="N465" s="396"/>
      <c r="O465" s="396"/>
      <c r="P465" s="397"/>
      <c r="Q465" s="397"/>
      <c r="R465" s="397"/>
      <c r="S465" s="377"/>
      <c r="T465" s="377"/>
      <c r="U465" s="377"/>
      <c r="V465" s="377"/>
      <c r="W465" s="377"/>
      <c r="X465" s="377"/>
      <c r="Y465" s="377"/>
    </row>
    <row r="466" spans="1:25" ht="15.75">
      <c r="A466" s="393"/>
      <c r="B466" s="394"/>
      <c r="C466" s="394"/>
      <c r="D466" s="394"/>
      <c r="E466" s="394"/>
      <c r="F466" s="394"/>
      <c r="G466" s="394"/>
      <c r="H466" s="394"/>
      <c r="I466" s="394"/>
      <c r="J466" s="394"/>
      <c r="K466" s="394"/>
      <c r="L466" s="394"/>
      <c r="M466" s="395"/>
      <c r="N466" s="396"/>
      <c r="O466" s="396"/>
      <c r="P466" s="397"/>
      <c r="Q466" s="397"/>
      <c r="R466" s="397"/>
      <c r="S466" s="377"/>
      <c r="T466" s="377"/>
      <c r="U466" s="377"/>
      <c r="V466" s="377"/>
      <c r="W466" s="377"/>
      <c r="X466" s="377"/>
      <c r="Y466" s="377"/>
    </row>
    <row r="467" spans="1:25" ht="15.75">
      <c r="A467" s="393"/>
      <c r="B467" s="394"/>
      <c r="C467" s="394"/>
      <c r="D467" s="394"/>
      <c r="E467" s="394"/>
      <c r="F467" s="394"/>
      <c r="G467" s="394"/>
      <c r="H467" s="394"/>
      <c r="I467" s="394"/>
      <c r="J467" s="394"/>
      <c r="K467" s="394"/>
      <c r="L467" s="394"/>
      <c r="M467" s="395"/>
      <c r="N467" s="396"/>
      <c r="O467" s="396"/>
      <c r="P467" s="397"/>
      <c r="Q467" s="397"/>
      <c r="R467" s="397"/>
      <c r="S467" s="377"/>
      <c r="T467" s="377"/>
      <c r="U467" s="377"/>
      <c r="V467" s="377"/>
      <c r="W467" s="377"/>
      <c r="X467" s="377"/>
      <c r="Y467" s="377"/>
    </row>
    <row r="468" spans="1:25" ht="15.75">
      <c r="A468" s="393"/>
      <c r="B468" s="394"/>
      <c r="C468" s="394"/>
      <c r="D468" s="394"/>
      <c r="E468" s="394"/>
      <c r="F468" s="394"/>
      <c r="G468" s="394"/>
      <c r="H468" s="394"/>
      <c r="I468" s="394"/>
      <c r="J468" s="394"/>
      <c r="K468" s="394"/>
      <c r="L468" s="394"/>
      <c r="M468" s="395"/>
      <c r="N468" s="396"/>
      <c r="O468" s="396"/>
      <c r="P468" s="397"/>
      <c r="Q468" s="397"/>
      <c r="R468" s="397"/>
      <c r="S468" s="377"/>
      <c r="T468" s="377"/>
      <c r="U468" s="377"/>
      <c r="V468" s="377"/>
      <c r="W468" s="377"/>
      <c r="X468" s="377"/>
      <c r="Y468" s="377"/>
    </row>
    <row r="469" spans="1:25" ht="15.75">
      <c r="A469" s="393"/>
      <c r="B469" s="394"/>
      <c r="C469" s="394"/>
      <c r="D469" s="394"/>
      <c r="E469" s="394"/>
      <c r="F469" s="394"/>
      <c r="G469" s="394"/>
      <c r="H469" s="394"/>
      <c r="I469" s="394"/>
      <c r="J469" s="394"/>
      <c r="K469" s="394"/>
      <c r="L469" s="394"/>
      <c r="M469" s="395"/>
      <c r="N469" s="396"/>
      <c r="O469" s="396"/>
      <c r="P469" s="397"/>
      <c r="Q469" s="397"/>
      <c r="R469" s="397"/>
      <c r="S469" s="377"/>
      <c r="T469" s="377"/>
      <c r="U469" s="377"/>
      <c r="V469" s="377"/>
      <c r="W469" s="377"/>
      <c r="X469" s="377"/>
      <c r="Y469" s="377"/>
    </row>
    <row r="470" spans="1:25" ht="15.75">
      <c r="A470" s="393"/>
      <c r="B470" s="394"/>
      <c r="C470" s="394"/>
      <c r="D470" s="394"/>
      <c r="E470" s="394"/>
      <c r="F470" s="394"/>
      <c r="G470" s="394"/>
      <c r="H470" s="394"/>
      <c r="I470" s="394"/>
      <c r="J470" s="394"/>
      <c r="K470" s="394"/>
      <c r="L470" s="394"/>
      <c r="M470" s="395"/>
      <c r="N470" s="396"/>
      <c r="O470" s="396"/>
      <c r="P470" s="397"/>
      <c r="Q470" s="397"/>
      <c r="R470" s="397"/>
      <c r="S470" s="377"/>
      <c r="T470" s="377"/>
      <c r="U470" s="377"/>
      <c r="V470" s="377"/>
      <c r="W470" s="377"/>
      <c r="X470" s="377"/>
      <c r="Y470" s="377"/>
    </row>
    <row r="471" spans="1:25" ht="15.75">
      <c r="A471" s="393"/>
      <c r="B471" s="394"/>
      <c r="C471" s="394"/>
      <c r="D471" s="394"/>
      <c r="E471" s="394"/>
      <c r="F471" s="394"/>
      <c r="G471" s="394"/>
      <c r="H471" s="394"/>
      <c r="I471" s="394"/>
      <c r="J471" s="394"/>
      <c r="K471" s="394"/>
      <c r="L471" s="394"/>
      <c r="M471" s="395"/>
      <c r="N471" s="396"/>
      <c r="O471" s="396"/>
      <c r="P471" s="397"/>
      <c r="Q471" s="397"/>
      <c r="R471" s="397"/>
      <c r="S471" s="377"/>
      <c r="T471" s="377"/>
      <c r="U471" s="377"/>
      <c r="V471" s="377"/>
      <c r="W471" s="377"/>
      <c r="X471" s="377"/>
      <c r="Y471" s="377"/>
    </row>
    <row r="472" spans="1:25" ht="15.75">
      <c r="A472" s="393"/>
      <c r="B472" s="394"/>
      <c r="C472" s="394"/>
      <c r="D472" s="394"/>
      <c r="E472" s="394"/>
      <c r="F472" s="394"/>
      <c r="G472" s="394"/>
      <c r="H472" s="394"/>
      <c r="I472" s="394"/>
      <c r="J472" s="394"/>
      <c r="K472" s="394"/>
      <c r="L472" s="394"/>
      <c r="M472" s="395"/>
      <c r="N472" s="396"/>
      <c r="O472" s="396"/>
      <c r="P472" s="397"/>
      <c r="Q472" s="397"/>
      <c r="R472" s="397"/>
      <c r="S472" s="377"/>
      <c r="T472" s="377"/>
      <c r="U472" s="377"/>
      <c r="V472" s="377"/>
      <c r="W472" s="377"/>
      <c r="X472" s="377"/>
      <c r="Y472" s="377"/>
    </row>
    <row r="473" spans="1:25" ht="15.75">
      <c r="A473" s="393"/>
      <c r="B473" s="394"/>
      <c r="C473" s="394"/>
      <c r="D473" s="394"/>
      <c r="E473" s="394"/>
      <c r="F473" s="394"/>
      <c r="G473" s="394"/>
      <c r="H473" s="394"/>
      <c r="I473" s="394"/>
      <c r="J473" s="394"/>
      <c r="K473" s="394"/>
      <c r="L473" s="394"/>
      <c r="M473" s="395"/>
      <c r="N473" s="396"/>
      <c r="O473" s="396"/>
      <c r="P473" s="397"/>
      <c r="Q473" s="397"/>
      <c r="R473" s="397"/>
      <c r="S473" s="377"/>
      <c r="T473" s="377"/>
      <c r="U473" s="377"/>
      <c r="V473" s="377"/>
      <c r="W473" s="377"/>
      <c r="X473" s="377"/>
      <c r="Y473" s="377"/>
    </row>
    <row r="474" spans="1:25" ht="15.75">
      <c r="A474" s="393"/>
      <c r="B474" s="394"/>
      <c r="C474" s="394"/>
      <c r="D474" s="394"/>
      <c r="E474" s="394"/>
      <c r="F474" s="394"/>
      <c r="G474" s="394"/>
      <c r="H474" s="394"/>
      <c r="I474" s="394"/>
      <c r="J474" s="394"/>
      <c r="K474" s="394"/>
      <c r="L474" s="394"/>
      <c r="M474" s="395"/>
      <c r="N474" s="396"/>
      <c r="O474" s="396"/>
      <c r="P474" s="397"/>
      <c r="Q474" s="397"/>
      <c r="R474" s="397"/>
      <c r="S474" s="377"/>
      <c r="T474" s="377"/>
      <c r="U474" s="377"/>
      <c r="V474" s="377"/>
      <c r="W474" s="377"/>
      <c r="X474" s="377"/>
      <c r="Y474" s="377"/>
    </row>
    <row r="475" spans="1:25" ht="15.75">
      <c r="A475" s="393"/>
      <c r="B475" s="394"/>
      <c r="C475" s="394"/>
      <c r="D475" s="394"/>
      <c r="E475" s="394"/>
      <c r="F475" s="394"/>
      <c r="G475" s="394"/>
      <c r="H475" s="394"/>
      <c r="I475" s="394"/>
      <c r="J475" s="394"/>
      <c r="K475" s="394"/>
      <c r="L475" s="394"/>
      <c r="M475" s="395"/>
      <c r="N475" s="396"/>
      <c r="O475" s="396"/>
      <c r="P475" s="397"/>
      <c r="Q475" s="397"/>
      <c r="R475" s="397"/>
      <c r="S475" s="377"/>
      <c r="T475" s="377"/>
      <c r="U475" s="377"/>
      <c r="V475" s="377"/>
      <c r="W475" s="377"/>
      <c r="X475" s="377"/>
      <c r="Y475" s="377"/>
    </row>
    <row r="476" spans="1:25" ht="15.75">
      <c r="A476" s="393"/>
      <c r="B476" s="394"/>
      <c r="C476" s="394"/>
      <c r="D476" s="394"/>
      <c r="E476" s="394"/>
      <c r="F476" s="394"/>
      <c r="G476" s="394"/>
      <c r="H476" s="394"/>
      <c r="I476" s="394"/>
      <c r="J476" s="394"/>
      <c r="K476" s="394"/>
      <c r="L476" s="394"/>
      <c r="M476" s="395"/>
      <c r="N476" s="396"/>
      <c r="O476" s="396"/>
      <c r="P476" s="397"/>
      <c r="Q476" s="397"/>
      <c r="R476" s="397"/>
      <c r="S476" s="377"/>
      <c r="T476" s="377"/>
      <c r="U476" s="377"/>
      <c r="V476" s="377"/>
      <c r="W476" s="377"/>
      <c r="X476" s="377"/>
      <c r="Y476" s="377"/>
    </row>
    <row r="477" spans="1:25" ht="15.75">
      <c r="A477" s="393"/>
      <c r="B477" s="394"/>
      <c r="C477" s="394"/>
      <c r="D477" s="394"/>
      <c r="E477" s="394"/>
      <c r="F477" s="394"/>
      <c r="G477" s="394"/>
      <c r="H477" s="394"/>
      <c r="I477" s="394"/>
      <c r="J477" s="394"/>
      <c r="K477" s="394"/>
      <c r="L477" s="394"/>
      <c r="M477" s="395"/>
      <c r="N477" s="396"/>
      <c r="O477" s="396"/>
      <c r="P477" s="397"/>
      <c r="Q477" s="397"/>
      <c r="R477" s="397"/>
      <c r="S477" s="377"/>
      <c r="T477" s="377"/>
      <c r="U477" s="377"/>
      <c r="V477" s="377"/>
      <c r="W477" s="377"/>
      <c r="X477" s="377"/>
      <c r="Y477" s="377"/>
    </row>
    <row r="478" spans="1:25" ht="15.75">
      <c r="A478" s="393"/>
      <c r="B478" s="394"/>
      <c r="C478" s="394"/>
      <c r="D478" s="394"/>
      <c r="E478" s="394"/>
      <c r="F478" s="394"/>
      <c r="G478" s="394"/>
      <c r="H478" s="394"/>
      <c r="I478" s="394"/>
      <c r="J478" s="394"/>
      <c r="K478" s="394"/>
      <c r="L478" s="394"/>
      <c r="M478" s="395"/>
      <c r="N478" s="396"/>
      <c r="O478" s="396"/>
      <c r="P478" s="397"/>
      <c r="Q478" s="397"/>
      <c r="R478" s="397"/>
      <c r="S478" s="377"/>
      <c r="T478" s="377"/>
      <c r="U478" s="377"/>
      <c r="V478" s="377"/>
      <c r="W478" s="377"/>
      <c r="X478" s="377"/>
      <c r="Y478" s="377"/>
    </row>
    <row r="479" spans="1:25" ht="15.75">
      <c r="A479" s="393"/>
      <c r="B479" s="394"/>
      <c r="C479" s="394"/>
      <c r="D479" s="394"/>
      <c r="E479" s="394"/>
      <c r="F479" s="394"/>
      <c r="G479" s="394"/>
      <c r="H479" s="394"/>
      <c r="I479" s="394"/>
      <c r="J479" s="394"/>
      <c r="K479" s="394"/>
      <c r="L479" s="394"/>
      <c r="M479" s="395"/>
      <c r="N479" s="396"/>
      <c r="O479" s="396"/>
      <c r="P479" s="397"/>
      <c r="Q479" s="397"/>
      <c r="R479" s="397"/>
      <c r="S479" s="377"/>
      <c r="T479" s="377"/>
      <c r="U479" s="377"/>
      <c r="V479" s="377"/>
      <c r="W479" s="377"/>
      <c r="X479" s="377"/>
      <c r="Y479" s="377"/>
    </row>
    <row r="480" spans="1:25" ht="15.75">
      <c r="A480" s="393"/>
      <c r="B480" s="394"/>
      <c r="C480" s="394"/>
      <c r="D480" s="394"/>
      <c r="E480" s="394"/>
      <c r="F480" s="394"/>
      <c r="G480" s="394"/>
      <c r="H480" s="394"/>
      <c r="I480" s="394"/>
      <c r="J480" s="394"/>
      <c r="K480" s="394"/>
      <c r="L480" s="394"/>
      <c r="M480" s="395"/>
      <c r="N480" s="396"/>
      <c r="O480" s="396"/>
      <c r="P480" s="397"/>
      <c r="Q480" s="397"/>
      <c r="R480" s="397"/>
      <c r="S480" s="377"/>
      <c r="T480" s="377"/>
      <c r="U480" s="377"/>
      <c r="V480" s="377"/>
      <c r="W480" s="377"/>
      <c r="X480" s="377"/>
      <c r="Y480" s="377"/>
    </row>
    <row r="481" spans="1:25" ht="15.75">
      <c r="A481" s="393"/>
      <c r="B481" s="394"/>
      <c r="C481" s="394"/>
      <c r="D481" s="394"/>
      <c r="E481" s="394"/>
      <c r="F481" s="394"/>
      <c r="G481" s="394"/>
      <c r="H481" s="394"/>
      <c r="I481" s="394"/>
      <c r="J481" s="394"/>
      <c r="K481" s="394"/>
      <c r="L481" s="394"/>
      <c r="M481" s="395"/>
      <c r="N481" s="396"/>
      <c r="O481" s="396"/>
      <c r="P481" s="397"/>
      <c r="Q481" s="397"/>
      <c r="R481" s="397"/>
      <c r="S481" s="377"/>
      <c r="T481" s="377"/>
      <c r="U481" s="377"/>
      <c r="V481" s="377"/>
      <c r="W481" s="377"/>
      <c r="X481" s="377"/>
      <c r="Y481" s="377"/>
    </row>
    <row r="482" spans="1:25" ht="15.75">
      <c r="A482" s="393"/>
      <c r="B482" s="394"/>
      <c r="C482" s="394"/>
      <c r="D482" s="394"/>
      <c r="E482" s="394"/>
      <c r="F482" s="394"/>
      <c r="G482" s="394"/>
      <c r="H482" s="394"/>
      <c r="I482" s="394"/>
      <c r="J482" s="394"/>
      <c r="K482" s="394"/>
      <c r="L482" s="394"/>
      <c r="M482" s="395"/>
      <c r="N482" s="396"/>
      <c r="O482" s="396"/>
      <c r="P482" s="397"/>
      <c r="Q482" s="397"/>
      <c r="R482" s="397"/>
      <c r="S482" s="377"/>
      <c r="T482" s="377"/>
      <c r="U482" s="377"/>
      <c r="V482" s="377"/>
      <c r="W482" s="377"/>
      <c r="X482" s="377"/>
      <c r="Y482" s="377"/>
    </row>
    <row r="483" spans="1:25" ht="15.75">
      <c r="A483" s="393"/>
      <c r="B483" s="394"/>
      <c r="C483" s="394"/>
      <c r="D483" s="394"/>
      <c r="E483" s="394"/>
      <c r="F483" s="394"/>
      <c r="G483" s="394"/>
      <c r="H483" s="394"/>
      <c r="I483" s="394"/>
      <c r="J483" s="394"/>
      <c r="K483" s="394"/>
      <c r="L483" s="394"/>
      <c r="M483" s="395"/>
      <c r="N483" s="396"/>
      <c r="O483" s="396"/>
      <c r="P483" s="397"/>
      <c r="Q483" s="397"/>
      <c r="R483" s="397"/>
      <c r="S483" s="377"/>
      <c r="T483" s="377"/>
      <c r="U483" s="377"/>
      <c r="V483" s="377"/>
      <c r="W483" s="377"/>
      <c r="X483" s="377"/>
      <c r="Y483" s="377"/>
    </row>
    <row r="484" spans="1:25" ht="15.75">
      <c r="A484" s="398"/>
      <c r="B484" s="397"/>
      <c r="C484" s="397"/>
      <c r="D484" s="397"/>
      <c r="E484" s="397"/>
      <c r="F484" s="397"/>
      <c r="G484" s="397"/>
      <c r="H484" s="397"/>
      <c r="I484" s="397"/>
      <c r="J484" s="397"/>
      <c r="K484" s="397"/>
      <c r="L484" s="397"/>
      <c r="M484" s="399"/>
      <c r="N484" s="400"/>
      <c r="O484" s="400"/>
      <c r="P484" s="397"/>
      <c r="Q484" s="397"/>
      <c r="R484" s="397"/>
      <c r="S484" s="377"/>
      <c r="T484" s="377"/>
      <c r="U484" s="377"/>
      <c r="V484" s="377"/>
      <c r="W484" s="377"/>
      <c r="X484" s="377"/>
      <c r="Y484" s="377"/>
    </row>
    <row r="485" spans="1:25" ht="15.75">
      <c r="A485" s="398"/>
      <c r="B485" s="397"/>
      <c r="C485" s="397"/>
      <c r="D485" s="397"/>
      <c r="E485" s="397"/>
      <c r="F485" s="397"/>
      <c r="G485" s="397"/>
      <c r="H485" s="397"/>
      <c r="I485" s="397"/>
      <c r="J485" s="397"/>
      <c r="K485" s="397"/>
      <c r="L485" s="397"/>
      <c r="M485" s="399"/>
      <c r="N485" s="400"/>
      <c r="O485" s="400"/>
      <c r="P485" s="397"/>
      <c r="Q485" s="397"/>
      <c r="R485" s="397"/>
      <c r="S485" s="377"/>
      <c r="T485" s="377"/>
      <c r="U485" s="377"/>
      <c r="V485" s="377"/>
      <c r="W485" s="377"/>
      <c r="X485" s="377"/>
      <c r="Y485" s="377"/>
    </row>
    <row r="486" spans="1:25" ht="15.75">
      <c r="A486" s="398"/>
      <c r="B486" s="397"/>
      <c r="C486" s="397"/>
      <c r="D486" s="397"/>
      <c r="E486" s="397"/>
      <c r="F486" s="397"/>
      <c r="G486" s="397"/>
      <c r="H486" s="397"/>
      <c r="I486" s="397"/>
      <c r="J486" s="397"/>
      <c r="K486" s="397"/>
      <c r="L486" s="397"/>
      <c r="M486" s="399"/>
      <c r="N486" s="400"/>
      <c r="O486" s="400"/>
      <c r="P486" s="397"/>
      <c r="Q486" s="397"/>
      <c r="R486" s="397"/>
      <c r="S486" s="377"/>
      <c r="T486" s="377"/>
      <c r="U486" s="377"/>
      <c r="V486" s="377"/>
      <c r="W486" s="377"/>
      <c r="X486" s="377"/>
      <c r="Y486" s="377"/>
    </row>
    <row r="487" spans="1:25" ht="15.75">
      <c r="A487" s="398"/>
      <c r="B487" s="397"/>
      <c r="C487" s="397"/>
      <c r="D487" s="397"/>
      <c r="E487" s="397"/>
      <c r="F487" s="397"/>
      <c r="G487" s="397"/>
      <c r="H487" s="397"/>
      <c r="I487" s="397"/>
      <c r="J487" s="397"/>
      <c r="K487" s="397"/>
      <c r="L487" s="397"/>
      <c r="M487" s="399"/>
      <c r="N487" s="400"/>
      <c r="O487" s="400"/>
      <c r="P487" s="397"/>
      <c r="Q487" s="397"/>
      <c r="R487" s="397"/>
      <c r="S487" s="377"/>
      <c r="T487" s="377"/>
      <c r="U487" s="377"/>
      <c r="V487" s="377"/>
      <c r="W487" s="377"/>
      <c r="X487" s="377"/>
      <c r="Y487" s="377"/>
    </row>
    <row r="488" spans="1:25" ht="15.75">
      <c r="A488" s="398"/>
      <c r="B488" s="397"/>
      <c r="C488" s="397"/>
      <c r="D488" s="397"/>
      <c r="E488" s="397"/>
      <c r="F488" s="397"/>
      <c r="G488" s="397"/>
      <c r="H488" s="397"/>
      <c r="I488" s="397"/>
      <c r="J488" s="397"/>
      <c r="K488" s="397"/>
      <c r="L488" s="397"/>
      <c r="M488" s="399"/>
      <c r="N488" s="400"/>
      <c r="O488" s="400"/>
      <c r="P488" s="397"/>
      <c r="Q488" s="397"/>
      <c r="R488" s="397"/>
      <c r="S488" s="377"/>
      <c r="T488" s="377"/>
      <c r="U488" s="377"/>
      <c r="V488" s="377"/>
      <c r="W488" s="377"/>
      <c r="X488" s="377"/>
      <c r="Y488" s="377"/>
    </row>
    <row r="489" spans="1:25" ht="15.75">
      <c r="A489" s="398"/>
      <c r="B489" s="397"/>
      <c r="C489" s="397"/>
      <c r="D489" s="397"/>
      <c r="E489" s="397"/>
      <c r="F489" s="397"/>
      <c r="G489" s="397"/>
      <c r="H489" s="397"/>
      <c r="I489" s="397"/>
      <c r="J489" s="397"/>
      <c r="K489" s="397"/>
      <c r="L489" s="397"/>
      <c r="M489" s="399"/>
      <c r="N489" s="400"/>
      <c r="O489" s="400"/>
      <c r="P489" s="397"/>
      <c r="Q489" s="397"/>
      <c r="R489" s="397"/>
      <c r="S489" s="377"/>
      <c r="T489" s="377"/>
      <c r="U489" s="377"/>
      <c r="V489" s="377"/>
      <c r="W489" s="377"/>
      <c r="X489" s="377"/>
      <c r="Y489" s="377"/>
    </row>
    <row r="490" spans="1:25" ht="15.75">
      <c r="A490" s="398"/>
      <c r="B490" s="397"/>
      <c r="C490" s="397"/>
      <c r="D490" s="397"/>
      <c r="E490" s="397"/>
      <c r="F490" s="397"/>
      <c r="G490" s="397"/>
      <c r="H490" s="397"/>
      <c r="I490" s="397"/>
      <c r="J490" s="397"/>
      <c r="K490" s="397"/>
      <c r="L490" s="397"/>
      <c r="M490" s="399"/>
      <c r="N490" s="400"/>
      <c r="O490" s="400"/>
      <c r="P490" s="397"/>
      <c r="Q490" s="397"/>
      <c r="R490" s="397"/>
      <c r="S490" s="377"/>
      <c r="T490" s="377"/>
      <c r="U490" s="377"/>
      <c r="V490" s="377"/>
      <c r="W490" s="377"/>
      <c r="X490" s="377"/>
      <c r="Y490" s="377"/>
    </row>
    <row r="491" spans="1:25" ht="15.75">
      <c r="A491" s="398"/>
      <c r="B491" s="397"/>
      <c r="C491" s="397"/>
      <c r="D491" s="397"/>
      <c r="E491" s="397"/>
      <c r="F491" s="397"/>
      <c r="G491" s="397"/>
      <c r="H491" s="397"/>
      <c r="I491" s="397"/>
      <c r="J491" s="397"/>
      <c r="K491" s="397"/>
      <c r="L491" s="397"/>
      <c r="M491" s="399"/>
      <c r="N491" s="400"/>
      <c r="O491" s="400"/>
      <c r="P491" s="397"/>
      <c r="Q491" s="397"/>
      <c r="R491" s="397"/>
      <c r="S491" s="377"/>
      <c r="T491" s="377"/>
      <c r="U491" s="377"/>
      <c r="V491" s="377"/>
      <c r="W491" s="377"/>
      <c r="X491" s="377"/>
      <c r="Y491" s="377"/>
    </row>
    <row r="492" spans="1:25" ht="15.75">
      <c r="A492" s="398"/>
      <c r="B492" s="397"/>
      <c r="C492" s="397"/>
      <c r="D492" s="397"/>
      <c r="E492" s="397"/>
      <c r="F492" s="397"/>
      <c r="G492" s="397"/>
      <c r="H492" s="397"/>
      <c r="I492" s="397"/>
      <c r="J492" s="397"/>
      <c r="K492" s="397"/>
      <c r="L492" s="397"/>
      <c r="M492" s="399"/>
      <c r="N492" s="400"/>
      <c r="O492" s="400"/>
      <c r="P492" s="397"/>
      <c r="Q492" s="397"/>
      <c r="R492" s="397"/>
      <c r="S492" s="377"/>
      <c r="T492" s="377"/>
      <c r="U492" s="377"/>
      <c r="V492" s="377"/>
      <c r="W492" s="377"/>
      <c r="X492" s="377"/>
      <c r="Y492" s="377"/>
    </row>
    <row r="493" spans="1:25" ht="15.75">
      <c r="A493" s="398"/>
      <c r="B493" s="397"/>
      <c r="C493" s="397"/>
      <c r="D493" s="397"/>
      <c r="E493" s="397"/>
      <c r="F493" s="397"/>
      <c r="G493" s="397"/>
      <c r="H493" s="397"/>
      <c r="I493" s="397"/>
      <c r="J493" s="397"/>
      <c r="K493" s="397"/>
      <c r="L493" s="397"/>
      <c r="M493" s="399"/>
      <c r="N493" s="400"/>
      <c r="O493" s="400"/>
      <c r="P493" s="397"/>
      <c r="Q493" s="397"/>
      <c r="R493" s="397"/>
      <c r="S493" s="377"/>
      <c r="T493" s="377"/>
      <c r="U493" s="377"/>
      <c r="V493" s="377"/>
      <c r="W493" s="377"/>
      <c r="X493" s="377"/>
      <c r="Y493" s="377"/>
    </row>
    <row r="494" spans="1:25" ht="15.75">
      <c r="A494" s="398"/>
      <c r="B494" s="397"/>
      <c r="C494" s="397"/>
      <c r="D494" s="397"/>
      <c r="E494" s="397"/>
      <c r="F494" s="397"/>
      <c r="G494" s="397"/>
      <c r="H494" s="397"/>
      <c r="I494" s="397"/>
      <c r="J494" s="397"/>
      <c r="K494" s="397"/>
      <c r="L494" s="397"/>
      <c r="M494" s="399"/>
      <c r="N494" s="400"/>
      <c r="O494" s="400"/>
      <c r="P494" s="397"/>
      <c r="Q494" s="397"/>
      <c r="R494" s="397"/>
      <c r="S494" s="377"/>
      <c r="T494" s="377"/>
      <c r="U494" s="377"/>
      <c r="V494" s="377"/>
      <c r="W494" s="377"/>
      <c r="X494" s="377"/>
      <c r="Y494" s="377"/>
    </row>
    <row r="495" spans="1:25" ht="15.75">
      <c r="A495" s="398"/>
      <c r="B495" s="397"/>
      <c r="C495" s="397"/>
      <c r="D495" s="397"/>
      <c r="E495" s="397"/>
      <c r="F495" s="397"/>
      <c r="G495" s="397"/>
      <c r="H495" s="397"/>
      <c r="I495" s="397"/>
      <c r="J495" s="397"/>
      <c r="K495" s="397"/>
      <c r="L495" s="397"/>
      <c r="M495" s="399"/>
      <c r="N495" s="400"/>
      <c r="O495" s="400"/>
      <c r="P495" s="397"/>
      <c r="Q495" s="397"/>
      <c r="R495" s="397"/>
      <c r="S495" s="377"/>
      <c r="T495" s="377"/>
      <c r="U495" s="377"/>
      <c r="V495" s="377"/>
      <c r="W495" s="377"/>
      <c r="X495" s="377"/>
      <c r="Y495" s="377"/>
    </row>
    <row r="496" spans="1:25" ht="15.75">
      <c r="A496" s="398"/>
      <c r="B496" s="397"/>
      <c r="C496" s="397"/>
      <c r="D496" s="397"/>
      <c r="E496" s="397"/>
      <c r="F496" s="397"/>
      <c r="G496" s="397"/>
      <c r="H496" s="397"/>
      <c r="I496" s="397"/>
      <c r="J496" s="397"/>
      <c r="K496" s="397"/>
      <c r="L496" s="397"/>
      <c r="M496" s="399"/>
      <c r="N496" s="400"/>
      <c r="O496" s="400"/>
      <c r="P496" s="397"/>
      <c r="Q496" s="397"/>
      <c r="R496" s="397"/>
      <c r="S496" s="377"/>
      <c r="T496" s="377"/>
      <c r="U496" s="377"/>
      <c r="V496" s="377"/>
      <c r="W496" s="377"/>
      <c r="X496" s="377"/>
      <c r="Y496" s="377"/>
    </row>
    <row r="497" spans="1:25" ht="15.75">
      <c r="A497" s="398"/>
      <c r="B497" s="397"/>
      <c r="C497" s="397"/>
      <c r="D497" s="397"/>
      <c r="E497" s="397"/>
      <c r="F497" s="397"/>
      <c r="G497" s="397"/>
      <c r="H497" s="397"/>
      <c r="I497" s="397"/>
      <c r="J497" s="397"/>
      <c r="K497" s="397"/>
      <c r="L497" s="397"/>
      <c r="M497" s="399"/>
      <c r="N497" s="400"/>
      <c r="O497" s="400"/>
      <c r="P497" s="397"/>
      <c r="Q497" s="397"/>
      <c r="R497" s="397"/>
      <c r="S497" s="377"/>
      <c r="T497" s="377"/>
      <c r="U497" s="377"/>
      <c r="V497" s="377"/>
      <c r="W497" s="377"/>
      <c r="X497" s="377"/>
      <c r="Y497" s="377"/>
    </row>
    <row r="498" spans="1:25" ht="15.75">
      <c r="A498" s="398"/>
      <c r="B498" s="397"/>
      <c r="C498" s="397"/>
      <c r="D498" s="397"/>
      <c r="E498" s="397"/>
      <c r="F498" s="397"/>
      <c r="G498" s="397"/>
      <c r="H498" s="397"/>
      <c r="I498" s="397"/>
      <c r="J498" s="397"/>
      <c r="K498" s="397"/>
      <c r="L498" s="397"/>
      <c r="M498" s="399"/>
      <c r="N498" s="400"/>
      <c r="O498" s="400"/>
      <c r="P498" s="397"/>
      <c r="Q498" s="397"/>
      <c r="R498" s="397"/>
      <c r="S498" s="377"/>
      <c r="T498" s="377"/>
      <c r="U498" s="377"/>
      <c r="V498" s="377"/>
      <c r="W498" s="377"/>
      <c r="X498" s="377"/>
      <c r="Y498" s="377"/>
    </row>
    <row r="499" spans="1:25" ht="15.75">
      <c r="A499" s="398"/>
      <c r="B499" s="397"/>
      <c r="C499" s="397"/>
      <c r="D499" s="397"/>
      <c r="E499" s="397"/>
      <c r="F499" s="397"/>
      <c r="G499" s="397"/>
      <c r="H499" s="397"/>
      <c r="I499" s="397"/>
      <c r="J499" s="397"/>
      <c r="K499" s="397"/>
      <c r="L499" s="397"/>
      <c r="M499" s="399"/>
      <c r="N499" s="400"/>
      <c r="O499" s="400"/>
      <c r="P499" s="397"/>
      <c r="Q499" s="397"/>
      <c r="R499" s="397"/>
      <c r="S499" s="377"/>
      <c r="T499" s="377"/>
      <c r="U499" s="377"/>
      <c r="V499" s="377"/>
      <c r="W499" s="377"/>
      <c r="X499" s="377"/>
      <c r="Y499" s="377"/>
    </row>
    <row r="500" spans="1:25" ht="15.75">
      <c r="A500" s="398"/>
      <c r="B500" s="397"/>
      <c r="C500" s="397"/>
      <c r="D500" s="397"/>
      <c r="E500" s="397"/>
      <c r="F500" s="397"/>
      <c r="G500" s="397"/>
      <c r="H500" s="397"/>
      <c r="I500" s="397"/>
      <c r="J500" s="397"/>
      <c r="K500" s="397"/>
      <c r="L500" s="397"/>
      <c r="M500" s="399"/>
      <c r="N500" s="400"/>
      <c r="O500" s="400"/>
      <c r="P500" s="397"/>
      <c r="Q500" s="397"/>
      <c r="R500" s="397"/>
      <c r="S500" s="377"/>
      <c r="T500" s="377"/>
      <c r="U500" s="377"/>
      <c r="V500" s="377"/>
      <c r="W500" s="377"/>
      <c r="X500" s="377"/>
      <c r="Y500" s="377"/>
    </row>
    <row r="501" spans="1:25" ht="15.75">
      <c r="A501" s="398"/>
      <c r="B501" s="397"/>
      <c r="C501" s="397"/>
      <c r="D501" s="397"/>
      <c r="E501" s="397"/>
      <c r="F501" s="397"/>
      <c r="G501" s="397"/>
      <c r="H501" s="397"/>
      <c r="I501" s="397"/>
      <c r="J501" s="397"/>
      <c r="K501" s="397"/>
      <c r="L501" s="397"/>
      <c r="M501" s="399"/>
      <c r="N501" s="400"/>
      <c r="O501" s="400"/>
      <c r="P501" s="397"/>
      <c r="Q501" s="397"/>
      <c r="R501" s="397"/>
      <c r="S501" s="377"/>
      <c r="T501" s="377"/>
      <c r="U501" s="377"/>
      <c r="V501" s="377"/>
      <c r="W501" s="377"/>
      <c r="X501" s="377"/>
      <c r="Y501" s="377"/>
    </row>
    <row r="502" spans="1:25" ht="15.75">
      <c r="A502" s="398"/>
      <c r="B502" s="397"/>
      <c r="C502" s="397"/>
      <c r="D502" s="397"/>
      <c r="E502" s="397"/>
      <c r="F502" s="397"/>
      <c r="G502" s="397"/>
      <c r="H502" s="397"/>
      <c r="I502" s="397"/>
      <c r="J502" s="397"/>
      <c r="K502" s="397"/>
      <c r="L502" s="397"/>
      <c r="M502" s="399"/>
      <c r="N502" s="400"/>
      <c r="O502" s="400"/>
      <c r="P502" s="397"/>
      <c r="Q502" s="397"/>
      <c r="R502" s="397"/>
      <c r="S502" s="377"/>
      <c r="T502" s="377"/>
      <c r="U502" s="377"/>
      <c r="V502" s="377"/>
      <c r="W502" s="377"/>
      <c r="X502" s="377"/>
      <c r="Y502" s="377"/>
    </row>
    <row r="503" spans="1:25" ht="15.75">
      <c r="A503" s="398"/>
      <c r="B503" s="397"/>
      <c r="C503" s="397"/>
      <c r="D503" s="397"/>
      <c r="E503" s="397"/>
      <c r="F503" s="397"/>
      <c r="G503" s="397"/>
      <c r="H503" s="397"/>
      <c r="I503" s="397"/>
      <c r="J503" s="397"/>
      <c r="K503" s="397"/>
      <c r="L503" s="397"/>
      <c r="M503" s="399"/>
      <c r="N503" s="400"/>
      <c r="O503" s="400"/>
      <c r="P503" s="397"/>
      <c r="Q503" s="397"/>
      <c r="R503" s="397"/>
      <c r="S503" s="377"/>
      <c r="T503" s="377"/>
      <c r="U503" s="377"/>
      <c r="V503" s="377"/>
      <c r="W503" s="377"/>
      <c r="X503" s="377"/>
      <c r="Y503" s="377"/>
    </row>
    <row r="504" spans="1:25" ht="15.75">
      <c r="A504" s="398"/>
      <c r="B504" s="397"/>
      <c r="C504" s="397"/>
      <c r="D504" s="397"/>
      <c r="E504" s="397"/>
      <c r="F504" s="397"/>
      <c r="G504" s="397"/>
      <c r="H504" s="397"/>
      <c r="I504" s="397"/>
      <c r="J504" s="397"/>
      <c r="K504" s="397"/>
      <c r="L504" s="397"/>
      <c r="M504" s="399"/>
      <c r="N504" s="400"/>
      <c r="O504" s="400"/>
      <c r="P504" s="397"/>
      <c r="Q504" s="397"/>
      <c r="R504" s="397"/>
      <c r="S504" s="377"/>
      <c r="T504" s="377"/>
      <c r="U504" s="377"/>
      <c r="V504" s="377"/>
      <c r="W504" s="377"/>
      <c r="X504" s="377"/>
      <c r="Y504" s="377"/>
    </row>
    <row r="505" spans="1:25" ht="15.75">
      <c r="A505" s="398"/>
      <c r="B505" s="397"/>
      <c r="C505" s="397"/>
      <c r="D505" s="397"/>
      <c r="E505" s="397"/>
      <c r="F505" s="397"/>
      <c r="G505" s="397"/>
      <c r="H505" s="397"/>
      <c r="I505" s="397"/>
      <c r="J505" s="397"/>
      <c r="K505" s="397"/>
      <c r="L505" s="397"/>
      <c r="M505" s="399"/>
      <c r="N505" s="400"/>
      <c r="O505" s="400"/>
      <c r="P505" s="397"/>
      <c r="Q505" s="397"/>
      <c r="R505" s="397"/>
      <c r="S505" s="377"/>
      <c r="T505" s="377"/>
      <c r="U505" s="377"/>
      <c r="V505" s="377"/>
      <c r="W505" s="377"/>
      <c r="X505" s="377"/>
      <c r="Y505" s="377"/>
    </row>
    <row r="506" spans="1:25" ht="15.75">
      <c r="A506" s="398"/>
      <c r="B506" s="397"/>
      <c r="C506" s="397"/>
      <c r="D506" s="397"/>
      <c r="E506" s="397"/>
      <c r="F506" s="397"/>
      <c r="G506" s="397"/>
      <c r="H506" s="397"/>
      <c r="I506" s="397"/>
      <c r="J506" s="397"/>
      <c r="K506" s="397"/>
      <c r="L506" s="397"/>
      <c r="M506" s="399"/>
      <c r="N506" s="400"/>
      <c r="O506" s="400"/>
      <c r="P506" s="397"/>
      <c r="Q506" s="397"/>
      <c r="R506" s="397"/>
      <c r="S506" s="377"/>
      <c r="T506" s="377"/>
      <c r="U506" s="377"/>
      <c r="V506" s="377"/>
      <c r="W506" s="377"/>
      <c r="X506" s="377"/>
      <c r="Y506" s="377"/>
    </row>
    <row r="507" spans="1:25" ht="15.75">
      <c r="A507" s="398"/>
      <c r="B507" s="397"/>
      <c r="C507" s="397"/>
      <c r="D507" s="397"/>
      <c r="E507" s="397"/>
      <c r="F507" s="397"/>
      <c r="G507" s="397"/>
      <c r="H507" s="397"/>
      <c r="I507" s="397"/>
      <c r="J507" s="397"/>
      <c r="K507" s="397"/>
      <c r="L507" s="397"/>
      <c r="M507" s="399"/>
      <c r="N507" s="400"/>
      <c r="O507" s="400"/>
      <c r="P507" s="397"/>
      <c r="Q507" s="397"/>
      <c r="R507" s="397"/>
      <c r="S507" s="377"/>
      <c r="T507" s="377"/>
      <c r="U507" s="377"/>
      <c r="V507" s="377"/>
      <c r="W507" s="377"/>
      <c r="X507" s="377"/>
      <c r="Y507" s="377"/>
    </row>
    <row r="508" spans="1:25" ht="15.75">
      <c r="A508" s="398"/>
      <c r="B508" s="397"/>
      <c r="C508" s="397"/>
      <c r="D508" s="397"/>
      <c r="E508" s="397"/>
      <c r="F508" s="397"/>
      <c r="G508" s="397"/>
      <c r="H508" s="397"/>
      <c r="I508" s="397"/>
      <c r="J508" s="397"/>
      <c r="K508" s="397"/>
      <c r="L508" s="397"/>
      <c r="M508" s="399"/>
      <c r="N508" s="400"/>
      <c r="O508" s="400"/>
      <c r="P508" s="397"/>
      <c r="Q508" s="397"/>
      <c r="R508" s="397"/>
      <c r="S508" s="377"/>
      <c r="T508" s="377"/>
      <c r="U508" s="377"/>
      <c r="V508" s="377"/>
      <c r="W508" s="377"/>
      <c r="X508" s="377"/>
      <c r="Y508" s="377"/>
    </row>
    <row r="509" spans="1:25" ht="15.75">
      <c r="A509" s="398"/>
      <c r="B509" s="397"/>
      <c r="C509" s="397"/>
      <c r="D509" s="397"/>
      <c r="E509" s="397"/>
      <c r="F509" s="397"/>
      <c r="G509" s="397"/>
      <c r="H509" s="397"/>
      <c r="I509" s="397"/>
      <c r="J509" s="397"/>
      <c r="K509" s="397"/>
      <c r="L509" s="397"/>
      <c r="M509" s="399"/>
      <c r="N509" s="400"/>
      <c r="O509" s="400"/>
      <c r="P509" s="397"/>
      <c r="Q509" s="397"/>
      <c r="R509" s="397"/>
      <c r="S509" s="377"/>
      <c r="T509" s="377"/>
      <c r="U509" s="377"/>
      <c r="V509" s="377"/>
      <c r="W509" s="377"/>
      <c r="X509" s="377"/>
      <c r="Y509" s="377"/>
    </row>
    <row r="510" spans="1:25" ht="15.75">
      <c r="A510" s="398"/>
      <c r="B510" s="397"/>
      <c r="C510" s="397"/>
      <c r="D510" s="397"/>
      <c r="E510" s="397"/>
      <c r="F510" s="397"/>
      <c r="G510" s="397"/>
      <c r="H510" s="397"/>
      <c r="I510" s="397"/>
      <c r="J510" s="397"/>
      <c r="K510" s="397"/>
      <c r="L510" s="397"/>
      <c r="M510" s="399"/>
      <c r="N510" s="400"/>
      <c r="O510" s="400"/>
      <c r="P510" s="397"/>
      <c r="Q510" s="397"/>
      <c r="R510" s="397"/>
      <c r="S510" s="377"/>
      <c r="T510" s="377"/>
      <c r="U510" s="377"/>
      <c r="V510" s="377"/>
      <c r="W510" s="377"/>
      <c r="X510" s="377"/>
      <c r="Y510" s="377"/>
    </row>
    <row r="511" spans="1:25" ht="15.75">
      <c r="A511" s="398"/>
      <c r="B511" s="397"/>
      <c r="C511" s="397"/>
      <c r="D511" s="397"/>
      <c r="E511" s="397"/>
      <c r="F511" s="397"/>
      <c r="G511" s="397"/>
      <c r="H511" s="397"/>
      <c r="I511" s="397"/>
      <c r="J511" s="397"/>
      <c r="K511" s="397"/>
      <c r="L511" s="397"/>
      <c r="M511" s="399"/>
      <c r="N511" s="400"/>
      <c r="O511" s="400"/>
      <c r="P511" s="397"/>
      <c r="Q511" s="397"/>
      <c r="R511" s="397"/>
      <c r="S511" s="377"/>
      <c r="T511" s="377"/>
      <c r="U511" s="377"/>
      <c r="V511" s="377"/>
      <c r="W511" s="377"/>
      <c r="X511" s="377"/>
      <c r="Y511" s="377"/>
    </row>
    <row r="512" spans="1:25" ht="15.75">
      <c r="A512" s="398"/>
      <c r="B512" s="397"/>
      <c r="C512" s="397"/>
      <c r="D512" s="397"/>
      <c r="E512" s="397"/>
      <c r="F512" s="397"/>
      <c r="G512" s="397"/>
      <c r="H512" s="397"/>
      <c r="I512" s="397"/>
      <c r="J512" s="397"/>
      <c r="K512" s="397"/>
      <c r="L512" s="397"/>
      <c r="M512" s="399"/>
      <c r="N512" s="400"/>
      <c r="O512" s="400"/>
      <c r="P512" s="397"/>
      <c r="Q512" s="397"/>
      <c r="R512" s="397"/>
      <c r="S512" s="377"/>
      <c r="T512" s="377"/>
      <c r="U512" s="377"/>
      <c r="V512" s="377"/>
      <c r="W512" s="377"/>
      <c r="X512" s="377"/>
      <c r="Y512" s="377"/>
    </row>
    <row r="513" spans="1:25" ht="15.75">
      <c r="A513" s="398"/>
      <c r="B513" s="397"/>
      <c r="C513" s="397"/>
      <c r="D513" s="397"/>
      <c r="E513" s="397"/>
      <c r="F513" s="397"/>
      <c r="G513" s="397"/>
      <c r="H513" s="397"/>
      <c r="I513" s="397"/>
      <c r="J513" s="397"/>
      <c r="K513" s="397"/>
      <c r="L513" s="397"/>
      <c r="M513" s="399"/>
      <c r="N513" s="400"/>
      <c r="O513" s="400"/>
      <c r="P513" s="397"/>
      <c r="Q513" s="397"/>
      <c r="R513" s="397"/>
      <c r="S513" s="377"/>
      <c r="T513" s="377"/>
      <c r="U513" s="377"/>
      <c r="V513" s="377"/>
      <c r="W513" s="377"/>
      <c r="X513" s="377"/>
      <c r="Y513" s="377"/>
    </row>
    <row r="514" spans="1:25" ht="15.75">
      <c r="A514" s="398"/>
      <c r="B514" s="397"/>
      <c r="C514" s="397"/>
      <c r="D514" s="397"/>
      <c r="E514" s="397"/>
      <c r="F514" s="397"/>
      <c r="G514" s="397"/>
      <c r="H514" s="397"/>
      <c r="I514" s="397"/>
      <c r="J514" s="397"/>
      <c r="K514" s="397"/>
      <c r="L514" s="397"/>
      <c r="M514" s="399"/>
      <c r="N514" s="400"/>
      <c r="O514" s="400"/>
      <c r="P514" s="397"/>
      <c r="Q514" s="397"/>
      <c r="R514" s="397"/>
      <c r="S514" s="377"/>
      <c r="T514" s="377"/>
      <c r="U514" s="377"/>
      <c r="V514" s="377"/>
      <c r="W514" s="377"/>
      <c r="X514" s="377"/>
      <c r="Y514" s="377"/>
    </row>
    <row r="515" spans="1:25" ht="15.75">
      <c r="A515" s="398"/>
      <c r="B515" s="397"/>
      <c r="C515" s="397"/>
      <c r="D515" s="397"/>
      <c r="E515" s="397"/>
      <c r="F515" s="397"/>
      <c r="G515" s="397"/>
      <c r="H515" s="397"/>
      <c r="I515" s="397"/>
      <c r="J515" s="397"/>
      <c r="K515" s="397"/>
      <c r="L515" s="397"/>
      <c r="M515" s="399"/>
      <c r="N515" s="400"/>
      <c r="O515" s="400"/>
      <c r="P515" s="397"/>
      <c r="Q515" s="397"/>
      <c r="R515" s="397"/>
      <c r="S515" s="377"/>
      <c r="T515" s="377"/>
      <c r="U515" s="377"/>
      <c r="V515" s="377"/>
      <c r="W515" s="377"/>
      <c r="X515" s="377"/>
      <c r="Y515" s="377"/>
    </row>
    <row r="516" spans="1:25" ht="15.75">
      <c r="A516" s="398"/>
      <c r="B516" s="397"/>
      <c r="C516" s="397"/>
      <c r="D516" s="397"/>
      <c r="E516" s="397"/>
      <c r="F516" s="397"/>
      <c r="G516" s="397"/>
      <c r="H516" s="397"/>
      <c r="I516" s="397"/>
      <c r="J516" s="397"/>
      <c r="K516" s="397"/>
      <c r="L516" s="397"/>
      <c r="M516" s="399"/>
      <c r="N516" s="400"/>
      <c r="O516" s="400"/>
      <c r="P516" s="397"/>
      <c r="Q516" s="397"/>
      <c r="R516" s="397"/>
      <c r="S516" s="377"/>
      <c r="T516" s="377"/>
      <c r="U516" s="377"/>
      <c r="V516" s="377"/>
      <c r="W516" s="377"/>
      <c r="X516" s="377"/>
      <c r="Y516" s="377"/>
    </row>
    <row r="517" spans="1:25" ht="15.75">
      <c r="A517" s="398"/>
      <c r="B517" s="397"/>
      <c r="C517" s="397"/>
      <c r="D517" s="397"/>
      <c r="E517" s="397"/>
      <c r="F517" s="397"/>
      <c r="G517" s="397"/>
      <c r="H517" s="397"/>
      <c r="I517" s="397"/>
      <c r="J517" s="397"/>
      <c r="K517" s="397"/>
      <c r="L517" s="397"/>
      <c r="M517" s="399"/>
      <c r="N517" s="400"/>
      <c r="O517" s="400"/>
      <c r="P517" s="397"/>
      <c r="Q517" s="397"/>
      <c r="R517" s="397"/>
      <c r="S517" s="377"/>
      <c r="T517" s="377"/>
      <c r="U517" s="377"/>
      <c r="V517" s="377"/>
      <c r="W517" s="377"/>
      <c r="X517" s="377"/>
      <c r="Y517" s="377"/>
    </row>
    <row r="518" spans="1:25" ht="15.75">
      <c r="A518" s="398"/>
      <c r="B518" s="397"/>
      <c r="C518" s="397"/>
      <c r="D518" s="397"/>
      <c r="E518" s="397"/>
      <c r="F518" s="397"/>
      <c r="G518" s="397"/>
      <c r="H518" s="397"/>
      <c r="I518" s="397"/>
      <c r="J518" s="397"/>
      <c r="K518" s="397"/>
      <c r="L518" s="397"/>
      <c r="M518" s="399"/>
      <c r="N518" s="400"/>
      <c r="O518" s="400"/>
      <c r="P518" s="397"/>
      <c r="Q518" s="397"/>
      <c r="R518" s="397"/>
      <c r="S518" s="377"/>
      <c r="T518" s="377"/>
      <c r="U518" s="377"/>
      <c r="V518" s="377"/>
      <c r="W518" s="377"/>
      <c r="X518" s="377"/>
      <c r="Y518" s="377"/>
    </row>
    <row r="519" spans="1:25" ht="15.75">
      <c r="A519" s="398"/>
      <c r="B519" s="397"/>
      <c r="C519" s="397"/>
      <c r="D519" s="397"/>
      <c r="E519" s="397"/>
      <c r="F519" s="397"/>
      <c r="G519" s="397"/>
      <c r="H519" s="397"/>
      <c r="I519" s="397"/>
      <c r="J519" s="397"/>
      <c r="K519" s="397"/>
      <c r="L519" s="397"/>
      <c r="M519" s="399"/>
      <c r="N519" s="400"/>
      <c r="O519" s="400"/>
      <c r="P519" s="397"/>
      <c r="Q519" s="397"/>
      <c r="R519" s="397"/>
      <c r="S519" s="377"/>
      <c r="T519" s="377"/>
      <c r="U519" s="377"/>
      <c r="V519" s="377"/>
      <c r="W519" s="377"/>
      <c r="X519" s="377"/>
      <c r="Y519" s="377"/>
    </row>
    <row r="520" spans="1:25" ht="15.75">
      <c r="A520" s="398"/>
      <c r="B520" s="397"/>
      <c r="C520" s="397"/>
      <c r="D520" s="397"/>
      <c r="E520" s="397"/>
      <c r="F520" s="397"/>
      <c r="G520" s="397"/>
      <c r="H520" s="397"/>
      <c r="I520" s="397"/>
      <c r="J520" s="397"/>
      <c r="K520" s="397"/>
      <c r="L520" s="397"/>
      <c r="M520" s="399"/>
      <c r="N520" s="400"/>
      <c r="O520" s="400"/>
      <c r="P520" s="397"/>
      <c r="Q520" s="397"/>
      <c r="R520" s="397"/>
      <c r="S520" s="377"/>
      <c r="T520" s="377"/>
      <c r="U520" s="377"/>
      <c r="V520" s="377"/>
      <c r="W520" s="377"/>
      <c r="X520" s="377"/>
      <c r="Y520" s="377"/>
    </row>
    <row r="521" spans="1:25" ht="15.75">
      <c r="A521" s="398"/>
      <c r="B521" s="397"/>
      <c r="C521" s="397"/>
      <c r="D521" s="397"/>
      <c r="E521" s="397"/>
      <c r="F521" s="397"/>
      <c r="G521" s="397"/>
      <c r="H521" s="397"/>
      <c r="I521" s="397"/>
      <c r="J521" s="397"/>
      <c r="K521" s="397"/>
      <c r="L521" s="397"/>
      <c r="M521" s="399"/>
      <c r="N521" s="400"/>
      <c r="O521" s="400"/>
      <c r="P521" s="397"/>
      <c r="Q521" s="397"/>
      <c r="R521" s="397"/>
      <c r="S521" s="377"/>
      <c r="T521" s="377"/>
      <c r="U521" s="377"/>
      <c r="V521" s="377"/>
      <c r="W521" s="377"/>
      <c r="X521" s="377"/>
      <c r="Y521" s="377"/>
    </row>
    <row r="522" spans="1:25" ht="15.75">
      <c r="A522" s="398"/>
      <c r="B522" s="397"/>
      <c r="C522" s="397"/>
      <c r="D522" s="397"/>
      <c r="E522" s="397"/>
      <c r="F522" s="397"/>
      <c r="G522" s="397"/>
      <c r="H522" s="397"/>
      <c r="I522" s="397"/>
      <c r="J522" s="397"/>
      <c r="K522" s="397"/>
      <c r="L522" s="397"/>
      <c r="M522" s="399"/>
      <c r="N522" s="400"/>
      <c r="O522" s="400"/>
      <c r="P522" s="397"/>
      <c r="Q522" s="397"/>
      <c r="R522" s="397"/>
      <c r="S522" s="377"/>
      <c r="T522" s="377"/>
      <c r="U522" s="377"/>
      <c r="V522" s="377"/>
      <c r="W522" s="377"/>
      <c r="X522" s="377"/>
      <c r="Y522" s="377"/>
    </row>
    <row r="523" spans="1:25" ht="15.75">
      <c r="A523" s="398"/>
      <c r="B523" s="397"/>
      <c r="C523" s="397"/>
      <c r="D523" s="397"/>
      <c r="E523" s="397"/>
      <c r="F523" s="397"/>
      <c r="G523" s="397"/>
      <c r="H523" s="397"/>
      <c r="I523" s="397"/>
      <c r="J523" s="397"/>
      <c r="K523" s="397"/>
      <c r="L523" s="397"/>
      <c r="M523" s="399"/>
      <c r="N523" s="400"/>
      <c r="O523" s="400"/>
      <c r="P523" s="397"/>
      <c r="Q523" s="397"/>
      <c r="R523" s="397"/>
      <c r="S523" s="377"/>
      <c r="T523" s="377"/>
      <c r="U523" s="377"/>
      <c r="V523" s="377"/>
      <c r="W523" s="377"/>
      <c r="X523" s="377"/>
      <c r="Y523" s="377"/>
    </row>
    <row r="524" spans="1:25" ht="15.75">
      <c r="A524" s="398"/>
      <c r="B524" s="397"/>
      <c r="C524" s="397"/>
      <c r="D524" s="397"/>
      <c r="E524" s="397"/>
      <c r="F524" s="397"/>
      <c r="G524" s="397"/>
      <c r="H524" s="397"/>
      <c r="I524" s="397"/>
      <c r="J524" s="397"/>
      <c r="K524" s="397"/>
      <c r="L524" s="397"/>
      <c r="M524" s="399"/>
      <c r="N524" s="400"/>
      <c r="O524" s="400"/>
      <c r="P524" s="397"/>
      <c r="Q524" s="397"/>
      <c r="R524" s="397"/>
      <c r="S524" s="377"/>
      <c r="T524" s="377"/>
      <c r="U524" s="377"/>
      <c r="V524" s="377"/>
      <c r="W524" s="377"/>
      <c r="X524" s="377"/>
      <c r="Y524" s="377"/>
    </row>
    <row r="525" spans="1:25" ht="15.75">
      <c r="A525" s="398"/>
      <c r="B525" s="397"/>
      <c r="C525" s="397"/>
      <c r="D525" s="397"/>
      <c r="E525" s="397"/>
      <c r="F525" s="397"/>
      <c r="G525" s="397"/>
      <c r="H525" s="397"/>
      <c r="I525" s="397"/>
      <c r="J525" s="397"/>
      <c r="K525" s="397"/>
      <c r="L525" s="397"/>
      <c r="M525" s="399"/>
      <c r="N525" s="400"/>
      <c r="O525" s="400"/>
      <c r="P525" s="397"/>
      <c r="Q525" s="397"/>
      <c r="R525" s="397"/>
      <c r="S525" s="377"/>
      <c r="T525" s="377"/>
      <c r="U525" s="377"/>
      <c r="V525" s="377"/>
      <c r="W525" s="377"/>
      <c r="X525" s="377"/>
      <c r="Y525" s="377"/>
    </row>
    <row r="526" spans="1:25" ht="15.75">
      <c r="A526" s="398"/>
      <c r="B526" s="397"/>
      <c r="C526" s="397"/>
      <c r="D526" s="397"/>
      <c r="E526" s="397"/>
      <c r="F526" s="397"/>
      <c r="G526" s="397"/>
      <c r="H526" s="397"/>
      <c r="I526" s="397"/>
      <c r="J526" s="397"/>
      <c r="K526" s="397"/>
      <c r="L526" s="397"/>
      <c r="M526" s="399"/>
      <c r="N526" s="400"/>
      <c r="O526" s="400"/>
      <c r="P526" s="397"/>
      <c r="Q526" s="397"/>
      <c r="R526" s="397"/>
      <c r="S526" s="377"/>
      <c r="T526" s="377"/>
      <c r="U526" s="377"/>
      <c r="V526" s="377"/>
      <c r="W526" s="377"/>
      <c r="X526" s="377"/>
      <c r="Y526" s="377"/>
    </row>
    <row r="527" spans="1:25" ht="15.75">
      <c r="A527" s="398"/>
      <c r="B527" s="397"/>
      <c r="C527" s="397"/>
      <c r="D527" s="397"/>
      <c r="E527" s="397"/>
      <c r="F527" s="397"/>
      <c r="G527" s="397"/>
      <c r="H527" s="397"/>
      <c r="I527" s="397"/>
      <c r="J527" s="397"/>
      <c r="K527" s="397"/>
      <c r="L527" s="397"/>
      <c r="M527" s="399"/>
      <c r="N527" s="400"/>
      <c r="O527" s="400"/>
      <c r="P527" s="397"/>
      <c r="Q527" s="397"/>
      <c r="R527" s="397"/>
      <c r="S527" s="377"/>
      <c r="T527" s="377"/>
      <c r="U527" s="377"/>
      <c r="V527" s="377"/>
      <c r="W527" s="377"/>
      <c r="X527" s="377"/>
      <c r="Y527" s="377"/>
    </row>
    <row r="528" spans="1:25" ht="15.75">
      <c r="A528" s="398"/>
      <c r="B528" s="397"/>
      <c r="C528" s="397"/>
      <c r="D528" s="397"/>
      <c r="E528" s="397"/>
      <c r="F528" s="397"/>
      <c r="G528" s="397"/>
      <c r="H528" s="397"/>
      <c r="I528" s="397"/>
      <c r="J528" s="397"/>
      <c r="K528" s="397"/>
      <c r="L528" s="397"/>
      <c r="M528" s="399"/>
      <c r="N528" s="400"/>
      <c r="O528" s="400"/>
      <c r="P528" s="397"/>
      <c r="Q528" s="397"/>
      <c r="R528" s="397"/>
      <c r="S528" s="377"/>
      <c r="T528" s="377"/>
      <c r="U528" s="377"/>
      <c r="V528" s="377"/>
      <c r="W528" s="377"/>
      <c r="X528" s="377"/>
      <c r="Y528" s="377"/>
    </row>
    <row r="529" spans="1:25" ht="15.75">
      <c r="A529" s="398"/>
      <c r="B529" s="397"/>
      <c r="C529" s="397"/>
      <c r="D529" s="397"/>
      <c r="E529" s="397"/>
      <c r="F529" s="397"/>
      <c r="G529" s="397"/>
      <c r="H529" s="397"/>
      <c r="I529" s="397"/>
      <c r="J529" s="397"/>
      <c r="K529" s="397"/>
      <c r="L529" s="397"/>
      <c r="M529" s="399"/>
      <c r="N529" s="400"/>
      <c r="O529" s="400"/>
      <c r="P529" s="397"/>
      <c r="Q529" s="397"/>
      <c r="R529" s="397"/>
      <c r="S529" s="377"/>
      <c r="T529" s="377"/>
      <c r="U529" s="377"/>
      <c r="V529" s="377"/>
      <c r="W529" s="377"/>
      <c r="X529" s="377"/>
      <c r="Y529" s="377"/>
    </row>
    <row r="530" spans="1:25" ht="15.75">
      <c r="A530" s="398"/>
      <c r="B530" s="397"/>
      <c r="C530" s="397"/>
      <c r="D530" s="397"/>
      <c r="E530" s="397"/>
      <c r="F530" s="397"/>
      <c r="G530" s="397"/>
      <c r="H530" s="397"/>
      <c r="I530" s="397"/>
      <c r="J530" s="397"/>
      <c r="K530" s="397"/>
      <c r="L530" s="397"/>
      <c r="M530" s="399"/>
      <c r="N530" s="400"/>
      <c r="O530" s="400"/>
      <c r="P530" s="397"/>
      <c r="Q530" s="397"/>
      <c r="R530" s="397"/>
      <c r="S530" s="377"/>
      <c r="T530" s="377"/>
      <c r="U530" s="377"/>
      <c r="V530" s="377"/>
      <c r="W530" s="377"/>
      <c r="X530" s="377"/>
      <c r="Y530" s="377"/>
    </row>
    <row r="531" spans="1:25" ht="15.75">
      <c r="A531" s="398"/>
      <c r="B531" s="397"/>
      <c r="C531" s="397"/>
      <c r="D531" s="397"/>
      <c r="E531" s="397"/>
      <c r="F531" s="397"/>
      <c r="G531" s="397"/>
      <c r="H531" s="397"/>
      <c r="I531" s="397"/>
      <c r="J531" s="397"/>
      <c r="K531" s="397"/>
      <c r="L531" s="397"/>
      <c r="M531" s="399"/>
      <c r="N531" s="400"/>
      <c r="O531" s="400"/>
      <c r="P531" s="397"/>
      <c r="Q531" s="397"/>
      <c r="R531" s="397"/>
      <c r="S531" s="377"/>
      <c r="T531" s="377"/>
      <c r="U531" s="377"/>
      <c r="V531" s="377"/>
      <c r="W531" s="377"/>
      <c r="X531" s="377"/>
      <c r="Y531" s="377"/>
    </row>
    <row r="532" spans="1:25" ht="15.75">
      <c r="A532" s="398"/>
      <c r="B532" s="397"/>
      <c r="C532" s="397"/>
      <c r="D532" s="397"/>
      <c r="E532" s="397"/>
      <c r="F532" s="397"/>
      <c r="G532" s="397"/>
      <c r="H532" s="397"/>
      <c r="I532" s="397"/>
      <c r="J532" s="397"/>
      <c r="K532" s="397"/>
      <c r="L532" s="397"/>
      <c r="M532" s="399"/>
      <c r="N532" s="400"/>
      <c r="O532" s="400"/>
      <c r="P532" s="397"/>
      <c r="Q532" s="397"/>
      <c r="R532" s="397"/>
      <c r="S532" s="377"/>
      <c r="T532" s="377"/>
      <c r="U532" s="377"/>
      <c r="V532" s="377"/>
      <c r="W532" s="377"/>
      <c r="X532" s="377"/>
      <c r="Y532" s="377"/>
    </row>
    <row r="533" spans="1:25" ht="15.75">
      <c r="A533" s="398"/>
      <c r="B533" s="397"/>
      <c r="C533" s="397"/>
      <c r="D533" s="397"/>
      <c r="E533" s="397"/>
      <c r="F533" s="397"/>
      <c r="G533" s="397"/>
      <c r="H533" s="397"/>
      <c r="I533" s="397"/>
      <c r="J533" s="397"/>
      <c r="K533" s="397"/>
      <c r="L533" s="397"/>
      <c r="M533" s="399"/>
      <c r="N533" s="400"/>
      <c r="O533" s="400"/>
      <c r="P533" s="397"/>
      <c r="Q533" s="397"/>
      <c r="R533" s="397"/>
      <c r="S533" s="377"/>
      <c r="T533" s="377"/>
      <c r="U533" s="377"/>
      <c r="V533" s="377"/>
      <c r="W533" s="377"/>
      <c r="X533" s="377"/>
      <c r="Y533" s="377"/>
    </row>
    <row r="534" spans="1:25" ht="15.75">
      <c r="A534" s="398"/>
      <c r="B534" s="397"/>
      <c r="C534" s="397"/>
      <c r="D534" s="397"/>
      <c r="E534" s="397"/>
      <c r="F534" s="397"/>
      <c r="G534" s="397"/>
      <c r="H534" s="397"/>
      <c r="I534" s="397"/>
      <c r="J534" s="397"/>
      <c r="K534" s="397"/>
      <c r="L534" s="397"/>
      <c r="M534" s="399"/>
      <c r="N534" s="400"/>
      <c r="O534" s="400"/>
      <c r="P534" s="397"/>
      <c r="Q534" s="397"/>
      <c r="R534" s="397"/>
      <c r="S534" s="377"/>
      <c r="T534" s="377"/>
      <c r="U534" s="377"/>
      <c r="V534" s="377"/>
      <c r="W534" s="377"/>
      <c r="X534" s="377"/>
      <c r="Y534" s="377"/>
    </row>
    <row r="535" spans="1:25" ht="15.75">
      <c r="A535" s="398"/>
      <c r="B535" s="397"/>
      <c r="C535" s="397"/>
      <c r="D535" s="397"/>
      <c r="E535" s="397"/>
      <c r="F535" s="397"/>
      <c r="G535" s="397"/>
      <c r="H535" s="397"/>
      <c r="I535" s="397"/>
      <c r="J535" s="397"/>
      <c r="K535" s="397"/>
      <c r="L535" s="397"/>
      <c r="M535" s="399"/>
      <c r="N535" s="400"/>
      <c r="O535" s="400"/>
      <c r="P535" s="397"/>
      <c r="Q535" s="397"/>
      <c r="R535" s="397"/>
      <c r="S535" s="377"/>
      <c r="T535" s="377"/>
      <c r="U535" s="377"/>
      <c r="V535" s="377"/>
      <c r="W535" s="377"/>
      <c r="X535" s="377"/>
      <c r="Y535" s="377"/>
    </row>
    <row r="536" spans="1:25" ht="15.75">
      <c r="A536" s="398"/>
      <c r="B536" s="397"/>
      <c r="C536" s="397"/>
      <c r="D536" s="397"/>
      <c r="E536" s="397"/>
      <c r="F536" s="397"/>
      <c r="G536" s="397"/>
      <c r="H536" s="397"/>
      <c r="I536" s="397"/>
      <c r="J536" s="397"/>
      <c r="K536" s="397"/>
      <c r="L536" s="397"/>
      <c r="M536" s="399"/>
      <c r="N536" s="400"/>
      <c r="O536" s="400"/>
      <c r="P536" s="397"/>
      <c r="Q536" s="397"/>
      <c r="R536" s="397"/>
      <c r="S536" s="377"/>
      <c r="T536" s="377"/>
      <c r="U536" s="377"/>
      <c r="V536" s="377"/>
      <c r="W536" s="377"/>
      <c r="X536" s="377"/>
      <c r="Y536" s="377"/>
    </row>
    <row r="537" spans="1:25" ht="15.75">
      <c r="A537" s="398"/>
      <c r="B537" s="397"/>
      <c r="C537" s="397"/>
      <c r="D537" s="397"/>
      <c r="E537" s="397"/>
      <c r="F537" s="397"/>
      <c r="G537" s="397"/>
      <c r="H537" s="397"/>
      <c r="I537" s="397"/>
      <c r="J537" s="397"/>
      <c r="K537" s="397"/>
      <c r="L537" s="397"/>
      <c r="M537" s="399"/>
      <c r="N537" s="400"/>
      <c r="O537" s="400"/>
      <c r="P537" s="397"/>
      <c r="Q537" s="397"/>
      <c r="R537" s="397"/>
      <c r="S537" s="377"/>
      <c r="T537" s="377"/>
      <c r="U537" s="377"/>
      <c r="V537" s="377"/>
      <c r="W537" s="377"/>
      <c r="X537" s="377"/>
      <c r="Y537" s="377"/>
    </row>
    <row r="538" spans="1:25" ht="15.75">
      <c r="A538" s="398"/>
      <c r="B538" s="397"/>
      <c r="C538" s="397"/>
      <c r="D538" s="397"/>
      <c r="E538" s="397"/>
      <c r="F538" s="397"/>
      <c r="G538" s="397"/>
      <c r="H538" s="397"/>
      <c r="I538" s="397"/>
      <c r="J538" s="397"/>
      <c r="K538" s="397"/>
      <c r="L538" s="397"/>
      <c r="M538" s="399"/>
      <c r="N538" s="400"/>
      <c r="O538" s="400"/>
      <c r="P538" s="397"/>
      <c r="Q538" s="397"/>
      <c r="R538" s="397"/>
      <c r="S538" s="377"/>
      <c r="T538" s="377"/>
      <c r="U538" s="377"/>
      <c r="V538" s="377"/>
      <c r="W538" s="377"/>
      <c r="X538" s="377"/>
      <c r="Y538" s="377"/>
    </row>
    <row r="539" spans="1:25" ht="15.75">
      <c r="A539" s="398"/>
      <c r="B539" s="397"/>
      <c r="C539" s="397"/>
      <c r="D539" s="397"/>
      <c r="E539" s="397"/>
      <c r="F539" s="397"/>
      <c r="G539" s="397"/>
      <c r="H539" s="397"/>
      <c r="I539" s="397"/>
      <c r="J539" s="397"/>
      <c r="K539" s="397"/>
      <c r="L539" s="397"/>
      <c r="M539" s="399"/>
      <c r="N539" s="400"/>
      <c r="O539" s="400"/>
      <c r="P539" s="397"/>
      <c r="Q539" s="397"/>
      <c r="R539" s="397"/>
      <c r="S539" s="377"/>
      <c r="T539" s="377"/>
      <c r="U539" s="377"/>
      <c r="V539" s="377"/>
      <c r="W539" s="377"/>
      <c r="X539" s="377"/>
      <c r="Y539" s="377"/>
    </row>
    <row r="540" spans="1:25" ht="15.75">
      <c r="A540" s="398"/>
      <c r="B540" s="397"/>
      <c r="C540" s="397"/>
      <c r="D540" s="397"/>
      <c r="E540" s="397"/>
      <c r="F540" s="397"/>
      <c r="G540" s="397"/>
      <c r="H540" s="397"/>
      <c r="I540" s="397"/>
      <c r="J540" s="397"/>
      <c r="K540" s="397"/>
      <c r="L540" s="397"/>
      <c r="M540" s="399"/>
      <c r="N540" s="400"/>
      <c r="O540" s="400"/>
      <c r="P540" s="397"/>
      <c r="Q540" s="397"/>
      <c r="R540" s="397"/>
      <c r="S540" s="377"/>
      <c r="T540" s="377"/>
      <c r="U540" s="377"/>
      <c r="V540" s="377"/>
      <c r="W540" s="377"/>
      <c r="X540" s="377"/>
      <c r="Y540" s="377"/>
    </row>
    <row r="541" spans="1:25" ht="15.75">
      <c r="A541" s="398"/>
      <c r="B541" s="397"/>
      <c r="C541" s="397"/>
      <c r="D541" s="397"/>
      <c r="E541" s="397"/>
      <c r="F541" s="397"/>
      <c r="G541" s="397"/>
      <c r="H541" s="397"/>
      <c r="I541" s="397"/>
      <c r="J541" s="397"/>
      <c r="K541" s="397"/>
      <c r="L541" s="397"/>
      <c r="M541" s="399"/>
      <c r="N541" s="400"/>
      <c r="O541" s="400"/>
      <c r="P541" s="397"/>
      <c r="Q541" s="397"/>
      <c r="R541" s="397"/>
      <c r="S541" s="377"/>
      <c r="T541" s="377"/>
      <c r="U541" s="377"/>
      <c r="V541" s="377"/>
      <c r="W541" s="377"/>
      <c r="X541" s="377"/>
      <c r="Y541" s="377"/>
    </row>
    <row r="542" spans="1:25" ht="15.75">
      <c r="A542" s="398"/>
      <c r="B542" s="397"/>
      <c r="C542" s="397"/>
      <c r="D542" s="397"/>
      <c r="E542" s="397"/>
      <c r="F542" s="397"/>
      <c r="G542" s="397"/>
      <c r="H542" s="397"/>
      <c r="I542" s="397"/>
      <c r="J542" s="397"/>
      <c r="K542" s="397"/>
      <c r="L542" s="397"/>
      <c r="M542" s="399"/>
      <c r="N542" s="400"/>
      <c r="O542" s="400"/>
      <c r="P542" s="397"/>
      <c r="Q542" s="397"/>
      <c r="R542" s="397"/>
      <c r="S542" s="377"/>
      <c r="T542" s="377"/>
      <c r="U542" s="377"/>
      <c r="V542" s="377"/>
      <c r="W542" s="377"/>
      <c r="X542" s="377"/>
      <c r="Y542" s="377"/>
    </row>
    <row r="543" spans="1:25" ht="15.75">
      <c r="A543" s="398"/>
      <c r="B543" s="397"/>
      <c r="C543" s="397"/>
      <c r="D543" s="397"/>
      <c r="E543" s="397"/>
      <c r="F543" s="397"/>
      <c r="G543" s="397"/>
      <c r="H543" s="397"/>
      <c r="I543" s="397"/>
      <c r="J543" s="397"/>
      <c r="K543" s="397"/>
      <c r="L543" s="397"/>
      <c r="M543" s="399"/>
      <c r="N543" s="400"/>
      <c r="O543" s="400"/>
      <c r="P543" s="397"/>
      <c r="Q543" s="397"/>
      <c r="R543" s="397"/>
      <c r="S543" s="377"/>
      <c r="T543" s="377"/>
      <c r="U543" s="377"/>
      <c r="V543" s="377"/>
      <c r="W543" s="377"/>
      <c r="X543" s="377"/>
      <c r="Y543" s="377"/>
    </row>
    <row r="544" spans="1:25" ht="15.75">
      <c r="A544" s="398"/>
      <c r="B544" s="397"/>
      <c r="C544" s="397"/>
      <c r="D544" s="397"/>
      <c r="E544" s="397"/>
      <c r="F544" s="397"/>
      <c r="G544" s="397"/>
      <c r="H544" s="397"/>
      <c r="I544" s="397"/>
      <c r="J544" s="397"/>
      <c r="K544" s="397"/>
      <c r="L544" s="397"/>
      <c r="M544" s="399"/>
      <c r="N544" s="400"/>
      <c r="O544" s="400"/>
      <c r="P544" s="397"/>
      <c r="Q544" s="397"/>
      <c r="R544" s="397"/>
      <c r="S544" s="377"/>
      <c r="T544" s="377"/>
      <c r="U544" s="377"/>
      <c r="V544" s="377"/>
      <c r="W544" s="377"/>
      <c r="X544" s="377"/>
      <c r="Y544" s="377"/>
    </row>
    <row r="545" spans="1:25" ht="15.75">
      <c r="A545" s="398"/>
      <c r="B545" s="397"/>
      <c r="C545" s="397"/>
      <c r="D545" s="397"/>
      <c r="E545" s="397"/>
      <c r="F545" s="397"/>
      <c r="G545" s="397"/>
      <c r="H545" s="397"/>
      <c r="I545" s="397"/>
      <c r="J545" s="397"/>
      <c r="K545" s="397"/>
      <c r="L545" s="397"/>
      <c r="M545" s="399"/>
      <c r="N545" s="400"/>
      <c r="O545" s="400"/>
      <c r="P545" s="397"/>
      <c r="Q545" s="397"/>
      <c r="R545" s="397"/>
      <c r="S545" s="377"/>
      <c r="T545" s="377"/>
      <c r="U545" s="377"/>
      <c r="V545" s="377"/>
      <c r="W545" s="377"/>
      <c r="X545" s="377"/>
      <c r="Y545" s="377"/>
    </row>
    <row r="546" spans="1:25" ht="15.75">
      <c r="A546" s="398"/>
      <c r="B546" s="397"/>
      <c r="C546" s="397"/>
      <c r="D546" s="397"/>
      <c r="E546" s="397"/>
      <c r="F546" s="397"/>
      <c r="G546" s="397"/>
      <c r="H546" s="397"/>
      <c r="I546" s="397"/>
      <c r="J546" s="397"/>
      <c r="K546" s="397"/>
      <c r="L546" s="397"/>
      <c r="M546" s="399"/>
      <c r="N546" s="400"/>
      <c r="O546" s="400"/>
      <c r="P546" s="397"/>
      <c r="Q546" s="397"/>
      <c r="R546" s="397"/>
      <c r="S546" s="377"/>
      <c r="T546" s="377"/>
      <c r="U546" s="377"/>
      <c r="V546" s="377"/>
      <c r="W546" s="377"/>
      <c r="X546" s="377"/>
      <c r="Y546" s="377"/>
    </row>
    <row r="547" spans="1:25" ht="15.75">
      <c r="A547" s="398"/>
      <c r="B547" s="397"/>
      <c r="C547" s="397"/>
      <c r="D547" s="397"/>
      <c r="E547" s="397"/>
      <c r="F547" s="397"/>
      <c r="G547" s="397"/>
      <c r="H547" s="397"/>
      <c r="I547" s="397"/>
      <c r="J547" s="397"/>
      <c r="K547" s="397"/>
      <c r="L547" s="397"/>
      <c r="M547" s="399"/>
      <c r="N547" s="400"/>
      <c r="O547" s="400"/>
      <c r="P547" s="397"/>
      <c r="Q547" s="397"/>
      <c r="R547" s="397"/>
      <c r="S547" s="377"/>
      <c r="T547" s="377"/>
      <c r="U547" s="377"/>
      <c r="V547" s="377"/>
      <c r="W547" s="377"/>
      <c r="X547" s="377"/>
      <c r="Y547" s="377"/>
    </row>
    <row r="548" spans="1:25" ht="15.75">
      <c r="A548" s="398"/>
      <c r="B548" s="397"/>
      <c r="C548" s="397"/>
      <c r="D548" s="397"/>
      <c r="E548" s="397"/>
      <c r="F548" s="397"/>
      <c r="G548" s="397"/>
      <c r="H548" s="397"/>
      <c r="I548" s="397"/>
      <c r="J548" s="397"/>
      <c r="K548" s="397"/>
      <c r="L548" s="397"/>
      <c r="M548" s="399"/>
      <c r="N548" s="400"/>
      <c r="O548" s="400"/>
      <c r="P548" s="397"/>
      <c r="Q548" s="397"/>
      <c r="R548" s="397"/>
      <c r="S548" s="377"/>
      <c r="T548" s="377"/>
      <c r="U548" s="377"/>
      <c r="V548" s="377"/>
      <c r="W548" s="377"/>
      <c r="X548" s="377"/>
      <c r="Y548" s="377"/>
    </row>
    <row r="549" spans="1:25" ht="15.75">
      <c r="A549" s="398"/>
      <c r="B549" s="397"/>
      <c r="C549" s="397"/>
      <c r="D549" s="397"/>
      <c r="E549" s="397"/>
      <c r="F549" s="397"/>
      <c r="G549" s="397"/>
      <c r="H549" s="397"/>
      <c r="I549" s="397"/>
      <c r="J549" s="397"/>
      <c r="K549" s="397"/>
      <c r="L549" s="397"/>
      <c r="M549" s="399"/>
      <c r="N549" s="400"/>
      <c r="O549" s="400"/>
      <c r="P549" s="397"/>
      <c r="Q549" s="397"/>
      <c r="R549" s="397"/>
      <c r="S549" s="377"/>
      <c r="T549" s="377"/>
      <c r="U549" s="377"/>
      <c r="V549" s="377"/>
      <c r="W549" s="377"/>
      <c r="X549" s="377"/>
      <c r="Y549" s="377"/>
    </row>
    <row r="550" spans="1:25" ht="15.75">
      <c r="A550" s="398"/>
      <c r="B550" s="397"/>
      <c r="C550" s="397"/>
      <c r="D550" s="397"/>
      <c r="E550" s="397"/>
      <c r="F550" s="397"/>
      <c r="G550" s="397"/>
      <c r="H550" s="397"/>
      <c r="I550" s="397"/>
      <c r="J550" s="397"/>
      <c r="K550" s="397"/>
      <c r="L550" s="397"/>
      <c r="M550" s="399"/>
      <c r="N550" s="400"/>
      <c r="O550" s="400"/>
      <c r="P550" s="397"/>
      <c r="Q550" s="397"/>
      <c r="R550" s="397"/>
      <c r="S550" s="377"/>
      <c r="T550" s="377"/>
      <c r="U550" s="377"/>
      <c r="V550" s="377"/>
      <c r="W550" s="377"/>
      <c r="X550" s="377"/>
      <c r="Y550" s="377"/>
    </row>
    <row r="551" spans="1:25" ht="15.75">
      <c r="A551" s="398"/>
      <c r="B551" s="397"/>
      <c r="C551" s="397"/>
      <c r="D551" s="397"/>
      <c r="E551" s="397"/>
      <c r="F551" s="397"/>
      <c r="G551" s="397"/>
      <c r="H551" s="397"/>
      <c r="I551" s="397"/>
      <c r="J551" s="397"/>
      <c r="K551" s="397"/>
      <c r="L551" s="397"/>
      <c r="M551" s="399"/>
      <c r="N551" s="400"/>
      <c r="O551" s="400"/>
      <c r="P551" s="397"/>
      <c r="Q551" s="397"/>
      <c r="R551" s="397"/>
      <c r="S551" s="377"/>
      <c r="T551" s="377"/>
      <c r="U551" s="377"/>
      <c r="V551" s="377"/>
      <c r="W551" s="377"/>
      <c r="X551" s="377"/>
      <c r="Y551" s="377"/>
    </row>
    <row r="552" spans="1:25" ht="15.75">
      <c r="A552" s="398"/>
      <c r="B552" s="397"/>
      <c r="C552" s="397"/>
      <c r="D552" s="397"/>
      <c r="E552" s="397"/>
      <c r="F552" s="397"/>
      <c r="G552" s="397"/>
      <c r="H552" s="397"/>
      <c r="I552" s="397"/>
      <c r="J552" s="397"/>
      <c r="K552" s="397"/>
      <c r="L552" s="397"/>
      <c r="M552" s="399"/>
      <c r="N552" s="400"/>
      <c r="O552" s="400"/>
      <c r="P552" s="397"/>
      <c r="Q552" s="397"/>
      <c r="R552" s="397"/>
      <c r="S552" s="377"/>
      <c r="T552" s="377"/>
      <c r="U552" s="377"/>
      <c r="V552" s="377"/>
      <c r="W552" s="377"/>
      <c r="X552" s="377"/>
      <c r="Y552" s="377"/>
    </row>
    <row r="553" spans="1:25" ht="15.75">
      <c r="A553" s="398"/>
      <c r="B553" s="397"/>
      <c r="C553" s="397"/>
      <c r="D553" s="397"/>
      <c r="E553" s="397"/>
      <c r="F553" s="397"/>
      <c r="G553" s="397"/>
      <c r="H553" s="397"/>
      <c r="I553" s="397"/>
      <c r="J553" s="397"/>
      <c r="K553" s="397"/>
      <c r="L553" s="397"/>
      <c r="M553" s="399"/>
      <c r="N553" s="400"/>
      <c r="O553" s="400"/>
      <c r="P553" s="397"/>
      <c r="Q553" s="397"/>
      <c r="R553" s="397"/>
      <c r="S553" s="377"/>
      <c r="T553" s="377"/>
      <c r="U553" s="377"/>
      <c r="V553" s="377"/>
      <c r="W553" s="377"/>
      <c r="X553" s="377"/>
      <c r="Y553" s="377"/>
    </row>
    <row r="554" spans="1:25" ht="15.75">
      <c r="A554" s="398"/>
      <c r="B554" s="397"/>
      <c r="C554" s="397"/>
      <c r="D554" s="397"/>
      <c r="E554" s="397"/>
      <c r="F554" s="397"/>
      <c r="G554" s="397"/>
      <c r="H554" s="397"/>
      <c r="I554" s="397"/>
      <c r="J554" s="397"/>
      <c r="K554" s="397"/>
      <c r="L554" s="397"/>
      <c r="M554" s="399"/>
      <c r="N554" s="400"/>
      <c r="O554" s="400"/>
      <c r="P554" s="397"/>
      <c r="Q554" s="397"/>
      <c r="R554" s="397"/>
      <c r="S554" s="377"/>
      <c r="T554" s="377"/>
      <c r="U554" s="377"/>
      <c r="V554" s="377"/>
      <c r="W554" s="377"/>
      <c r="X554" s="377"/>
      <c r="Y554" s="377"/>
    </row>
    <row r="555" spans="1:25" ht="15.75">
      <c r="A555" s="398"/>
      <c r="B555" s="397"/>
      <c r="C555" s="397"/>
      <c r="D555" s="397"/>
      <c r="E555" s="397"/>
      <c r="F555" s="397"/>
      <c r="G555" s="397"/>
      <c r="H555" s="397"/>
      <c r="I555" s="397"/>
      <c r="J555" s="397"/>
      <c r="K555" s="397"/>
      <c r="L555" s="397"/>
      <c r="M555" s="399"/>
      <c r="N555" s="400"/>
      <c r="O555" s="400"/>
      <c r="P555" s="397"/>
      <c r="Q555" s="397"/>
      <c r="R555" s="397"/>
      <c r="S555" s="377"/>
      <c r="T555" s="377"/>
      <c r="U555" s="377"/>
      <c r="V555" s="377"/>
      <c r="W555" s="377"/>
      <c r="X555" s="377"/>
      <c r="Y555" s="377"/>
    </row>
    <row r="556" spans="1:25" ht="15.75">
      <c r="A556" s="398"/>
      <c r="B556" s="397"/>
      <c r="C556" s="397"/>
      <c r="D556" s="397"/>
      <c r="E556" s="397"/>
      <c r="F556" s="397"/>
      <c r="G556" s="397"/>
      <c r="H556" s="397"/>
      <c r="I556" s="397"/>
      <c r="J556" s="397"/>
      <c r="K556" s="397"/>
      <c r="L556" s="397"/>
      <c r="M556" s="399"/>
      <c r="N556" s="400"/>
      <c r="O556" s="400"/>
      <c r="P556" s="397"/>
      <c r="Q556" s="397"/>
      <c r="R556" s="397"/>
      <c r="S556" s="377"/>
      <c r="T556" s="377"/>
      <c r="U556" s="377"/>
      <c r="V556" s="377"/>
      <c r="W556" s="377"/>
      <c r="X556" s="377"/>
      <c r="Y556" s="377"/>
    </row>
    <row r="557" spans="1:25" ht="15.75">
      <c r="A557" s="398"/>
      <c r="B557" s="397"/>
      <c r="C557" s="397"/>
      <c r="D557" s="397"/>
      <c r="E557" s="397"/>
      <c r="F557" s="397"/>
      <c r="G557" s="397"/>
      <c r="H557" s="397"/>
      <c r="I557" s="397"/>
      <c r="J557" s="397"/>
      <c r="K557" s="397"/>
      <c r="L557" s="397"/>
      <c r="M557" s="399"/>
      <c r="N557" s="400"/>
      <c r="O557" s="400"/>
      <c r="P557" s="397"/>
      <c r="Q557" s="397"/>
      <c r="R557" s="397"/>
      <c r="S557" s="377"/>
      <c r="T557" s="377"/>
      <c r="U557" s="377"/>
      <c r="V557" s="377"/>
      <c r="W557" s="377"/>
      <c r="X557" s="377"/>
      <c r="Y557" s="377"/>
    </row>
    <row r="558" spans="1:25" ht="15.75">
      <c r="A558" s="398"/>
      <c r="B558" s="397"/>
      <c r="C558" s="397"/>
      <c r="D558" s="397"/>
      <c r="E558" s="397"/>
      <c r="F558" s="397"/>
      <c r="G558" s="397"/>
      <c r="H558" s="397"/>
      <c r="I558" s="397"/>
      <c r="J558" s="397"/>
      <c r="K558" s="397"/>
      <c r="L558" s="397"/>
      <c r="M558" s="399"/>
      <c r="N558" s="400"/>
      <c r="O558" s="400"/>
      <c r="P558" s="397"/>
      <c r="Q558" s="397"/>
      <c r="R558" s="397"/>
      <c r="S558" s="377"/>
      <c r="T558" s="377"/>
      <c r="U558" s="377"/>
      <c r="V558" s="377"/>
      <c r="W558" s="377"/>
      <c r="X558" s="377"/>
      <c r="Y558" s="377"/>
    </row>
    <row r="559" spans="1:25" ht="15.75">
      <c r="A559" s="398"/>
      <c r="B559" s="397"/>
      <c r="C559" s="397"/>
      <c r="D559" s="397"/>
      <c r="E559" s="397"/>
      <c r="F559" s="397"/>
      <c r="G559" s="397"/>
      <c r="H559" s="397"/>
      <c r="I559" s="397"/>
      <c r="J559" s="397"/>
      <c r="K559" s="397"/>
      <c r="L559" s="397"/>
      <c r="M559" s="399"/>
      <c r="N559" s="400"/>
      <c r="O559" s="400"/>
      <c r="P559" s="397"/>
      <c r="Q559" s="397"/>
      <c r="R559" s="397"/>
      <c r="S559" s="377"/>
      <c r="T559" s="377"/>
      <c r="U559" s="377"/>
      <c r="V559" s="377"/>
      <c r="W559" s="377"/>
      <c r="X559" s="377"/>
      <c r="Y559" s="377"/>
    </row>
    <row r="560" spans="1:25" ht="15.75">
      <c r="A560" s="398"/>
      <c r="B560" s="397"/>
      <c r="C560" s="397"/>
      <c r="D560" s="397"/>
      <c r="E560" s="397"/>
      <c r="F560" s="397"/>
      <c r="G560" s="397"/>
      <c r="H560" s="397"/>
      <c r="I560" s="397"/>
      <c r="J560" s="397"/>
      <c r="K560" s="397"/>
      <c r="L560" s="397"/>
      <c r="M560" s="399"/>
      <c r="N560" s="400"/>
      <c r="O560" s="400"/>
      <c r="P560" s="397"/>
      <c r="Q560" s="397"/>
      <c r="R560" s="397"/>
      <c r="S560" s="377"/>
      <c r="T560" s="377"/>
      <c r="U560" s="377"/>
      <c r="V560" s="377"/>
      <c r="W560" s="377"/>
      <c r="X560" s="377"/>
      <c r="Y560" s="377"/>
    </row>
    <row r="561" spans="1:25" ht="15.75">
      <c r="A561" s="398"/>
      <c r="B561" s="397"/>
      <c r="C561" s="397"/>
      <c r="D561" s="397"/>
      <c r="E561" s="397"/>
      <c r="F561" s="397"/>
      <c r="G561" s="397"/>
      <c r="H561" s="397"/>
      <c r="I561" s="397"/>
      <c r="J561" s="397"/>
      <c r="K561" s="397"/>
      <c r="L561" s="397"/>
      <c r="M561" s="399"/>
      <c r="N561" s="400"/>
      <c r="O561" s="400"/>
      <c r="P561" s="397"/>
      <c r="Q561" s="397"/>
      <c r="R561" s="397"/>
      <c r="S561" s="377"/>
      <c r="T561" s="377"/>
      <c r="U561" s="377"/>
      <c r="V561" s="377"/>
      <c r="W561" s="377"/>
      <c r="X561" s="377"/>
      <c r="Y561" s="377"/>
    </row>
    <row r="562" spans="1:25" ht="15.75">
      <c r="A562" s="398"/>
      <c r="B562" s="397"/>
      <c r="C562" s="397"/>
      <c r="D562" s="397"/>
      <c r="E562" s="397"/>
      <c r="F562" s="397"/>
      <c r="G562" s="397"/>
      <c r="H562" s="397"/>
      <c r="I562" s="397"/>
      <c r="J562" s="397"/>
      <c r="K562" s="397"/>
      <c r="L562" s="397"/>
      <c r="M562" s="399"/>
      <c r="N562" s="400"/>
      <c r="O562" s="400"/>
      <c r="P562" s="397"/>
      <c r="Q562" s="397"/>
      <c r="R562" s="397"/>
      <c r="S562" s="377"/>
      <c r="T562" s="377"/>
      <c r="U562" s="377"/>
      <c r="V562" s="377"/>
      <c r="W562" s="377"/>
      <c r="X562" s="377"/>
      <c r="Y562" s="377"/>
    </row>
    <row r="563" spans="1:25" ht="15.75">
      <c r="A563" s="398"/>
      <c r="B563" s="397"/>
      <c r="C563" s="397"/>
      <c r="D563" s="397"/>
      <c r="E563" s="397"/>
      <c r="F563" s="397"/>
      <c r="G563" s="397"/>
      <c r="H563" s="397"/>
      <c r="I563" s="397"/>
      <c r="J563" s="397"/>
      <c r="K563" s="397"/>
      <c r="L563" s="397"/>
      <c r="M563" s="399"/>
      <c r="N563" s="400"/>
      <c r="O563" s="400"/>
      <c r="P563" s="397"/>
      <c r="Q563" s="397"/>
      <c r="R563" s="397"/>
      <c r="S563" s="377"/>
      <c r="T563" s="377"/>
      <c r="U563" s="377"/>
      <c r="V563" s="377"/>
      <c r="W563" s="377"/>
      <c r="X563" s="377"/>
      <c r="Y563" s="377"/>
    </row>
    <row r="564" spans="1:25" ht="15.75">
      <c r="A564" s="398"/>
      <c r="B564" s="397"/>
      <c r="C564" s="397"/>
      <c r="D564" s="397"/>
      <c r="E564" s="397"/>
      <c r="F564" s="397"/>
      <c r="G564" s="397"/>
      <c r="H564" s="397"/>
      <c r="I564" s="397"/>
      <c r="J564" s="397"/>
      <c r="K564" s="397"/>
      <c r="L564" s="397"/>
      <c r="M564" s="399"/>
      <c r="N564" s="400"/>
      <c r="O564" s="400"/>
      <c r="P564" s="397"/>
      <c r="Q564" s="397"/>
      <c r="R564" s="397"/>
      <c r="S564" s="377"/>
      <c r="T564" s="377"/>
      <c r="U564" s="377"/>
      <c r="V564" s="377"/>
      <c r="W564" s="377"/>
      <c r="X564" s="377"/>
      <c r="Y564" s="377"/>
    </row>
    <row r="565" spans="1:25" ht="15.75">
      <c r="A565" s="398"/>
      <c r="B565" s="397"/>
      <c r="C565" s="397"/>
      <c r="D565" s="397"/>
      <c r="E565" s="397"/>
      <c r="F565" s="397"/>
      <c r="G565" s="397"/>
      <c r="H565" s="397"/>
      <c r="I565" s="397"/>
      <c r="J565" s="397"/>
      <c r="K565" s="397"/>
      <c r="L565" s="397"/>
      <c r="M565" s="399"/>
      <c r="N565" s="400"/>
      <c r="O565" s="400"/>
      <c r="P565" s="397"/>
      <c r="Q565" s="397"/>
      <c r="R565" s="397"/>
      <c r="S565" s="377"/>
      <c r="T565" s="377"/>
      <c r="U565" s="377"/>
      <c r="V565" s="377"/>
      <c r="W565" s="377"/>
      <c r="X565" s="377"/>
      <c r="Y565" s="377"/>
    </row>
    <row r="566" spans="1:25" ht="15.75">
      <c r="A566" s="398"/>
      <c r="B566" s="397"/>
      <c r="C566" s="397"/>
      <c r="D566" s="397"/>
      <c r="E566" s="397"/>
      <c r="F566" s="397"/>
      <c r="G566" s="397"/>
      <c r="H566" s="397"/>
      <c r="I566" s="397"/>
      <c r="J566" s="397"/>
      <c r="K566" s="397"/>
      <c r="L566" s="397"/>
      <c r="M566" s="399"/>
      <c r="N566" s="400"/>
      <c r="O566" s="400"/>
      <c r="P566" s="397"/>
      <c r="Q566" s="397"/>
      <c r="R566" s="397"/>
      <c r="S566" s="377"/>
      <c r="T566" s="377"/>
      <c r="U566" s="377"/>
      <c r="V566" s="377"/>
      <c r="W566" s="377"/>
      <c r="X566" s="377"/>
      <c r="Y566" s="377"/>
    </row>
    <row r="567" spans="1:25" ht="15.75">
      <c r="A567" s="398"/>
      <c r="B567" s="397"/>
      <c r="C567" s="397"/>
      <c r="D567" s="397"/>
      <c r="E567" s="397"/>
      <c r="F567" s="397"/>
      <c r="G567" s="397"/>
      <c r="H567" s="397"/>
      <c r="I567" s="397"/>
      <c r="J567" s="397"/>
      <c r="K567" s="397"/>
      <c r="L567" s="397"/>
      <c r="M567" s="399"/>
      <c r="N567" s="400"/>
      <c r="O567" s="400"/>
      <c r="P567" s="397"/>
      <c r="Q567" s="397"/>
      <c r="R567" s="397"/>
      <c r="S567" s="377"/>
      <c r="T567" s="377"/>
      <c r="U567" s="377"/>
      <c r="V567" s="377"/>
      <c r="W567" s="377"/>
      <c r="X567" s="377"/>
      <c r="Y567" s="377"/>
    </row>
    <row r="568" spans="1:25" ht="15.75">
      <c r="A568" s="398"/>
      <c r="B568" s="397"/>
      <c r="C568" s="397"/>
      <c r="D568" s="397"/>
      <c r="E568" s="397"/>
      <c r="F568" s="397"/>
      <c r="G568" s="397"/>
      <c r="H568" s="397"/>
      <c r="I568" s="397"/>
      <c r="J568" s="397"/>
      <c r="K568" s="397"/>
      <c r="L568" s="397"/>
      <c r="M568" s="399"/>
      <c r="N568" s="400"/>
      <c r="O568" s="400"/>
      <c r="P568" s="397"/>
      <c r="Q568" s="397"/>
      <c r="R568" s="397"/>
      <c r="S568" s="377"/>
      <c r="T568" s="377"/>
      <c r="U568" s="377"/>
      <c r="V568" s="377"/>
      <c r="W568" s="377"/>
      <c r="X568" s="377"/>
      <c r="Y568" s="377"/>
    </row>
    <row r="569" spans="1:25" ht="15.75">
      <c r="A569" s="398"/>
      <c r="B569" s="397"/>
      <c r="C569" s="397"/>
      <c r="D569" s="397"/>
      <c r="E569" s="397"/>
      <c r="F569" s="397"/>
      <c r="G569" s="397"/>
      <c r="H569" s="397"/>
      <c r="I569" s="397"/>
      <c r="J569" s="397"/>
      <c r="K569" s="397"/>
      <c r="L569" s="397"/>
      <c r="M569" s="399"/>
      <c r="N569" s="400"/>
      <c r="O569" s="400"/>
      <c r="P569" s="397"/>
      <c r="Q569" s="397"/>
      <c r="R569" s="397"/>
      <c r="S569" s="377"/>
      <c r="T569" s="377"/>
      <c r="U569" s="377"/>
      <c r="V569" s="377"/>
      <c r="W569" s="377"/>
      <c r="X569" s="377"/>
      <c r="Y569" s="377"/>
    </row>
    <row r="570" spans="1:25" ht="15.75">
      <c r="A570" s="398"/>
      <c r="B570" s="397"/>
      <c r="C570" s="397"/>
      <c r="D570" s="397"/>
      <c r="E570" s="397"/>
      <c r="F570" s="397"/>
      <c r="G570" s="397"/>
      <c r="H570" s="397"/>
      <c r="I570" s="397"/>
      <c r="J570" s="397"/>
      <c r="K570" s="397"/>
      <c r="L570" s="397"/>
      <c r="M570" s="399"/>
      <c r="N570" s="400"/>
      <c r="O570" s="400"/>
      <c r="P570" s="397"/>
      <c r="Q570" s="397"/>
      <c r="R570" s="397"/>
      <c r="S570" s="377"/>
      <c r="T570" s="377"/>
      <c r="U570" s="377"/>
      <c r="V570" s="377"/>
      <c r="W570" s="377"/>
      <c r="X570" s="377"/>
      <c r="Y570" s="377"/>
    </row>
    <row r="571" spans="1:25" ht="15.75">
      <c r="A571" s="398"/>
      <c r="B571" s="397"/>
      <c r="C571" s="397"/>
      <c r="D571" s="397"/>
      <c r="E571" s="397"/>
      <c r="F571" s="397"/>
      <c r="G571" s="397"/>
      <c r="H571" s="397"/>
      <c r="I571" s="397"/>
      <c r="J571" s="397"/>
      <c r="K571" s="397"/>
      <c r="L571" s="397"/>
      <c r="M571" s="399"/>
      <c r="N571" s="400"/>
      <c r="O571" s="400"/>
      <c r="P571" s="397"/>
      <c r="Q571" s="397"/>
      <c r="R571" s="397"/>
      <c r="S571" s="377"/>
      <c r="T571" s="377"/>
      <c r="U571" s="377"/>
      <c r="V571" s="377"/>
      <c r="W571" s="377"/>
      <c r="X571" s="377"/>
      <c r="Y571" s="377"/>
    </row>
    <row r="572" spans="1:25" ht="15.75">
      <c r="A572" s="398"/>
      <c r="B572" s="397"/>
      <c r="C572" s="397"/>
      <c r="D572" s="397"/>
      <c r="E572" s="397"/>
      <c r="F572" s="397"/>
      <c r="G572" s="397"/>
      <c r="H572" s="397"/>
      <c r="I572" s="397"/>
      <c r="J572" s="397"/>
      <c r="K572" s="397"/>
      <c r="L572" s="397"/>
      <c r="M572" s="399"/>
      <c r="N572" s="400"/>
      <c r="O572" s="400"/>
      <c r="P572" s="397"/>
      <c r="Q572" s="397"/>
      <c r="R572" s="397"/>
      <c r="S572" s="377"/>
      <c r="T572" s="377"/>
      <c r="U572" s="377"/>
      <c r="V572" s="377"/>
      <c r="W572" s="377"/>
      <c r="X572" s="377"/>
      <c r="Y572" s="377"/>
    </row>
    <row r="573" spans="1:25" ht="15.75">
      <c r="A573" s="398"/>
      <c r="B573" s="397"/>
      <c r="C573" s="397"/>
      <c r="D573" s="397"/>
      <c r="E573" s="397"/>
      <c r="F573" s="397"/>
      <c r="G573" s="397"/>
      <c r="H573" s="397"/>
      <c r="I573" s="397"/>
      <c r="J573" s="397"/>
      <c r="K573" s="397"/>
      <c r="L573" s="397"/>
      <c r="M573" s="399"/>
      <c r="N573" s="400"/>
      <c r="O573" s="400"/>
      <c r="P573" s="397"/>
      <c r="Q573" s="397"/>
      <c r="R573" s="397"/>
      <c r="S573" s="377"/>
      <c r="T573" s="377"/>
      <c r="U573" s="377"/>
      <c r="V573" s="377"/>
      <c r="W573" s="377"/>
      <c r="X573" s="377"/>
      <c r="Y573" s="377"/>
    </row>
    <row r="574" spans="1:25" ht="15.75">
      <c r="A574" s="398"/>
      <c r="B574" s="397"/>
      <c r="C574" s="397"/>
      <c r="D574" s="397"/>
      <c r="E574" s="397"/>
      <c r="F574" s="397"/>
      <c r="G574" s="397"/>
      <c r="H574" s="397"/>
      <c r="I574" s="397"/>
      <c r="J574" s="397"/>
      <c r="K574" s="397"/>
      <c r="L574" s="397"/>
      <c r="M574" s="399"/>
      <c r="N574" s="400"/>
      <c r="O574" s="400"/>
      <c r="P574" s="397"/>
      <c r="Q574" s="397"/>
      <c r="R574" s="397"/>
      <c r="S574" s="377"/>
      <c r="T574" s="377"/>
      <c r="U574" s="377"/>
      <c r="V574" s="377"/>
      <c r="W574" s="377"/>
      <c r="X574" s="377"/>
      <c r="Y574" s="377"/>
    </row>
    <row r="575" spans="1:25" ht="15.75">
      <c r="A575" s="398"/>
      <c r="B575" s="397"/>
      <c r="C575" s="397"/>
      <c r="D575" s="397"/>
      <c r="E575" s="397"/>
      <c r="F575" s="397"/>
      <c r="G575" s="397"/>
      <c r="H575" s="397"/>
      <c r="I575" s="397"/>
      <c r="J575" s="397"/>
      <c r="K575" s="397"/>
      <c r="L575" s="397"/>
      <c r="M575" s="399"/>
      <c r="N575" s="400"/>
      <c r="O575" s="400"/>
      <c r="P575" s="397"/>
      <c r="Q575" s="397"/>
      <c r="R575" s="397"/>
      <c r="S575" s="377"/>
      <c r="T575" s="377"/>
      <c r="U575" s="377"/>
      <c r="V575" s="377"/>
      <c r="W575" s="377"/>
      <c r="X575" s="377"/>
      <c r="Y575" s="377"/>
    </row>
    <row r="576" spans="1:25" ht="15.75">
      <c r="A576" s="398"/>
      <c r="B576" s="397"/>
      <c r="C576" s="397"/>
      <c r="D576" s="397"/>
      <c r="E576" s="397"/>
      <c r="F576" s="397"/>
      <c r="G576" s="397"/>
      <c r="H576" s="397"/>
      <c r="I576" s="397"/>
      <c r="J576" s="397"/>
      <c r="K576" s="397"/>
      <c r="L576" s="397"/>
      <c r="M576" s="399"/>
      <c r="N576" s="400"/>
      <c r="O576" s="400"/>
      <c r="P576" s="397"/>
      <c r="Q576" s="397"/>
      <c r="R576" s="397"/>
      <c r="S576" s="377"/>
      <c r="T576" s="377"/>
      <c r="U576" s="377"/>
      <c r="V576" s="377"/>
      <c r="W576" s="377"/>
      <c r="X576" s="377"/>
      <c r="Y576" s="377"/>
    </row>
    <row r="577" spans="1:25" ht="15.75">
      <c r="A577" s="398"/>
      <c r="B577" s="397"/>
      <c r="C577" s="397"/>
      <c r="D577" s="397"/>
      <c r="E577" s="397"/>
      <c r="F577" s="397"/>
      <c r="G577" s="397"/>
      <c r="H577" s="397"/>
      <c r="I577" s="397"/>
      <c r="J577" s="397"/>
      <c r="K577" s="397"/>
      <c r="L577" s="397"/>
      <c r="M577" s="399"/>
      <c r="N577" s="400"/>
      <c r="O577" s="400"/>
      <c r="P577" s="397"/>
      <c r="Q577" s="397"/>
      <c r="R577" s="397"/>
      <c r="S577" s="377"/>
      <c r="T577" s="377"/>
      <c r="U577" s="377"/>
      <c r="V577" s="377"/>
      <c r="W577" s="377"/>
      <c r="X577" s="377"/>
      <c r="Y577" s="377"/>
    </row>
    <row r="578" spans="1:25" ht="15.75">
      <c r="A578" s="398"/>
      <c r="B578" s="397"/>
      <c r="C578" s="397"/>
      <c r="D578" s="397"/>
      <c r="E578" s="397"/>
      <c r="F578" s="397"/>
      <c r="G578" s="397"/>
      <c r="H578" s="397"/>
      <c r="I578" s="397"/>
      <c r="J578" s="397"/>
      <c r="K578" s="397"/>
      <c r="L578" s="397"/>
      <c r="M578" s="399"/>
      <c r="N578" s="400"/>
      <c r="O578" s="400"/>
      <c r="P578" s="397"/>
      <c r="Q578" s="397"/>
      <c r="R578" s="397"/>
      <c r="S578" s="377"/>
      <c r="T578" s="377"/>
      <c r="U578" s="377"/>
      <c r="V578" s="377"/>
      <c r="W578" s="377"/>
      <c r="X578" s="377"/>
      <c r="Y578" s="377"/>
    </row>
    <row r="579" spans="1:25" ht="15.75">
      <c r="A579" s="398"/>
      <c r="B579" s="397"/>
      <c r="C579" s="397"/>
      <c r="D579" s="397"/>
      <c r="E579" s="397"/>
      <c r="F579" s="397"/>
      <c r="G579" s="397"/>
      <c r="H579" s="397"/>
      <c r="I579" s="397"/>
      <c r="J579" s="397"/>
      <c r="K579" s="397"/>
      <c r="L579" s="397"/>
      <c r="M579" s="399"/>
      <c r="N579" s="400"/>
      <c r="O579" s="400"/>
      <c r="P579" s="397"/>
      <c r="Q579" s="397"/>
      <c r="R579" s="397"/>
      <c r="S579" s="377"/>
      <c r="T579" s="377"/>
      <c r="U579" s="377"/>
      <c r="V579" s="377"/>
      <c r="W579" s="377"/>
      <c r="X579" s="377"/>
      <c r="Y579" s="377"/>
    </row>
    <row r="580" spans="1:25" ht="15.75">
      <c r="A580" s="398"/>
      <c r="B580" s="397"/>
      <c r="C580" s="397"/>
      <c r="D580" s="397"/>
      <c r="E580" s="397"/>
      <c r="F580" s="397"/>
      <c r="G580" s="397"/>
      <c r="H580" s="397"/>
      <c r="I580" s="397"/>
      <c r="J580" s="397"/>
      <c r="K580" s="397"/>
      <c r="L580" s="397"/>
      <c r="M580" s="399"/>
      <c r="N580" s="400"/>
      <c r="O580" s="400"/>
      <c r="P580" s="397"/>
      <c r="Q580" s="397"/>
      <c r="R580" s="397"/>
      <c r="S580" s="377"/>
      <c r="T580" s="377"/>
      <c r="U580" s="377"/>
      <c r="V580" s="377"/>
      <c r="W580" s="377"/>
      <c r="X580" s="377"/>
      <c r="Y580" s="377"/>
    </row>
    <row r="581" spans="1:25" ht="15.75">
      <c r="A581" s="398"/>
      <c r="B581" s="397"/>
      <c r="C581" s="397"/>
      <c r="D581" s="397"/>
      <c r="E581" s="397"/>
      <c r="F581" s="397"/>
      <c r="G581" s="397"/>
      <c r="H581" s="397"/>
      <c r="I581" s="397"/>
      <c r="J581" s="397"/>
      <c r="K581" s="397"/>
      <c r="L581" s="397"/>
      <c r="M581" s="399"/>
      <c r="N581" s="400"/>
      <c r="O581" s="400"/>
      <c r="P581" s="397"/>
      <c r="Q581" s="397"/>
      <c r="R581" s="397"/>
      <c r="S581" s="377"/>
      <c r="T581" s="377"/>
      <c r="U581" s="377"/>
      <c r="V581" s="377"/>
      <c r="W581" s="377"/>
      <c r="X581" s="377"/>
      <c r="Y581" s="377"/>
    </row>
    <row r="582" spans="1:25" ht="15.75">
      <c r="A582" s="398"/>
      <c r="B582" s="397"/>
      <c r="C582" s="397"/>
      <c r="D582" s="397"/>
      <c r="E582" s="397"/>
      <c r="F582" s="397"/>
      <c r="G582" s="397"/>
      <c r="H582" s="397"/>
      <c r="I582" s="397"/>
      <c r="J582" s="397"/>
      <c r="K582" s="397"/>
      <c r="L582" s="397"/>
      <c r="M582" s="399"/>
      <c r="N582" s="400"/>
      <c r="O582" s="400"/>
      <c r="P582" s="397"/>
      <c r="Q582" s="397"/>
      <c r="R582" s="397"/>
      <c r="S582" s="377"/>
      <c r="T582" s="377"/>
      <c r="U582" s="377"/>
      <c r="V582" s="377"/>
      <c r="W582" s="377"/>
      <c r="X582" s="377"/>
      <c r="Y582" s="377"/>
    </row>
    <row r="583" spans="1:25" ht="15.75">
      <c r="A583" s="398"/>
      <c r="B583" s="397"/>
      <c r="C583" s="397"/>
      <c r="D583" s="397"/>
      <c r="E583" s="397"/>
      <c r="F583" s="397"/>
      <c r="G583" s="397"/>
      <c r="H583" s="397"/>
      <c r="I583" s="397"/>
      <c r="J583" s="397"/>
      <c r="K583" s="397"/>
      <c r="L583" s="397"/>
      <c r="M583" s="399"/>
      <c r="N583" s="400"/>
      <c r="O583" s="400"/>
      <c r="P583" s="397"/>
      <c r="Q583" s="397"/>
      <c r="R583" s="397"/>
      <c r="S583" s="377"/>
      <c r="T583" s="377"/>
      <c r="U583" s="377"/>
      <c r="V583" s="377"/>
      <c r="W583" s="377"/>
      <c r="X583" s="377"/>
      <c r="Y583" s="377"/>
    </row>
    <row r="584" spans="1:25" ht="15.75">
      <c r="A584" s="398"/>
      <c r="B584" s="397"/>
      <c r="C584" s="397"/>
      <c r="D584" s="397"/>
      <c r="E584" s="397"/>
      <c r="F584" s="397"/>
      <c r="G584" s="397"/>
      <c r="H584" s="397"/>
      <c r="I584" s="397"/>
      <c r="J584" s="397"/>
      <c r="K584" s="397"/>
      <c r="L584" s="397"/>
      <c r="M584" s="399"/>
      <c r="N584" s="400"/>
      <c r="O584" s="400"/>
      <c r="P584" s="397"/>
      <c r="Q584" s="397"/>
      <c r="R584" s="397"/>
      <c r="S584" s="377"/>
      <c r="T584" s="377"/>
      <c r="U584" s="377"/>
      <c r="V584" s="377"/>
      <c r="W584" s="377"/>
      <c r="X584" s="377"/>
      <c r="Y584" s="377"/>
    </row>
    <row r="585" spans="1:25" ht="15.75">
      <c r="A585" s="398"/>
      <c r="B585" s="397"/>
      <c r="C585" s="397"/>
      <c r="D585" s="397"/>
      <c r="E585" s="397"/>
      <c r="F585" s="397"/>
      <c r="G585" s="397"/>
      <c r="H585" s="397"/>
      <c r="I585" s="397"/>
      <c r="J585" s="397"/>
      <c r="K585" s="397"/>
      <c r="L585" s="397"/>
      <c r="M585" s="399"/>
      <c r="N585" s="400"/>
      <c r="O585" s="400"/>
      <c r="P585" s="397"/>
      <c r="Q585" s="397"/>
      <c r="R585" s="397"/>
      <c r="S585" s="377"/>
      <c r="T585" s="377"/>
      <c r="U585" s="377"/>
      <c r="V585" s="377"/>
      <c r="W585" s="377"/>
      <c r="X585" s="377"/>
      <c r="Y585" s="377"/>
    </row>
    <row r="586" spans="1:25" ht="15.75">
      <c r="A586" s="398"/>
      <c r="B586" s="397"/>
      <c r="C586" s="397"/>
      <c r="D586" s="397"/>
      <c r="E586" s="397"/>
      <c r="F586" s="397"/>
      <c r="G586" s="397"/>
      <c r="H586" s="397"/>
      <c r="I586" s="397"/>
      <c r="J586" s="397"/>
      <c r="K586" s="397"/>
      <c r="L586" s="397"/>
      <c r="M586" s="399"/>
      <c r="N586" s="400"/>
      <c r="O586" s="400"/>
      <c r="P586" s="397"/>
      <c r="Q586" s="397"/>
      <c r="R586" s="397"/>
      <c r="S586" s="377"/>
      <c r="T586" s="377"/>
      <c r="U586" s="377"/>
      <c r="V586" s="377"/>
      <c r="W586" s="377"/>
      <c r="X586" s="377"/>
      <c r="Y586" s="377"/>
    </row>
    <row r="587" spans="1:25" ht="15.75">
      <c r="A587" s="398"/>
      <c r="B587" s="397"/>
      <c r="C587" s="397"/>
      <c r="D587" s="397"/>
      <c r="E587" s="397"/>
      <c r="F587" s="397"/>
      <c r="G587" s="397"/>
      <c r="H587" s="397"/>
      <c r="I587" s="397"/>
      <c r="J587" s="397"/>
      <c r="K587" s="397"/>
      <c r="L587" s="397"/>
      <c r="M587" s="399"/>
      <c r="N587" s="400"/>
      <c r="O587" s="400"/>
      <c r="P587" s="397"/>
      <c r="Q587" s="397"/>
      <c r="R587" s="397"/>
      <c r="S587" s="377"/>
      <c r="T587" s="377"/>
      <c r="U587" s="377"/>
      <c r="V587" s="377"/>
      <c r="W587" s="377"/>
      <c r="X587" s="377"/>
      <c r="Y587" s="377"/>
    </row>
    <row r="588" spans="1:25" ht="15.75">
      <c r="A588" s="398"/>
      <c r="B588" s="397"/>
      <c r="C588" s="397"/>
      <c r="D588" s="397"/>
      <c r="E588" s="397"/>
      <c r="F588" s="397"/>
      <c r="G588" s="397"/>
      <c r="H588" s="397"/>
      <c r="I588" s="397"/>
      <c r="J588" s="397"/>
      <c r="K588" s="397"/>
      <c r="L588" s="397"/>
      <c r="M588" s="399"/>
      <c r="N588" s="400"/>
      <c r="O588" s="400"/>
      <c r="P588" s="397"/>
      <c r="Q588" s="397"/>
      <c r="R588" s="397"/>
      <c r="S588" s="377"/>
      <c r="T588" s="377"/>
      <c r="U588" s="377"/>
      <c r="V588" s="377"/>
      <c r="W588" s="377"/>
      <c r="X588" s="377"/>
      <c r="Y588" s="377"/>
    </row>
    <row r="589" spans="1:25" ht="15.75">
      <c r="A589" s="398"/>
      <c r="B589" s="397"/>
      <c r="C589" s="397"/>
      <c r="D589" s="397"/>
      <c r="E589" s="397"/>
      <c r="F589" s="397"/>
      <c r="G589" s="397"/>
      <c r="H589" s="397"/>
      <c r="I589" s="397"/>
      <c r="J589" s="397"/>
      <c r="K589" s="397"/>
      <c r="L589" s="397"/>
      <c r="M589" s="399"/>
      <c r="N589" s="400"/>
      <c r="O589" s="400"/>
      <c r="P589" s="397"/>
      <c r="Q589" s="397"/>
      <c r="R589" s="397"/>
      <c r="S589" s="377"/>
      <c r="T589" s="377"/>
      <c r="U589" s="377"/>
      <c r="V589" s="377"/>
      <c r="W589" s="377"/>
      <c r="X589" s="377"/>
      <c r="Y589" s="377"/>
    </row>
    <row r="590" spans="1:25" ht="15.75">
      <c r="A590" s="398"/>
      <c r="B590" s="397"/>
      <c r="C590" s="397"/>
      <c r="D590" s="397"/>
      <c r="E590" s="397"/>
      <c r="F590" s="397"/>
      <c r="G590" s="397"/>
      <c r="H590" s="397"/>
      <c r="I590" s="397"/>
      <c r="J590" s="397"/>
      <c r="K590" s="397"/>
      <c r="L590" s="397"/>
      <c r="M590" s="399"/>
      <c r="N590" s="400"/>
      <c r="O590" s="400"/>
      <c r="P590" s="397"/>
      <c r="Q590" s="397"/>
      <c r="R590" s="397"/>
      <c r="S590" s="377"/>
      <c r="T590" s="377"/>
      <c r="U590" s="377"/>
      <c r="V590" s="377"/>
      <c r="W590" s="377"/>
      <c r="X590" s="377"/>
      <c r="Y590" s="377"/>
    </row>
    <row r="591" spans="1:25" ht="15.75">
      <c r="A591" s="398"/>
      <c r="B591" s="397"/>
      <c r="C591" s="397"/>
      <c r="D591" s="397"/>
      <c r="E591" s="397"/>
      <c r="F591" s="397"/>
      <c r="G591" s="397"/>
      <c r="H591" s="397"/>
      <c r="I591" s="397"/>
      <c r="J591" s="397"/>
      <c r="K591" s="397"/>
      <c r="L591" s="397"/>
      <c r="M591" s="399"/>
      <c r="N591" s="400"/>
      <c r="O591" s="400"/>
      <c r="P591" s="397"/>
      <c r="Q591" s="397"/>
      <c r="R591" s="397"/>
      <c r="S591" s="377"/>
      <c r="T591" s="377"/>
      <c r="U591" s="377"/>
      <c r="V591" s="377"/>
      <c r="W591" s="377"/>
      <c r="X591" s="377"/>
      <c r="Y591" s="377"/>
    </row>
    <row r="592" spans="1:25" ht="15.75">
      <c r="A592" s="398"/>
      <c r="B592" s="397"/>
      <c r="C592" s="397"/>
      <c r="D592" s="397"/>
      <c r="E592" s="397"/>
      <c r="F592" s="397"/>
      <c r="G592" s="397"/>
      <c r="H592" s="397"/>
      <c r="I592" s="397"/>
      <c r="J592" s="397"/>
      <c r="K592" s="397"/>
      <c r="L592" s="397"/>
      <c r="M592" s="399"/>
      <c r="N592" s="400"/>
      <c r="O592" s="400"/>
      <c r="P592" s="397"/>
      <c r="Q592" s="397"/>
      <c r="R592" s="397"/>
      <c r="S592" s="377"/>
      <c r="T592" s="377"/>
      <c r="U592" s="377"/>
      <c r="V592" s="377"/>
      <c r="W592" s="377"/>
      <c r="X592" s="377"/>
      <c r="Y592" s="377"/>
    </row>
    <row r="593" spans="1:25" ht="15.75">
      <c r="A593" s="398"/>
      <c r="B593" s="397"/>
      <c r="C593" s="397"/>
      <c r="D593" s="397"/>
      <c r="E593" s="397"/>
      <c r="F593" s="397"/>
      <c r="G593" s="397"/>
      <c r="H593" s="397"/>
      <c r="I593" s="397"/>
      <c r="J593" s="397"/>
      <c r="K593" s="397"/>
      <c r="L593" s="397"/>
      <c r="M593" s="399"/>
      <c r="N593" s="400"/>
      <c r="O593" s="400"/>
      <c r="P593" s="397"/>
      <c r="Q593" s="397"/>
      <c r="R593" s="397"/>
      <c r="S593" s="377"/>
      <c r="T593" s="377"/>
      <c r="U593" s="377"/>
      <c r="V593" s="377"/>
      <c r="W593" s="377"/>
      <c r="X593" s="377"/>
      <c r="Y593" s="377"/>
    </row>
    <row r="594" spans="1:25" ht="15.75">
      <c r="A594" s="398"/>
      <c r="B594" s="397"/>
      <c r="C594" s="397"/>
      <c r="D594" s="397"/>
      <c r="E594" s="397"/>
      <c r="F594" s="397"/>
      <c r="G594" s="397"/>
      <c r="H594" s="397"/>
      <c r="I594" s="397"/>
      <c r="J594" s="397"/>
      <c r="K594" s="397"/>
      <c r="L594" s="397"/>
      <c r="M594" s="399"/>
      <c r="N594" s="400"/>
      <c r="O594" s="400"/>
      <c r="P594" s="397"/>
      <c r="Q594" s="397"/>
      <c r="R594" s="397"/>
      <c r="S594" s="377"/>
      <c r="T594" s="377"/>
      <c r="U594" s="377"/>
      <c r="V594" s="377"/>
      <c r="W594" s="377"/>
      <c r="X594" s="377"/>
      <c r="Y594" s="377"/>
    </row>
    <row r="595" spans="1:25" ht="15.75">
      <c r="A595" s="398"/>
      <c r="B595" s="397"/>
      <c r="C595" s="397"/>
      <c r="D595" s="397"/>
      <c r="E595" s="397"/>
      <c r="F595" s="397"/>
      <c r="G595" s="397"/>
      <c r="H595" s="397"/>
      <c r="I595" s="397"/>
      <c r="J595" s="397"/>
      <c r="K595" s="397"/>
      <c r="L595" s="397"/>
      <c r="M595" s="399"/>
      <c r="N595" s="400"/>
      <c r="O595" s="400"/>
      <c r="P595" s="397"/>
      <c r="Q595" s="397"/>
      <c r="R595" s="397"/>
      <c r="S595" s="377"/>
      <c r="T595" s="377"/>
      <c r="U595" s="377"/>
      <c r="V595" s="377"/>
      <c r="W595" s="377"/>
      <c r="X595" s="377"/>
      <c r="Y595" s="377"/>
    </row>
    <row r="596" spans="1:25" ht="15.75">
      <c r="A596" s="398"/>
      <c r="B596" s="397"/>
      <c r="C596" s="397"/>
      <c r="D596" s="397"/>
      <c r="E596" s="397"/>
      <c r="F596" s="397"/>
      <c r="G596" s="397"/>
      <c r="H596" s="397"/>
      <c r="I596" s="397"/>
      <c r="J596" s="397"/>
      <c r="K596" s="397"/>
      <c r="L596" s="397"/>
      <c r="M596" s="399"/>
      <c r="N596" s="400"/>
      <c r="O596" s="400"/>
      <c r="P596" s="397"/>
      <c r="Q596" s="397"/>
      <c r="R596" s="397"/>
      <c r="S596" s="377"/>
      <c r="T596" s="377"/>
      <c r="U596" s="377"/>
      <c r="V596" s="377"/>
      <c r="W596" s="377"/>
      <c r="X596" s="377"/>
      <c r="Y596" s="377"/>
    </row>
    <row r="597" spans="1:25" ht="15.75">
      <c r="A597" s="398"/>
      <c r="B597" s="397"/>
      <c r="C597" s="397"/>
      <c r="D597" s="397"/>
      <c r="E597" s="397"/>
      <c r="F597" s="397"/>
      <c r="G597" s="397"/>
      <c r="H597" s="397"/>
      <c r="I597" s="397"/>
      <c r="J597" s="397"/>
      <c r="K597" s="397"/>
      <c r="L597" s="397"/>
      <c r="M597" s="399"/>
      <c r="N597" s="400"/>
      <c r="O597" s="400"/>
      <c r="P597" s="397"/>
      <c r="Q597" s="397"/>
      <c r="R597" s="397"/>
      <c r="S597" s="377"/>
      <c r="T597" s="377"/>
      <c r="U597" s="377"/>
      <c r="V597" s="377"/>
      <c r="W597" s="377"/>
      <c r="X597" s="377"/>
      <c r="Y597" s="377"/>
    </row>
    <row r="598" spans="1:25" ht="15.75">
      <c r="A598" s="398"/>
      <c r="B598" s="397"/>
      <c r="C598" s="397"/>
      <c r="D598" s="397"/>
      <c r="E598" s="397"/>
      <c r="F598" s="397"/>
      <c r="G598" s="397"/>
      <c r="H598" s="397"/>
      <c r="I598" s="397"/>
      <c r="J598" s="397"/>
      <c r="K598" s="397"/>
      <c r="L598" s="397"/>
      <c r="M598" s="399"/>
      <c r="N598" s="400"/>
      <c r="O598" s="400"/>
      <c r="P598" s="397"/>
      <c r="Q598" s="397"/>
      <c r="R598" s="397"/>
      <c r="S598" s="377"/>
      <c r="T598" s="377"/>
      <c r="U598" s="377"/>
      <c r="V598" s="377"/>
      <c r="W598" s="377"/>
      <c r="X598" s="377"/>
      <c r="Y598" s="377"/>
    </row>
    <row r="599" spans="1:25" ht="15.75">
      <c r="A599" s="398"/>
      <c r="B599" s="397"/>
      <c r="C599" s="397"/>
      <c r="D599" s="397"/>
      <c r="E599" s="397"/>
      <c r="F599" s="397"/>
      <c r="G599" s="397"/>
      <c r="H599" s="397"/>
      <c r="I599" s="397"/>
      <c r="J599" s="397"/>
      <c r="K599" s="397"/>
      <c r="L599" s="397"/>
      <c r="M599" s="399"/>
      <c r="N599" s="400"/>
      <c r="O599" s="400"/>
      <c r="P599" s="397"/>
      <c r="Q599" s="397"/>
      <c r="R599" s="397"/>
      <c r="S599" s="377"/>
      <c r="T599" s="377"/>
      <c r="U599" s="377"/>
      <c r="V599" s="377"/>
      <c r="W599" s="377"/>
      <c r="X599" s="377"/>
      <c r="Y599" s="377"/>
    </row>
    <row r="600" spans="1:25" ht="15.75">
      <c r="A600" s="398"/>
      <c r="B600" s="397"/>
      <c r="C600" s="397"/>
      <c r="D600" s="397"/>
      <c r="E600" s="397"/>
      <c r="F600" s="397"/>
      <c r="G600" s="397"/>
      <c r="H600" s="397"/>
      <c r="I600" s="397"/>
      <c r="J600" s="397"/>
      <c r="K600" s="397"/>
      <c r="L600" s="397"/>
      <c r="M600" s="399"/>
      <c r="N600" s="400"/>
      <c r="O600" s="400"/>
      <c r="P600" s="397"/>
      <c r="Q600" s="397"/>
      <c r="R600" s="397"/>
      <c r="S600" s="377"/>
      <c r="T600" s="377"/>
      <c r="U600" s="377"/>
      <c r="V600" s="377"/>
      <c r="W600" s="377"/>
      <c r="X600" s="377"/>
      <c r="Y600" s="377"/>
    </row>
    <row r="601" spans="1:25" ht="15.75">
      <c r="A601" s="398"/>
      <c r="B601" s="397"/>
      <c r="C601" s="397"/>
      <c r="D601" s="397"/>
      <c r="E601" s="397"/>
      <c r="F601" s="397"/>
      <c r="G601" s="397"/>
      <c r="H601" s="397"/>
      <c r="I601" s="397"/>
      <c r="J601" s="397"/>
      <c r="K601" s="397"/>
      <c r="L601" s="397"/>
      <c r="M601" s="399"/>
      <c r="N601" s="400"/>
      <c r="O601" s="400"/>
      <c r="P601" s="397"/>
      <c r="Q601" s="397"/>
      <c r="R601" s="397"/>
      <c r="S601" s="377"/>
      <c r="T601" s="377"/>
      <c r="U601" s="377"/>
      <c r="V601" s="377"/>
      <c r="W601" s="377"/>
      <c r="X601" s="377"/>
      <c r="Y601" s="377"/>
    </row>
    <row r="602" spans="1:25" ht="15.75">
      <c r="A602" s="398"/>
      <c r="B602" s="397"/>
      <c r="C602" s="397"/>
      <c r="D602" s="397"/>
      <c r="E602" s="397"/>
      <c r="F602" s="397"/>
      <c r="G602" s="397"/>
      <c r="H602" s="397"/>
      <c r="I602" s="397"/>
      <c r="J602" s="397"/>
      <c r="K602" s="397"/>
      <c r="L602" s="397"/>
      <c r="M602" s="399"/>
      <c r="N602" s="400"/>
      <c r="O602" s="400"/>
      <c r="P602" s="397"/>
      <c r="Q602" s="397"/>
      <c r="R602" s="397"/>
      <c r="S602" s="377"/>
      <c r="T602" s="377"/>
      <c r="U602" s="377"/>
      <c r="V602" s="377"/>
      <c r="W602" s="377"/>
      <c r="X602" s="377"/>
      <c r="Y602" s="377"/>
    </row>
    <row r="603" spans="1:25" ht="15.75">
      <c r="A603" s="398"/>
      <c r="B603" s="397"/>
      <c r="C603" s="397"/>
      <c r="D603" s="397"/>
      <c r="E603" s="397"/>
      <c r="F603" s="397"/>
      <c r="G603" s="397"/>
      <c r="H603" s="397"/>
      <c r="I603" s="397"/>
      <c r="J603" s="397"/>
      <c r="K603" s="397"/>
      <c r="L603" s="397"/>
      <c r="M603" s="399"/>
      <c r="N603" s="400"/>
      <c r="O603" s="400"/>
      <c r="P603" s="397"/>
      <c r="Q603" s="397"/>
      <c r="R603" s="397"/>
      <c r="S603" s="377"/>
      <c r="T603" s="377"/>
      <c r="U603" s="377"/>
      <c r="V603" s="377"/>
      <c r="W603" s="377"/>
      <c r="X603" s="377"/>
      <c r="Y603" s="377"/>
    </row>
    <row r="604" spans="1:25" ht="15.75">
      <c r="A604" s="398"/>
      <c r="B604" s="397"/>
      <c r="C604" s="397"/>
      <c r="D604" s="397"/>
      <c r="E604" s="397"/>
      <c r="F604" s="397"/>
      <c r="G604" s="397"/>
      <c r="H604" s="397"/>
      <c r="I604" s="397"/>
      <c r="J604" s="397"/>
      <c r="K604" s="397"/>
      <c r="L604" s="397"/>
      <c r="M604" s="399"/>
      <c r="N604" s="400"/>
      <c r="O604" s="400"/>
      <c r="P604" s="397"/>
      <c r="Q604" s="397"/>
      <c r="R604" s="397"/>
      <c r="S604" s="377"/>
      <c r="T604" s="377"/>
      <c r="U604" s="377"/>
      <c r="V604" s="377"/>
      <c r="W604" s="377"/>
      <c r="X604" s="377"/>
      <c r="Y604" s="377"/>
    </row>
    <row r="605" spans="1:25" ht="15.75">
      <c r="A605" s="398"/>
      <c r="B605" s="397"/>
      <c r="C605" s="397"/>
      <c r="D605" s="397"/>
      <c r="E605" s="397"/>
      <c r="F605" s="397"/>
      <c r="G605" s="397"/>
      <c r="H605" s="397"/>
      <c r="I605" s="397"/>
      <c r="J605" s="397"/>
      <c r="K605" s="397"/>
      <c r="L605" s="397"/>
      <c r="M605" s="399"/>
      <c r="N605" s="400"/>
      <c r="O605" s="400"/>
      <c r="P605" s="397"/>
      <c r="Q605" s="397"/>
      <c r="R605" s="397"/>
      <c r="S605" s="377"/>
      <c r="T605" s="377"/>
      <c r="U605" s="377"/>
      <c r="V605" s="377"/>
      <c r="W605" s="377"/>
      <c r="X605" s="377"/>
      <c r="Y605" s="377"/>
    </row>
    <row r="606" spans="1:25" ht="15.75">
      <c r="A606" s="398"/>
      <c r="B606" s="397"/>
      <c r="C606" s="397"/>
      <c r="D606" s="397"/>
      <c r="E606" s="397"/>
      <c r="F606" s="397"/>
      <c r="G606" s="397"/>
      <c r="H606" s="397"/>
      <c r="I606" s="397"/>
      <c r="J606" s="397"/>
      <c r="K606" s="397"/>
      <c r="L606" s="397"/>
      <c r="M606" s="399"/>
      <c r="N606" s="400"/>
      <c r="O606" s="400"/>
      <c r="P606" s="397"/>
      <c r="Q606" s="397"/>
      <c r="R606" s="397"/>
      <c r="S606" s="377"/>
      <c r="T606" s="377"/>
      <c r="U606" s="377"/>
      <c r="V606" s="377"/>
      <c r="W606" s="377"/>
      <c r="X606" s="377"/>
      <c r="Y606" s="377"/>
    </row>
    <row r="607" spans="1:25" ht="15.75">
      <c r="A607" s="398"/>
      <c r="B607" s="397"/>
      <c r="C607" s="397"/>
      <c r="D607" s="397"/>
      <c r="E607" s="397"/>
      <c r="F607" s="397"/>
      <c r="G607" s="397"/>
      <c r="H607" s="397"/>
      <c r="I607" s="397"/>
      <c r="J607" s="397"/>
      <c r="K607" s="397"/>
      <c r="L607" s="397"/>
      <c r="M607" s="399"/>
      <c r="N607" s="400"/>
      <c r="O607" s="400"/>
      <c r="P607" s="397"/>
      <c r="Q607" s="397"/>
      <c r="R607" s="397"/>
      <c r="S607" s="377"/>
      <c r="T607" s="377"/>
      <c r="U607" s="377"/>
      <c r="V607" s="377"/>
      <c r="W607" s="377"/>
      <c r="X607" s="377"/>
      <c r="Y607" s="377"/>
    </row>
    <row r="608" spans="1:25" ht="15.75">
      <c r="A608" s="398"/>
      <c r="B608" s="397"/>
      <c r="C608" s="397"/>
      <c r="D608" s="397"/>
      <c r="E608" s="397"/>
      <c r="F608" s="397"/>
      <c r="G608" s="397"/>
      <c r="H608" s="397"/>
      <c r="I608" s="397"/>
      <c r="J608" s="397"/>
      <c r="K608" s="397"/>
      <c r="L608" s="397"/>
      <c r="M608" s="399"/>
      <c r="N608" s="400"/>
      <c r="O608" s="400"/>
      <c r="P608" s="397"/>
      <c r="Q608" s="397"/>
      <c r="R608" s="397"/>
      <c r="S608" s="377"/>
      <c r="T608" s="377"/>
      <c r="U608" s="377"/>
      <c r="V608" s="377"/>
      <c r="W608" s="377"/>
      <c r="X608" s="377"/>
      <c r="Y608" s="377"/>
    </row>
    <row r="609" spans="1:25" ht="15.75">
      <c r="A609" s="398"/>
      <c r="B609" s="397"/>
      <c r="C609" s="397"/>
      <c r="D609" s="397"/>
      <c r="E609" s="397"/>
      <c r="F609" s="397"/>
      <c r="G609" s="397"/>
      <c r="H609" s="397"/>
      <c r="I609" s="397"/>
      <c r="J609" s="397"/>
      <c r="K609" s="397"/>
      <c r="L609" s="397"/>
      <c r="M609" s="399"/>
      <c r="N609" s="400"/>
      <c r="O609" s="400"/>
      <c r="P609" s="397"/>
      <c r="Q609" s="397"/>
      <c r="R609" s="397"/>
      <c r="S609" s="377"/>
      <c r="T609" s="377"/>
      <c r="U609" s="377"/>
      <c r="V609" s="377"/>
      <c r="W609" s="377"/>
      <c r="X609" s="377"/>
      <c r="Y609" s="377"/>
    </row>
    <row r="610" spans="1:25" ht="15.75">
      <c r="A610" s="398"/>
      <c r="B610" s="397"/>
      <c r="C610" s="397"/>
      <c r="D610" s="397"/>
      <c r="E610" s="397"/>
      <c r="F610" s="397"/>
      <c r="G610" s="397"/>
      <c r="H610" s="397"/>
      <c r="I610" s="397"/>
      <c r="J610" s="397"/>
      <c r="K610" s="397"/>
      <c r="L610" s="397"/>
      <c r="M610" s="399"/>
      <c r="N610" s="400"/>
      <c r="O610" s="400"/>
      <c r="P610" s="397"/>
      <c r="Q610" s="397"/>
      <c r="R610" s="397"/>
      <c r="S610" s="377"/>
      <c r="T610" s="377"/>
      <c r="U610" s="377"/>
      <c r="V610" s="377"/>
      <c r="W610" s="377"/>
      <c r="X610" s="377"/>
      <c r="Y610" s="377"/>
    </row>
    <row r="611" spans="1:25" ht="15.75">
      <c r="A611" s="398"/>
      <c r="B611" s="397"/>
      <c r="C611" s="397"/>
      <c r="D611" s="397"/>
      <c r="E611" s="397"/>
      <c r="F611" s="397"/>
      <c r="G611" s="397"/>
      <c r="H611" s="397"/>
      <c r="I611" s="397"/>
      <c r="J611" s="397"/>
      <c r="K611" s="397"/>
      <c r="L611" s="397"/>
      <c r="M611" s="399"/>
      <c r="N611" s="400"/>
      <c r="O611" s="400"/>
      <c r="P611" s="397"/>
      <c r="Q611" s="397"/>
      <c r="R611" s="397"/>
      <c r="S611" s="377"/>
      <c r="T611" s="377"/>
      <c r="U611" s="377"/>
      <c r="V611" s="377"/>
      <c r="W611" s="377"/>
      <c r="X611" s="377"/>
      <c r="Y611" s="377"/>
    </row>
    <row r="612" spans="1:25" ht="15.75">
      <c r="A612" s="398"/>
      <c r="B612" s="397"/>
      <c r="C612" s="397"/>
      <c r="D612" s="397"/>
      <c r="E612" s="397"/>
      <c r="F612" s="397"/>
      <c r="G612" s="397"/>
      <c r="H612" s="397"/>
      <c r="I612" s="397"/>
      <c r="J612" s="397"/>
      <c r="K612" s="397"/>
      <c r="L612" s="397"/>
      <c r="M612" s="399"/>
      <c r="N612" s="400"/>
      <c r="O612" s="400"/>
      <c r="P612" s="397"/>
      <c r="Q612" s="397"/>
      <c r="R612" s="397"/>
      <c r="S612" s="377"/>
      <c r="T612" s="377"/>
      <c r="U612" s="377"/>
      <c r="V612" s="377"/>
      <c r="W612" s="377"/>
      <c r="X612" s="377"/>
      <c r="Y612" s="377"/>
    </row>
    <row r="613" spans="1:25" ht="15.75">
      <c r="A613" s="398"/>
      <c r="B613" s="397"/>
      <c r="C613" s="397"/>
      <c r="D613" s="397"/>
      <c r="E613" s="397"/>
      <c r="F613" s="397"/>
      <c r="G613" s="397"/>
      <c r="H613" s="397"/>
      <c r="I613" s="397"/>
      <c r="J613" s="397"/>
      <c r="K613" s="397"/>
      <c r="L613" s="397"/>
      <c r="M613" s="399"/>
      <c r="N613" s="400"/>
      <c r="O613" s="400"/>
      <c r="P613" s="397"/>
      <c r="Q613" s="397"/>
      <c r="R613" s="397"/>
      <c r="S613" s="377"/>
      <c r="T613" s="377"/>
      <c r="U613" s="377"/>
      <c r="V613" s="377"/>
      <c r="W613" s="377"/>
      <c r="X613" s="377"/>
      <c r="Y613" s="377"/>
    </row>
    <row r="614" spans="1:25" ht="15.75">
      <c r="A614" s="398"/>
      <c r="B614" s="397"/>
      <c r="C614" s="397"/>
      <c r="D614" s="397"/>
      <c r="E614" s="397"/>
      <c r="F614" s="397"/>
      <c r="G614" s="397"/>
      <c r="H614" s="397"/>
      <c r="I614" s="397"/>
      <c r="J614" s="397"/>
      <c r="K614" s="397"/>
      <c r="L614" s="397"/>
      <c r="M614" s="399"/>
      <c r="N614" s="400"/>
      <c r="O614" s="400"/>
      <c r="P614" s="397"/>
      <c r="Q614" s="397"/>
      <c r="R614" s="397"/>
      <c r="S614" s="377"/>
      <c r="T614" s="377"/>
      <c r="U614" s="377"/>
      <c r="V614" s="377"/>
      <c r="W614" s="377"/>
      <c r="X614" s="377"/>
      <c r="Y614" s="377"/>
    </row>
    <row r="615" spans="1:25" ht="15.75">
      <c r="A615" s="398"/>
      <c r="B615" s="397"/>
      <c r="C615" s="397"/>
      <c r="D615" s="397"/>
      <c r="E615" s="397"/>
      <c r="F615" s="397"/>
      <c r="G615" s="397"/>
      <c r="H615" s="397"/>
      <c r="I615" s="397"/>
      <c r="J615" s="397"/>
      <c r="K615" s="397"/>
      <c r="L615" s="397"/>
      <c r="M615" s="399"/>
      <c r="N615" s="400"/>
      <c r="O615" s="400"/>
      <c r="P615" s="397"/>
      <c r="Q615" s="397"/>
      <c r="R615" s="397"/>
      <c r="S615" s="377"/>
      <c r="T615" s="377"/>
      <c r="U615" s="377"/>
      <c r="V615" s="377"/>
      <c r="W615" s="377"/>
      <c r="X615" s="377"/>
      <c r="Y615" s="377"/>
    </row>
    <row r="616" spans="1:25" ht="15.75">
      <c r="A616" s="398"/>
      <c r="B616" s="397"/>
      <c r="C616" s="397"/>
      <c r="D616" s="397"/>
      <c r="E616" s="397"/>
      <c r="F616" s="397"/>
      <c r="G616" s="397"/>
      <c r="H616" s="397"/>
      <c r="I616" s="397"/>
      <c r="J616" s="397"/>
      <c r="K616" s="397"/>
      <c r="L616" s="397"/>
      <c r="M616" s="399"/>
      <c r="N616" s="400"/>
      <c r="O616" s="400"/>
      <c r="P616" s="397"/>
      <c r="Q616" s="397"/>
      <c r="R616" s="397"/>
      <c r="S616" s="377"/>
      <c r="T616" s="377"/>
      <c r="U616" s="377"/>
      <c r="V616" s="377"/>
      <c r="W616" s="377"/>
      <c r="X616" s="377"/>
      <c r="Y616" s="377"/>
    </row>
    <row r="617" spans="1:25" ht="15.75">
      <c r="A617" s="398"/>
      <c r="B617" s="397"/>
      <c r="C617" s="397"/>
      <c r="D617" s="397"/>
      <c r="E617" s="397"/>
      <c r="F617" s="397"/>
      <c r="G617" s="397"/>
      <c r="H617" s="397"/>
      <c r="I617" s="397"/>
      <c r="J617" s="397"/>
      <c r="K617" s="397"/>
      <c r="L617" s="397"/>
      <c r="M617" s="399"/>
      <c r="N617" s="400"/>
      <c r="O617" s="400"/>
      <c r="P617" s="397"/>
      <c r="Q617" s="397"/>
      <c r="R617" s="397"/>
      <c r="S617" s="377"/>
      <c r="T617" s="377"/>
      <c r="U617" s="377"/>
      <c r="V617" s="377"/>
      <c r="W617" s="377"/>
      <c r="X617" s="377"/>
      <c r="Y617" s="377"/>
    </row>
    <row r="618" spans="1:25" ht="15.75">
      <c r="A618" s="398"/>
      <c r="B618" s="397"/>
      <c r="C618" s="397"/>
      <c r="D618" s="397"/>
      <c r="E618" s="397"/>
      <c r="F618" s="397"/>
      <c r="G618" s="397"/>
      <c r="H618" s="397"/>
      <c r="I618" s="397"/>
      <c r="J618" s="397"/>
      <c r="K618" s="397"/>
      <c r="L618" s="397"/>
      <c r="M618" s="399"/>
      <c r="N618" s="400"/>
      <c r="O618" s="400"/>
      <c r="P618" s="397"/>
      <c r="Q618" s="397"/>
      <c r="R618" s="397"/>
      <c r="S618" s="377"/>
      <c r="T618" s="377"/>
      <c r="U618" s="377"/>
      <c r="V618" s="377"/>
      <c r="W618" s="377"/>
      <c r="X618" s="377"/>
      <c r="Y618" s="377"/>
    </row>
    <row r="619" spans="1:25" ht="15.75">
      <c r="A619" s="398"/>
      <c r="B619" s="397"/>
      <c r="C619" s="397"/>
      <c r="D619" s="397"/>
      <c r="E619" s="397"/>
      <c r="F619" s="397"/>
      <c r="G619" s="397"/>
      <c r="H619" s="397"/>
      <c r="I619" s="397"/>
      <c r="J619" s="397"/>
      <c r="K619" s="397"/>
      <c r="L619" s="397"/>
      <c r="M619" s="399"/>
      <c r="N619" s="400"/>
      <c r="O619" s="400"/>
      <c r="P619" s="397"/>
      <c r="Q619" s="397"/>
      <c r="R619" s="397"/>
      <c r="S619" s="377"/>
      <c r="T619" s="377"/>
      <c r="U619" s="377"/>
      <c r="V619" s="377"/>
      <c r="W619" s="377"/>
      <c r="X619" s="377"/>
      <c r="Y619" s="377"/>
    </row>
    <row r="620" spans="1:25" ht="15.75">
      <c r="A620" s="398"/>
      <c r="B620" s="397"/>
      <c r="C620" s="397"/>
      <c r="D620" s="397"/>
      <c r="E620" s="397"/>
      <c r="F620" s="397"/>
      <c r="G620" s="397"/>
      <c r="H620" s="397"/>
      <c r="I620" s="397"/>
      <c r="J620" s="397"/>
      <c r="K620" s="397"/>
      <c r="L620" s="397"/>
      <c r="M620" s="399"/>
      <c r="N620" s="400"/>
      <c r="O620" s="400"/>
      <c r="P620" s="397"/>
      <c r="Q620" s="397"/>
      <c r="R620" s="397"/>
      <c r="S620" s="377"/>
      <c r="T620" s="377"/>
      <c r="U620" s="377"/>
      <c r="V620" s="377"/>
      <c r="W620" s="377"/>
      <c r="X620" s="377"/>
      <c r="Y620" s="377"/>
    </row>
    <row r="621" spans="1:25" ht="15.75">
      <c r="A621" s="398"/>
      <c r="B621" s="397"/>
      <c r="C621" s="397"/>
      <c r="D621" s="397"/>
      <c r="E621" s="397"/>
      <c r="F621" s="397"/>
      <c r="G621" s="397"/>
      <c r="H621" s="397"/>
      <c r="I621" s="397"/>
      <c r="J621" s="397"/>
      <c r="K621" s="397"/>
      <c r="L621" s="397"/>
      <c r="M621" s="399"/>
      <c r="N621" s="400"/>
      <c r="O621" s="400"/>
      <c r="P621" s="397"/>
      <c r="Q621" s="397"/>
      <c r="R621" s="397"/>
      <c r="S621" s="377"/>
      <c r="T621" s="377"/>
      <c r="U621" s="377"/>
      <c r="V621" s="377"/>
      <c r="W621" s="377"/>
      <c r="X621" s="377"/>
      <c r="Y621" s="377"/>
    </row>
    <row r="622" spans="1:25" ht="15.75">
      <c r="A622" s="398"/>
      <c r="B622" s="397"/>
      <c r="C622" s="397"/>
      <c r="D622" s="397"/>
      <c r="E622" s="397"/>
      <c r="F622" s="397"/>
      <c r="G622" s="397"/>
      <c r="H622" s="397"/>
      <c r="I622" s="397"/>
      <c r="J622" s="397"/>
      <c r="K622" s="397"/>
      <c r="L622" s="397"/>
      <c r="M622" s="399"/>
      <c r="N622" s="400"/>
      <c r="O622" s="400"/>
      <c r="P622" s="397"/>
      <c r="Q622" s="397"/>
      <c r="R622" s="397"/>
      <c r="S622" s="377"/>
      <c r="T622" s="377"/>
      <c r="U622" s="377"/>
      <c r="V622" s="377"/>
      <c r="W622" s="377"/>
      <c r="X622" s="377"/>
      <c r="Y622" s="377"/>
    </row>
    <row r="623" spans="1:25" ht="15.75">
      <c r="A623" s="398"/>
      <c r="B623" s="397"/>
      <c r="C623" s="397"/>
      <c r="D623" s="397"/>
      <c r="E623" s="397"/>
      <c r="F623" s="397"/>
      <c r="G623" s="397"/>
      <c r="H623" s="397"/>
      <c r="I623" s="397"/>
      <c r="J623" s="397"/>
      <c r="K623" s="397"/>
      <c r="L623" s="397"/>
      <c r="M623" s="399"/>
      <c r="N623" s="400"/>
      <c r="O623" s="400"/>
      <c r="P623" s="397"/>
      <c r="Q623" s="397"/>
      <c r="R623" s="397"/>
      <c r="S623" s="377"/>
      <c r="T623" s="377"/>
      <c r="U623" s="377"/>
      <c r="V623" s="377"/>
      <c r="W623" s="377"/>
      <c r="X623" s="377"/>
      <c r="Y623" s="377"/>
    </row>
    <row r="624" spans="1:25" ht="15.75">
      <c r="A624" s="398"/>
      <c r="B624" s="397"/>
      <c r="C624" s="397"/>
      <c r="D624" s="397"/>
      <c r="E624" s="397"/>
      <c r="F624" s="397"/>
      <c r="G624" s="397"/>
      <c r="H624" s="397"/>
      <c r="I624" s="397"/>
      <c r="J624" s="397"/>
      <c r="K624" s="397"/>
      <c r="L624" s="397"/>
      <c r="M624" s="399"/>
      <c r="N624" s="400"/>
      <c r="O624" s="400"/>
      <c r="P624" s="397"/>
      <c r="Q624" s="397"/>
      <c r="R624" s="397"/>
      <c r="S624" s="377"/>
      <c r="T624" s="377"/>
      <c r="U624" s="377"/>
      <c r="V624" s="377"/>
      <c r="W624" s="377"/>
      <c r="X624" s="377"/>
      <c r="Y624" s="377"/>
    </row>
    <row r="625" spans="1:25" ht="15.75">
      <c r="A625" s="398"/>
      <c r="B625" s="397"/>
      <c r="C625" s="397"/>
      <c r="D625" s="397"/>
      <c r="E625" s="397"/>
      <c r="F625" s="397"/>
      <c r="G625" s="397"/>
      <c r="H625" s="397"/>
      <c r="I625" s="397"/>
      <c r="J625" s="397"/>
      <c r="K625" s="397"/>
      <c r="L625" s="397"/>
      <c r="M625" s="399"/>
      <c r="N625" s="400"/>
      <c r="O625" s="400"/>
      <c r="P625" s="397"/>
      <c r="Q625" s="397"/>
      <c r="R625" s="397"/>
      <c r="S625" s="377"/>
      <c r="T625" s="377"/>
      <c r="U625" s="377"/>
      <c r="V625" s="377"/>
      <c r="W625" s="377"/>
      <c r="X625" s="377"/>
      <c r="Y625" s="377"/>
    </row>
    <row r="626" spans="1:25" ht="15.75">
      <c r="A626" s="398"/>
      <c r="B626" s="397"/>
      <c r="C626" s="397"/>
      <c r="D626" s="397"/>
      <c r="E626" s="397"/>
      <c r="F626" s="397"/>
      <c r="G626" s="397"/>
      <c r="H626" s="397"/>
      <c r="I626" s="397"/>
      <c r="J626" s="397"/>
      <c r="K626" s="397"/>
      <c r="L626" s="397"/>
      <c r="M626" s="399"/>
      <c r="N626" s="400"/>
      <c r="O626" s="400"/>
      <c r="P626" s="397"/>
      <c r="Q626" s="397"/>
      <c r="R626" s="397"/>
      <c r="S626" s="377"/>
      <c r="T626" s="377"/>
      <c r="U626" s="377"/>
      <c r="V626" s="377"/>
      <c r="W626" s="377"/>
      <c r="X626" s="377"/>
      <c r="Y626" s="377"/>
    </row>
    <row r="627" spans="1:25" ht="15.75">
      <c r="A627" s="398"/>
      <c r="B627" s="397"/>
      <c r="C627" s="397"/>
      <c r="D627" s="397"/>
      <c r="E627" s="397"/>
      <c r="F627" s="397"/>
      <c r="G627" s="397"/>
      <c r="H627" s="397"/>
      <c r="I627" s="397"/>
      <c r="J627" s="397"/>
      <c r="K627" s="397"/>
      <c r="L627" s="397"/>
      <c r="M627" s="399"/>
      <c r="N627" s="400"/>
      <c r="O627" s="400"/>
      <c r="P627" s="397"/>
      <c r="Q627" s="397"/>
      <c r="R627" s="397"/>
      <c r="S627" s="377"/>
      <c r="T627" s="377"/>
      <c r="U627" s="377"/>
      <c r="V627" s="377"/>
      <c r="W627" s="377"/>
      <c r="X627" s="377"/>
      <c r="Y627" s="377"/>
    </row>
    <row r="628" spans="1:25" ht="15.75">
      <c r="A628" s="398"/>
      <c r="B628" s="397"/>
      <c r="C628" s="397"/>
      <c r="D628" s="397"/>
      <c r="E628" s="397"/>
      <c r="F628" s="397"/>
      <c r="G628" s="397"/>
      <c r="H628" s="397"/>
      <c r="I628" s="397"/>
      <c r="J628" s="397"/>
      <c r="K628" s="397"/>
      <c r="L628" s="397"/>
      <c r="M628" s="399"/>
      <c r="N628" s="400"/>
      <c r="O628" s="400"/>
      <c r="P628" s="397"/>
      <c r="Q628" s="397"/>
      <c r="R628" s="397"/>
      <c r="S628" s="377"/>
      <c r="T628" s="377"/>
      <c r="U628" s="377"/>
      <c r="V628" s="377"/>
      <c r="W628" s="377"/>
      <c r="X628" s="377"/>
      <c r="Y628" s="377"/>
    </row>
    <row r="629" spans="1:25" ht="15.75">
      <c r="A629" s="398"/>
      <c r="B629" s="397"/>
      <c r="C629" s="397"/>
      <c r="D629" s="397"/>
      <c r="E629" s="397"/>
      <c r="F629" s="397"/>
      <c r="G629" s="397"/>
      <c r="H629" s="397"/>
      <c r="I629" s="397"/>
      <c r="J629" s="397"/>
      <c r="K629" s="397"/>
      <c r="L629" s="397"/>
      <c r="M629" s="399"/>
      <c r="N629" s="400"/>
      <c r="O629" s="400"/>
      <c r="P629" s="397"/>
      <c r="Q629" s="397"/>
      <c r="R629" s="397"/>
      <c r="S629" s="377"/>
      <c r="T629" s="377"/>
      <c r="U629" s="377"/>
      <c r="V629" s="377"/>
      <c r="W629" s="377"/>
      <c r="X629" s="377"/>
      <c r="Y629" s="377"/>
    </row>
    <row r="630" spans="1:25" ht="15.75">
      <c r="A630" s="398"/>
      <c r="B630" s="397"/>
      <c r="C630" s="397"/>
      <c r="D630" s="397"/>
      <c r="E630" s="397"/>
      <c r="F630" s="397"/>
      <c r="G630" s="397"/>
      <c r="H630" s="397"/>
      <c r="I630" s="397"/>
      <c r="J630" s="397"/>
      <c r="K630" s="397"/>
      <c r="L630" s="397"/>
      <c r="M630" s="399"/>
      <c r="N630" s="400"/>
      <c r="O630" s="400"/>
      <c r="P630" s="397"/>
      <c r="Q630" s="397"/>
      <c r="R630" s="397"/>
      <c r="S630" s="377"/>
      <c r="T630" s="377"/>
      <c r="U630" s="377"/>
      <c r="V630" s="377"/>
      <c r="W630" s="377"/>
      <c r="X630" s="377"/>
      <c r="Y630" s="377"/>
    </row>
    <row r="631" spans="1:25" ht="15.75">
      <c r="A631" s="398"/>
      <c r="B631" s="397"/>
      <c r="C631" s="397"/>
      <c r="D631" s="397"/>
      <c r="E631" s="397"/>
      <c r="F631" s="397"/>
      <c r="G631" s="397"/>
      <c r="H631" s="397"/>
      <c r="I631" s="397"/>
      <c r="J631" s="397"/>
      <c r="K631" s="397"/>
      <c r="L631" s="397"/>
      <c r="M631" s="399"/>
      <c r="N631" s="400"/>
      <c r="O631" s="400"/>
      <c r="P631" s="397"/>
      <c r="Q631" s="397"/>
      <c r="R631" s="397"/>
      <c r="S631" s="377"/>
      <c r="T631" s="377"/>
      <c r="U631" s="377"/>
      <c r="V631" s="377"/>
      <c r="W631" s="377"/>
      <c r="X631" s="377"/>
      <c r="Y631" s="377"/>
    </row>
    <row r="632" spans="1:25" ht="15.75">
      <c r="A632" s="398"/>
      <c r="B632" s="397"/>
      <c r="C632" s="397"/>
      <c r="D632" s="397"/>
      <c r="E632" s="397"/>
      <c r="F632" s="397"/>
      <c r="G632" s="397"/>
      <c r="H632" s="397"/>
      <c r="I632" s="397"/>
      <c r="J632" s="397"/>
      <c r="K632" s="397"/>
      <c r="L632" s="397"/>
      <c r="M632" s="399"/>
      <c r="N632" s="400"/>
      <c r="O632" s="400"/>
      <c r="P632" s="397"/>
      <c r="Q632" s="397"/>
      <c r="R632" s="397"/>
      <c r="S632" s="377"/>
      <c r="T632" s="377"/>
      <c r="U632" s="377"/>
      <c r="V632" s="377"/>
      <c r="W632" s="377"/>
      <c r="X632" s="377"/>
      <c r="Y632" s="377"/>
    </row>
    <row r="633" spans="1:25" ht="15.75">
      <c r="A633" s="398"/>
      <c r="B633" s="397"/>
      <c r="C633" s="397"/>
      <c r="D633" s="397"/>
      <c r="E633" s="397"/>
      <c r="F633" s="397"/>
      <c r="G633" s="397"/>
      <c r="H633" s="397"/>
      <c r="I633" s="397"/>
      <c r="J633" s="397"/>
      <c r="K633" s="397"/>
      <c r="L633" s="397"/>
      <c r="M633" s="399"/>
      <c r="N633" s="400"/>
      <c r="O633" s="400"/>
      <c r="P633" s="397"/>
      <c r="Q633" s="397"/>
      <c r="R633" s="397"/>
      <c r="S633" s="377"/>
      <c r="T633" s="377"/>
      <c r="U633" s="377"/>
      <c r="V633" s="377"/>
      <c r="W633" s="377"/>
      <c r="X633" s="377"/>
      <c r="Y633" s="377"/>
    </row>
    <row r="634" spans="1:25" ht="15.75">
      <c r="A634" s="398"/>
      <c r="B634" s="397"/>
      <c r="C634" s="397"/>
      <c r="D634" s="397"/>
      <c r="E634" s="397"/>
      <c r="F634" s="397"/>
      <c r="G634" s="397"/>
      <c r="H634" s="397"/>
      <c r="I634" s="397"/>
      <c r="J634" s="397"/>
      <c r="K634" s="397"/>
      <c r="L634" s="397"/>
      <c r="M634" s="399"/>
      <c r="N634" s="400"/>
      <c r="O634" s="400"/>
      <c r="P634" s="397"/>
      <c r="Q634" s="397"/>
      <c r="R634" s="397"/>
      <c r="S634" s="377"/>
      <c r="T634" s="377"/>
      <c r="U634" s="377"/>
      <c r="V634" s="377"/>
      <c r="W634" s="377"/>
      <c r="X634" s="377"/>
      <c r="Y634" s="377"/>
    </row>
    <row r="635" spans="1:25" ht="15.75">
      <c r="A635" s="398"/>
      <c r="B635" s="397"/>
      <c r="C635" s="397"/>
      <c r="D635" s="397"/>
      <c r="E635" s="397"/>
      <c r="F635" s="397"/>
      <c r="G635" s="397"/>
      <c r="H635" s="397"/>
      <c r="I635" s="397"/>
      <c r="J635" s="397"/>
      <c r="K635" s="397"/>
      <c r="L635" s="397"/>
      <c r="M635" s="399"/>
      <c r="N635" s="400"/>
      <c r="O635" s="400"/>
      <c r="P635" s="397"/>
      <c r="Q635" s="397"/>
      <c r="R635" s="397"/>
      <c r="S635" s="377"/>
      <c r="T635" s="377"/>
      <c r="U635" s="377"/>
      <c r="V635" s="377"/>
      <c r="W635" s="377"/>
      <c r="X635" s="377"/>
      <c r="Y635" s="377"/>
    </row>
    <row r="636" spans="1:25" ht="15.75">
      <c r="A636" s="398"/>
      <c r="B636" s="397"/>
      <c r="C636" s="397"/>
      <c r="D636" s="397"/>
      <c r="E636" s="397"/>
      <c r="F636" s="397"/>
      <c r="G636" s="397"/>
      <c r="H636" s="397"/>
      <c r="I636" s="397"/>
      <c r="J636" s="397"/>
      <c r="K636" s="397"/>
      <c r="L636" s="397"/>
      <c r="M636" s="399"/>
      <c r="N636" s="400"/>
      <c r="O636" s="400"/>
      <c r="P636" s="397"/>
      <c r="Q636" s="397"/>
      <c r="R636" s="397"/>
      <c r="S636" s="377"/>
      <c r="T636" s="377"/>
      <c r="U636" s="377"/>
      <c r="V636" s="377"/>
      <c r="W636" s="377"/>
      <c r="X636" s="377"/>
      <c r="Y636" s="377"/>
    </row>
    <row r="637" spans="1:25" ht="15.75">
      <c r="A637" s="398"/>
      <c r="B637" s="397"/>
      <c r="C637" s="397"/>
      <c r="D637" s="397"/>
      <c r="E637" s="397"/>
      <c r="F637" s="397"/>
      <c r="G637" s="397"/>
      <c r="H637" s="397"/>
      <c r="I637" s="397"/>
      <c r="J637" s="397"/>
      <c r="K637" s="397"/>
      <c r="L637" s="397"/>
      <c r="M637" s="399"/>
      <c r="N637" s="400"/>
      <c r="O637" s="400"/>
      <c r="P637" s="397"/>
      <c r="Q637" s="397"/>
      <c r="R637" s="397"/>
      <c r="S637" s="377"/>
      <c r="T637" s="377"/>
      <c r="U637" s="377"/>
      <c r="V637" s="377"/>
      <c r="W637" s="377"/>
      <c r="X637" s="377"/>
      <c r="Y637" s="377"/>
    </row>
    <row r="638" spans="1:25" ht="15.75">
      <c r="A638" s="398"/>
      <c r="B638" s="397"/>
      <c r="C638" s="397"/>
      <c r="D638" s="397"/>
      <c r="E638" s="397"/>
      <c r="F638" s="397"/>
      <c r="G638" s="397"/>
      <c r="H638" s="397"/>
      <c r="I638" s="397"/>
      <c r="J638" s="397"/>
      <c r="K638" s="397"/>
      <c r="L638" s="397"/>
      <c r="M638" s="399"/>
      <c r="N638" s="400"/>
      <c r="O638" s="400"/>
      <c r="P638" s="397"/>
      <c r="Q638" s="397"/>
      <c r="R638" s="397"/>
      <c r="S638" s="377"/>
      <c r="T638" s="377"/>
      <c r="U638" s="377"/>
      <c r="V638" s="377"/>
      <c r="W638" s="377"/>
      <c r="X638" s="377"/>
      <c r="Y638" s="377"/>
    </row>
    <row r="639" spans="1:25" ht="15.75">
      <c r="A639" s="398"/>
      <c r="B639" s="397"/>
      <c r="C639" s="397"/>
      <c r="D639" s="397"/>
      <c r="E639" s="397"/>
      <c r="F639" s="397"/>
      <c r="G639" s="397"/>
      <c r="H639" s="397"/>
      <c r="I639" s="397"/>
      <c r="J639" s="397"/>
      <c r="K639" s="397"/>
      <c r="L639" s="397"/>
      <c r="M639" s="399"/>
      <c r="N639" s="400"/>
      <c r="O639" s="400"/>
      <c r="P639" s="397"/>
      <c r="Q639" s="397"/>
      <c r="R639" s="397"/>
      <c r="S639" s="377"/>
      <c r="T639" s="377"/>
      <c r="U639" s="377"/>
      <c r="V639" s="377"/>
      <c r="W639" s="377"/>
      <c r="X639" s="377"/>
      <c r="Y639" s="377"/>
    </row>
    <row r="640" spans="1:25" ht="15.75">
      <c r="A640" s="398"/>
      <c r="B640" s="397"/>
      <c r="C640" s="397"/>
      <c r="D640" s="397"/>
      <c r="E640" s="397"/>
      <c r="F640" s="397"/>
      <c r="G640" s="397"/>
      <c r="H640" s="397"/>
      <c r="I640" s="397"/>
      <c r="J640" s="397"/>
      <c r="K640" s="397"/>
      <c r="L640" s="397"/>
      <c r="M640" s="399"/>
      <c r="N640" s="400"/>
      <c r="O640" s="400"/>
      <c r="P640" s="397"/>
      <c r="Q640" s="397"/>
      <c r="R640" s="397"/>
      <c r="S640" s="377"/>
      <c r="T640" s="377"/>
      <c r="U640" s="377"/>
      <c r="V640" s="377"/>
      <c r="W640" s="377"/>
      <c r="X640" s="377"/>
      <c r="Y640" s="377"/>
    </row>
    <row r="641" spans="1:25" ht="15.75">
      <c r="A641" s="398"/>
      <c r="B641" s="397"/>
      <c r="C641" s="397"/>
      <c r="D641" s="397"/>
      <c r="E641" s="397"/>
      <c r="F641" s="397"/>
      <c r="G641" s="397"/>
      <c r="H641" s="397"/>
      <c r="I641" s="397"/>
      <c r="J641" s="397"/>
      <c r="K641" s="397"/>
      <c r="L641" s="397"/>
      <c r="M641" s="399"/>
      <c r="N641" s="400"/>
      <c r="O641" s="400"/>
      <c r="P641" s="397"/>
      <c r="Q641" s="397"/>
      <c r="R641" s="397"/>
      <c r="S641" s="377"/>
      <c r="T641" s="377"/>
      <c r="U641" s="377"/>
      <c r="V641" s="377"/>
      <c r="W641" s="377"/>
      <c r="X641" s="377"/>
      <c r="Y641" s="377"/>
    </row>
    <row r="642" spans="1:25" ht="15.75">
      <c r="A642" s="398"/>
      <c r="B642" s="397"/>
      <c r="C642" s="397"/>
      <c r="D642" s="397"/>
      <c r="E642" s="397"/>
      <c r="F642" s="397"/>
      <c r="G642" s="397"/>
      <c r="H642" s="397"/>
      <c r="I642" s="397"/>
      <c r="J642" s="397"/>
      <c r="K642" s="397"/>
      <c r="L642" s="397"/>
      <c r="M642" s="399"/>
      <c r="N642" s="400"/>
      <c r="O642" s="400"/>
      <c r="P642" s="397"/>
      <c r="Q642" s="397"/>
      <c r="R642" s="397"/>
      <c r="S642" s="377"/>
      <c r="T642" s="377"/>
      <c r="U642" s="377"/>
      <c r="V642" s="377"/>
      <c r="W642" s="377"/>
      <c r="X642" s="377"/>
      <c r="Y642" s="377"/>
    </row>
    <row r="643" spans="1:25" ht="15.75">
      <c r="A643" s="398"/>
      <c r="B643" s="397"/>
      <c r="C643" s="397"/>
      <c r="D643" s="397"/>
      <c r="E643" s="397"/>
      <c r="F643" s="397"/>
      <c r="G643" s="397"/>
      <c r="H643" s="397"/>
      <c r="I643" s="397"/>
      <c r="J643" s="397"/>
      <c r="K643" s="397"/>
      <c r="L643" s="397"/>
      <c r="M643" s="399"/>
      <c r="N643" s="400"/>
      <c r="O643" s="400"/>
      <c r="P643" s="397"/>
      <c r="Q643" s="397"/>
      <c r="R643" s="397"/>
      <c r="S643" s="377"/>
      <c r="T643" s="377"/>
      <c r="U643" s="377"/>
      <c r="V643" s="377"/>
      <c r="W643" s="377"/>
      <c r="X643" s="377"/>
      <c r="Y643" s="377"/>
    </row>
    <row r="644" spans="1:25" ht="15.75">
      <c r="A644" s="398"/>
      <c r="B644" s="397"/>
      <c r="C644" s="397"/>
      <c r="D644" s="397"/>
      <c r="E644" s="397"/>
      <c r="F644" s="397"/>
      <c r="G644" s="397"/>
      <c r="H644" s="397"/>
      <c r="I644" s="397"/>
      <c r="J644" s="397"/>
      <c r="K644" s="397"/>
      <c r="L644" s="397"/>
      <c r="M644" s="399"/>
      <c r="N644" s="400"/>
      <c r="O644" s="400"/>
      <c r="P644" s="397"/>
      <c r="Q644" s="397"/>
      <c r="R644" s="397"/>
      <c r="S644" s="377"/>
      <c r="T644" s="377"/>
      <c r="U644" s="377"/>
      <c r="V644" s="377"/>
      <c r="W644" s="377"/>
      <c r="X644" s="377"/>
      <c r="Y644" s="377"/>
    </row>
    <row r="645" spans="1:25" ht="15.75">
      <c r="A645" s="398"/>
      <c r="B645" s="397"/>
      <c r="C645" s="397"/>
      <c r="D645" s="397"/>
      <c r="E645" s="397"/>
      <c r="F645" s="397"/>
      <c r="G645" s="397"/>
      <c r="H645" s="397"/>
      <c r="I645" s="397"/>
      <c r="J645" s="397"/>
      <c r="K645" s="397"/>
      <c r="L645" s="397"/>
      <c r="M645" s="399"/>
      <c r="N645" s="400"/>
      <c r="O645" s="400"/>
      <c r="P645" s="397"/>
      <c r="Q645" s="397"/>
      <c r="R645" s="397"/>
      <c r="S645" s="377"/>
      <c r="T645" s="377"/>
      <c r="U645" s="377"/>
      <c r="V645" s="377"/>
      <c r="W645" s="377"/>
      <c r="X645" s="377"/>
      <c r="Y645" s="377"/>
    </row>
    <row r="646" spans="1:25" ht="15.75">
      <c r="A646" s="398"/>
      <c r="B646" s="397"/>
      <c r="C646" s="397"/>
      <c r="D646" s="397"/>
      <c r="E646" s="397"/>
      <c r="F646" s="397"/>
      <c r="G646" s="397"/>
      <c r="H646" s="397"/>
      <c r="I646" s="397"/>
      <c r="J646" s="397"/>
      <c r="K646" s="397"/>
      <c r="L646" s="397"/>
      <c r="M646" s="399"/>
      <c r="N646" s="400"/>
      <c r="O646" s="400"/>
      <c r="P646" s="397"/>
      <c r="Q646" s="397"/>
      <c r="R646" s="397"/>
      <c r="S646" s="377"/>
      <c r="T646" s="377"/>
      <c r="U646" s="377"/>
      <c r="V646" s="377"/>
      <c r="W646" s="377"/>
      <c r="X646" s="377"/>
      <c r="Y646" s="377"/>
    </row>
    <row r="647" spans="1:25" ht="15.75">
      <c r="A647" s="398"/>
      <c r="B647" s="397"/>
      <c r="C647" s="397"/>
      <c r="D647" s="397"/>
      <c r="E647" s="397"/>
      <c r="F647" s="397"/>
      <c r="G647" s="397"/>
      <c r="H647" s="397"/>
      <c r="I647" s="397"/>
      <c r="J647" s="397"/>
      <c r="K647" s="397"/>
      <c r="L647" s="397"/>
      <c r="M647" s="399"/>
      <c r="N647" s="400"/>
      <c r="O647" s="400"/>
      <c r="P647" s="397"/>
      <c r="Q647" s="397"/>
      <c r="R647" s="397"/>
      <c r="S647" s="377"/>
      <c r="T647" s="377"/>
      <c r="U647" s="377"/>
      <c r="V647" s="377"/>
      <c r="W647" s="377"/>
      <c r="X647" s="377"/>
      <c r="Y647" s="377"/>
    </row>
    <row r="648" spans="1:25" ht="15.75">
      <c r="A648" s="398"/>
      <c r="B648" s="397"/>
      <c r="C648" s="397"/>
      <c r="D648" s="397"/>
      <c r="E648" s="397"/>
      <c r="F648" s="397"/>
      <c r="G648" s="397"/>
      <c r="H648" s="397"/>
      <c r="I648" s="397"/>
      <c r="J648" s="397"/>
      <c r="K648" s="397"/>
      <c r="L648" s="397"/>
      <c r="M648" s="399"/>
      <c r="N648" s="400"/>
      <c r="O648" s="400"/>
      <c r="P648" s="397"/>
      <c r="Q648" s="397"/>
      <c r="R648" s="397"/>
      <c r="S648" s="377"/>
      <c r="T648" s="377"/>
      <c r="U648" s="377"/>
      <c r="V648" s="377"/>
      <c r="W648" s="377"/>
      <c r="X648" s="377"/>
      <c r="Y648" s="377"/>
    </row>
    <row r="649" spans="1:25" ht="15.75">
      <c r="A649" s="398"/>
      <c r="B649" s="397"/>
      <c r="C649" s="397"/>
      <c r="D649" s="397"/>
      <c r="E649" s="397"/>
      <c r="F649" s="397"/>
      <c r="G649" s="397"/>
      <c r="H649" s="397"/>
      <c r="I649" s="397"/>
      <c r="J649" s="397"/>
      <c r="K649" s="397"/>
      <c r="L649" s="397"/>
      <c r="M649" s="399"/>
      <c r="N649" s="400"/>
      <c r="O649" s="400"/>
      <c r="P649" s="397"/>
      <c r="Q649" s="397"/>
      <c r="R649" s="397"/>
      <c r="S649" s="377"/>
      <c r="T649" s="377"/>
      <c r="U649" s="377"/>
      <c r="V649" s="377"/>
      <c r="W649" s="377"/>
      <c r="X649" s="377"/>
      <c r="Y649" s="377"/>
    </row>
    <row r="650" spans="1:25" ht="15.75">
      <c r="A650" s="398"/>
      <c r="B650" s="397"/>
      <c r="C650" s="397"/>
      <c r="D650" s="397"/>
      <c r="E650" s="397"/>
      <c r="F650" s="397"/>
      <c r="G650" s="397"/>
      <c r="H650" s="397"/>
      <c r="I650" s="397"/>
      <c r="J650" s="397"/>
      <c r="K650" s="397"/>
      <c r="L650" s="397"/>
      <c r="M650" s="399"/>
      <c r="N650" s="400"/>
      <c r="O650" s="400"/>
      <c r="P650" s="397"/>
      <c r="Q650" s="397"/>
      <c r="R650" s="397"/>
      <c r="S650" s="377"/>
      <c r="T650" s="377"/>
      <c r="U650" s="377"/>
      <c r="V650" s="377"/>
      <c r="W650" s="377"/>
      <c r="X650" s="377"/>
      <c r="Y650" s="377"/>
    </row>
    <row r="651" spans="1:25" ht="15.75">
      <c r="A651" s="398"/>
      <c r="B651" s="397"/>
      <c r="C651" s="397"/>
      <c r="D651" s="397"/>
      <c r="E651" s="397"/>
      <c r="F651" s="397"/>
      <c r="G651" s="397"/>
      <c r="H651" s="397"/>
      <c r="I651" s="397"/>
      <c r="J651" s="397"/>
      <c r="K651" s="397"/>
      <c r="L651" s="397"/>
      <c r="M651" s="399"/>
      <c r="N651" s="400"/>
      <c r="O651" s="400"/>
      <c r="P651" s="397"/>
      <c r="Q651" s="397"/>
      <c r="R651" s="397"/>
      <c r="S651" s="377"/>
      <c r="T651" s="377"/>
      <c r="U651" s="377"/>
      <c r="V651" s="377"/>
      <c r="W651" s="377"/>
      <c r="X651" s="377"/>
      <c r="Y651" s="377"/>
    </row>
    <row r="652" spans="1:25" ht="15.75">
      <c r="A652" s="398"/>
      <c r="B652" s="397"/>
      <c r="C652" s="397"/>
      <c r="D652" s="397"/>
      <c r="E652" s="397"/>
      <c r="F652" s="397"/>
      <c r="G652" s="397"/>
      <c r="H652" s="397"/>
      <c r="I652" s="397"/>
      <c r="J652" s="397"/>
      <c r="K652" s="397"/>
      <c r="L652" s="397"/>
      <c r="M652" s="399"/>
      <c r="N652" s="400"/>
      <c r="O652" s="400"/>
      <c r="P652" s="397"/>
      <c r="Q652" s="397"/>
      <c r="R652" s="397"/>
      <c r="S652" s="377"/>
      <c r="T652" s="377"/>
      <c r="U652" s="377"/>
      <c r="V652" s="377"/>
      <c r="W652" s="377"/>
      <c r="X652" s="377"/>
      <c r="Y652" s="377"/>
    </row>
    <row r="653" spans="1:25" ht="15.75">
      <c r="A653" s="398"/>
      <c r="B653" s="397"/>
      <c r="C653" s="397"/>
      <c r="D653" s="397"/>
      <c r="E653" s="397"/>
      <c r="F653" s="397"/>
      <c r="G653" s="397"/>
      <c r="H653" s="397"/>
      <c r="I653" s="397"/>
      <c r="J653" s="397"/>
      <c r="K653" s="397"/>
      <c r="L653" s="397"/>
      <c r="M653" s="399"/>
      <c r="N653" s="400"/>
      <c r="O653" s="400"/>
      <c r="P653" s="397"/>
      <c r="Q653" s="397"/>
      <c r="R653" s="397"/>
      <c r="S653" s="377"/>
      <c r="T653" s="377"/>
      <c r="U653" s="377"/>
      <c r="V653" s="377"/>
      <c r="W653" s="377"/>
      <c r="X653" s="377"/>
      <c r="Y653" s="377"/>
    </row>
    <row r="654" spans="1:25" ht="15.75">
      <c r="A654" s="398"/>
      <c r="B654" s="397"/>
      <c r="C654" s="397"/>
      <c r="D654" s="397"/>
      <c r="E654" s="397"/>
      <c r="F654" s="397"/>
      <c r="G654" s="397"/>
      <c r="H654" s="397"/>
      <c r="I654" s="397"/>
      <c r="J654" s="397"/>
      <c r="K654" s="397"/>
      <c r="L654" s="397"/>
      <c r="M654" s="399"/>
      <c r="N654" s="400"/>
      <c r="O654" s="400"/>
      <c r="P654" s="397"/>
      <c r="Q654" s="397"/>
      <c r="R654" s="397"/>
      <c r="S654" s="377"/>
      <c r="T654" s="377"/>
      <c r="U654" s="377"/>
      <c r="V654" s="377"/>
      <c r="W654" s="377"/>
      <c r="X654" s="377"/>
      <c r="Y654" s="377"/>
    </row>
    <row r="655" spans="1:25" ht="15.75">
      <c r="A655" s="398"/>
      <c r="B655" s="397"/>
      <c r="C655" s="397"/>
      <c r="D655" s="397"/>
      <c r="E655" s="397"/>
      <c r="F655" s="397"/>
      <c r="G655" s="397"/>
      <c r="H655" s="397"/>
      <c r="I655" s="397"/>
      <c r="J655" s="397"/>
      <c r="K655" s="397"/>
      <c r="L655" s="397"/>
      <c r="M655" s="399"/>
      <c r="N655" s="400"/>
      <c r="O655" s="400"/>
      <c r="P655" s="397"/>
      <c r="Q655" s="397"/>
      <c r="R655" s="397"/>
      <c r="S655" s="377"/>
      <c r="T655" s="377"/>
      <c r="U655" s="377"/>
      <c r="V655" s="377"/>
      <c r="W655" s="377"/>
      <c r="X655" s="377"/>
      <c r="Y655" s="377"/>
    </row>
    <row r="656" spans="1:25" ht="15.75">
      <c r="A656" s="398"/>
      <c r="B656" s="397"/>
      <c r="C656" s="397"/>
      <c r="D656" s="397"/>
      <c r="E656" s="397"/>
      <c r="F656" s="397"/>
      <c r="G656" s="397"/>
      <c r="H656" s="397"/>
      <c r="I656" s="397"/>
      <c r="J656" s="397"/>
      <c r="K656" s="397"/>
      <c r="L656" s="397"/>
      <c r="M656" s="399"/>
      <c r="N656" s="400"/>
      <c r="O656" s="400"/>
      <c r="P656" s="397"/>
      <c r="Q656" s="397"/>
      <c r="R656" s="397"/>
      <c r="S656" s="377"/>
      <c r="T656" s="377"/>
      <c r="U656" s="377"/>
      <c r="V656" s="377"/>
      <c r="W656" s="377"/>
      <c r="X656" s="377"/>
      <c r="Y656" s="377"/>
    </row>
    <row r="657" spans="1:25" ht="15.75">
      <c r="A657" s="398"/>
      <c r="B657" s="397"/>
      <c r="C657" s="397"/>
      <c r="D657" s="397"/>
      <c r="E657" s="397"/>
      <c r="F657" s="397"/>
      <c r="G657" s="397"/>
      <c r="H657" s="397"/>
      <c r="I657" s="397"/>
      <c r="J657" s="397"/>
      <c r="K657" s="397"/>
      <c r="L657" s="397"/>
      <c r="M657" s="399"/>
      <c r="N657" s="400"/>
      <c r="O657" s="400"/>
      <c r="P657" s="397"/>
      <c r="Q657" s="397"/>
      <c r="R657" s="397"/>
      <c r="S657" s="377"/>
      <c r="T657" s="377"/>
      <c r="U657" s="377"/>
      <c r="V657" s="377"/>
      <c r="W657" s="377"/>
      <c r="X657" s="377"/>
      <c r="Y657" s="377"/>
    </row>
    <row r="658" spans="1:25" ht="15.75">
      <c r="A658" s="398"/>
      <c r="B658" s="397"/>
      <c r="C658" s="397"/>
      <c r="D658" s="397"/>
      <c r="E658" s="397"/>
      <c r="F658" s="397"/>
      <c r="G658" s="397"/>
      <c r="H658" s="397"/>
      <c r="I658" s="397"/>
      <c r="J658" s="397"/>
      <c r="K658" s="397"/>
      <c r="L658" s="397"/>
      <c r="M658" s="399"/>
      <c r="N658" s="400"/>
      <c r="O658" s="400"/>
      <c r="P658" s="397"/>
      <c r="Q658" s="397"/>
      <c r="R658" s="397"/>
      <c r="S658" s="377"/>
      <c r="T658" s="377"/>
      <c r="U658" s="377"/>
      <c r="V658" s="377"/>
      <c r="W658" s="377"/>
      <c r="X658" s="377"/>
      <c r="Y658" s="377"/>
    </row>
    <row r="659" spans="1:25" ht="15.75">
      <c r="A659" s="398"/>
      <c r="B659" s="397"/>
      <c r="C659" s="397"/>
      <c r="D659" s="397"/>
      <c r="E659" s="397"/>
      <c r="F659" s="397"/>
      <c r="G659" s="397"/>
      <c r="H659" s="397"/>
      <c r="I659" s="397"/>
      <c r="J659" s="397"/>
      <c r="K659" s="397"/>
      <c r="L659" s="397"/>
      <c r="M659" s="399"/>
      <c r="N659" s="400"/>
      <c r="O659" s="400"/>
      <c r="P659" s="397"/>
      <c r="Q659" s="397"/>
      <c r="R659" s="397"/>
      <c r="S659" s="377"/>
      <c r="T659" s="377"/>
      <c r="U659" s="377"/>
      <c r="V659" s="377"/>
      <c r="W659" s="377"/>
      <c r="X659" s="377"/>
      <c r="Y659" s="377"/>
    </row>
    <row r="660" spans="1:25" ht="15.75">
      <c r="A660" s="398"/>
      <c r="B660" s="397"/>
      <c r="C660" s="397"/>
      <c r="D660" s="397"/>
      <c r="E660" s="397"/>
      <c r="F660" s="397"/>
      <c r="G660" s="397"/>
      <c r="H660" s="397"/>
      <c r="I660" s="397"/>
      <c r="J660" s="397"/>
      <c r="K660" s="397"/>
      <c r="L660" s="397"/>
      <c r="M660" s="399"/>
      <c r="N660" s="400"/>
      <c r="O660" s="400"/>
      <c r="P660" s="397"/>
      <c r="Q660" s="397"/>
      <c r="R660" s="397"/>
      <c r="S660" s="377"/>
      <c r="T660" s="377"/>
      <c r="U660" s="377"/>
      <c r="V660" s="377"/>
      <c r="W660" s="377"/>
      <c r="X660" s="377"/>
      <c r="Y660" s="377"/>
    </row>
    <row r="661" spans="1:25" ht="15.75">
      <c r="A661" s="398"/>
      <c r="B661" s="397"/>
      <c r="C661" s="397"/>
      <c r="D661" s="397"/>
      <c r="E661" s="397"/>
      <c r="F661" s="397"/>
      <c r="G661" s="397"/>
      <c r="H661" s="397"/>
      <c r="I661" s="397"/>
      <c r="J661" s="397"/>
      <c r="K661" s="397"/>
      <c r="L661" s="397"/>
      <c r="M661" s="399"/>
      <c r="N661" s="400"/>
      <c r="O661" s="400"/>
      <c r="P661" s="397"/>
      <c r="Q661" s="397"/>
      <c r="R661" s="397"/>
      <c r="S661" s="377"/>
      <c r="T661" s="377"/>
      <c r="U661" s="377"/>
      <c r="V661" s="377"/>
      <c r="W661" s="377"/>
      <c r="X661" s="377"/>
      <c r="Y661" s="377"/>
    </row>
    <row r="662" spans="1:25" ht="15.75">
      <c r="A662" s="398"/>
      <c r="B662" s="397"/>
      <c r="C662" s="397"/>
      <c r="D662" s="397"/>
      <c r="E662" s="397"/>
      <c r="F662" s="397"/>
      <c r="G662" s="397"/>
      <c r="H662" s="397"/>
      <c r="I662" s="397"/>
      <c r="J662" s="397"/>
      <c r="K662" s="397"/>
      <c r="L662" s="397"/>
      <c r="M662" s="399"/>
      <c r="N662" s="400"/>
      <c r="O662" s="400"/>
      <c r="P662" s="397"/>
      <c r="Q662" s="397"/>
      <c r="R662" s="397"/>
      <c r="S662" s="377"/>
      <c r="T662" s="377"/>
      <c r="U662" s="377"/>
      <c r="V662" s="377"/>
      <c r="W662" s="377"/>
      <c r="X662" s="377"/>
      <c r="Y662" s="377"/>
    </row>
    <row r="663" spans="1:25" ht="15.75">
      <c r="A663" s="398"/>
      <c r="B663" s="397"/>
      <c r="C663" s="397"/>
      <c r="D663" s="397"/>
      <c r="E663" s="397"/>
      <c r="F663" s="397"/>
      <c r="G663" s="397"/>
      <c r="H663" s="397"/>
      <c r="I663" s="397"/>
      <c r="J663" s="397"/>
      <c r="K663" s="397"/>
      <c r="L663" s="397"/>
      <c r="M663" s="399"/>
      <c r="N663" s="400"/>
      <c r="O663" s="400"/>
      <c r="P663" s="397"/>
      <c r="Q663" s="397"/>
      <c r="R663" s="397"/>
      <c r="S663" s="377"/>
      <c r="T663" s="377"/>
      <c r="U663" s="377"/>
      <c r="V663" s="377"/>
      <c r="W663" s="377"/>
      <c r="X663" s="377"/>
      <c r="Y663" s="377"/>
    </row>
    <row r="664" spans="1:25" ht="15.75">
      <c r="A664" s="398"/>
      <c r="B664" s="397"/>
      <c r="C664" s="397"/>
      <c r="D664" s="397"/>
      <c r="E664" s="397"/>
      <c r="F664" s="397"/>
      <c r="G664" s="397"/>
      <c r="H664" s="397"/>
      <c r="I664" s="397"/>
      <c r="J664" s="397"/>
      <c r="K664" s="397"/>
      <c r="L664" s="397"/>
      <c r="M664" s="399"/>
      <c r="N664" s="400"/>
      <c r="O664" s="400"/>
      <c r="P664" s="397"/>
      <c r="Q664" s="397"/>
      <c r="R664" s="397"/>
      <c r="S664" s="377"/>
      <c r="T664" s="377"/>
      <c r="U664" s="377"/>
      <c r="V664" s="377"/>
      <c r="W664" s="377"/>
      <c r="X664" s="377"/>
      <c r="Y664" s="377"/>
    </row>
    <row r="665" spans="1:25" ht="15.75">
      <c r="A665" s="398"/>
      <c r="B665" s="397"/>
      <c r="C665" s="397"/>
      <c r="D665" s="397"/>
      <c r="E665" s="397"/>
      <c r="F665" s="397"/>
      <c r="G665" s="397"/>
      <c r="H665" s="397"/>
      <c r="I665" s="397"/>
      <c r="J665" s="397"/>
      <c r="K665" s="397"/>
      <c r="L665" s="397"/>
      <c r="M665" s="399"/>
      <c r="N665" s="400"/>
      <c r="O665" s="400"/>
      <c r="P665" s="397"/>
      <c r="Q665" s="397"/>
      <c r="R665" s="397"/>
      <c r="S665" s="377"/>
      <c r="T665" s="377"/>
      <c r="U665" s="377"/>
      <c r="V665" s="377"/>
      <c r="W665" s="377"/>
      <c r="X665" s="377"/>
      <c r="Y665" s="377"/>
    </row>
    <row r="666" spans="1:25" ht="15.75">
      <c r="A666" s="398"/>
      <c r="B666" s="397"/>
      <c r="C666" s="397"/>
      <c r="D666" s="397"/>
      <c r="E666" s="397"/>
      <c r="F666" s="397"/>
      <c r="G666" s="397"/>
      <c r="H666" s="397"/>
      <c r="I666" s="397"/>
      <c r="J666" s="397"/>
      <c r="K666" s="397"/>
      <c r="L666" s="397"/>
      <c r="M666" s="399"/>
      <c r="N666" s="400"/>
      <c r="O666" s="400"/>
      <c r="P666" s="397"/>
      <c r="Q666" s="397"/>
      <c r="R666" s="397"/>
      <c r="S666" s="377"/>
      <c r="T666" s="377"/>
      <c r="U666" s="377"/>
      <c r="V666" s="377"/>
      <c r="W666" s="377"/>
      <c r="X666" s="377"/>
      <c r="Y666" s="377"/>
    </row>
    <row r="667" spans="1:25" ht="15.75">
      <c r="A667" s="398"/>
      <c r="B667" s="397"/>
      <c r="C667" s="397"/>
      <c r="D667" s="397"/>
      <c r="E667" s="397"/>
      <c r="F667" s="397"/>
      <c r="G667" s="397"/>
      <c r="H667" s="397"/>
      <c r="I667" s="397"/>
      <c r="J667" s="397"/>
      <c r="K667" s="397"/>
      <c r="L667" s="397"/>
      <c r="M667" s="399"/>
      <c r="N667" s="400"/>
      <c r="O667" s="400"/>
      <c r="P667" s="397"/>
      <c r="Q667" s="397"/>
      <c r="R667" s="397"/>
      <c r="S667" s="377"/>
      <c r="T667" s="377"/>
      <c r="U667" s="377"/>
      <c r="V667" s="377"/>
      <c r="W667" s="377"/>
      <c r="X667" s="377"/>
      <c r="Y667" s="377"/>
    </row>
    <row r="668" spans="1:25" ht="15.75">
      <c r="A668" s="398"/>
      <c r="B668" s="397"/>
      <c r="C668" s="397"/>
      <c r="D668" s="397"/>
      <c r="E668" s="397"/>
      <c r="F668" s="397"/>
      <c r="G668" s="397"/>
      <c r="H668" s="397"/>
      <c r="I668" s="397"/>
      <c r="J668" s="397"/>
      <c r="K668" s="397"/>
      <c r="L668" s="397"/>
      <c r="M668" s="399"/>
      <c r="N668" s="400"/>
      <c r="O668" s="400"/>
      <c r="P668" s="397"/>
      <c r="Q668" s="397"/>
      <c r="R668" s="397"/>
      <c r="S668" s="377"/>
      <c r="T668" s="377"/>
      <c r="U668" s="377"/>
      <c r="V668" s="377"/>
      <c r="W668" s="377"/>
      <c r="X668" s="377"/>
      <c r="Y668" s="377"/>
    </row>
    <row r="669" spans="1:25" ht="15.75">
      <c r="A669" s="398"/>
      <c r="B669" s="397"/>
      <c r="C669" s="397"/>
      <c r="D669" s="397"/>
      <c r="E669" s="397"/>
      <c r="F669" s="397"/>
      <c r="G669" s="397"/>
      <c r="H669" s="397"/>
      <c r="I669" s="397"/>
      <c r="J669" s="397"/>
      <c r="K669" s="397"/>
      <c r="L669" s="397"/>
      <c r="M669" s="399"/>
      <c r="N669" s="400"/>
      <c r="O669" s="400"/>
      <c r="P669" s="397"/>
      <c r="Q669" s="397"/>
      <c r="R669" s="397"/>
      <c r="S669" s="377"/>
      <c r="T669" s="377"/>
      <c r="U669" s="377"/>
      <c r="V669" s="377"/>
      <c r="W669" s="377"/>
      <c r="X669" s="377"/>
      <c r="Y669" s="377"/>
    </row>
    <row r="670" spans="1:25" ht="15.75">
      <c r="A670" s="398"/>
      <c r="B670" s="397"/>
      <c r="C670" s="397"/>
      <c r="D670" s="397"/>
      <c r="E670" s="397"/>
      <c r="F670" s="397"/>
      <c r="G670" s="397"/>
      <c r="H670" s="397"/>
      <c r="I670" s="397"/>
      <c r="J670" s="397"/>
      <c r="K670" s="397"/>
      <c r="L670" s="397"/>
      <c r="M670" s="399"/>
      <c r="N670" s="400"/>
      <c r="O670" s="400"/>
      <c r="P670" s="397"/>
      <c r="Q670" s="397"/>
      <c r="R670" s="397"/>
      <c r="S670" s="377"/>
      <c r="T670" s="377"/>
      <c r="U670" s="377"/>
      <c r="V670" s="377"/>
      <c r="W670" s="377"/>
      <c r="X670" s="377"/>
      <c r="Y670" s="377"/>
    </row>
    <row r="671" spans="1:25" ht="15.75">
      <c r="A671" s="398"/>
      <c r="B671" s="397"/>
      <c r="C671" s="397"/>
      <c r="D671" s="397"/>
      <c r="E671" s="397"/>
      <c r="F671" s="397"/>
      <c r="G671" s="397"/>
      <c r="H671" s="397"/>
      <c r="I671" s="397"/>
      <c r="J671" s="397"/>
      <c r="K671" s="397"/>
      <c r="L671" s="397"/>
      <c r="M671" s="399"/>
      <c r="N671" s="400"/>
      <c r="O671" s="400"/>
      <c r="P671" s="397"/>
      <c r="Q671" s="397"/>
      <c r="R671" s="397"/>
      <c r="S671" s="377"/>
      <c r="T671" s="377"/>
      <c r="U671" s="377"/>
      <c r="V671" s="377"/>
      <c r="W671" s="377"/>
      <c r="X671" s="377"/>
      <c r="Y671" s="377"/>
    </row>
    <row r="672" spans="1:25" ht="15.75">
      <c r="A672" s="398"/>
      <c r="B672" s="397"/>
      <c r="C672" s="397"/>
      <c r="D672" s="397"/>
      <c r="E672" s="397"/>
      <c r="F672" s="397"/>
      <c r="G672" s="397"/>
      <c r="H672" s="397"/>
      <c r="I672" s="397"/>
      <c r="J672" s="397"/>
      <c r="K672" s="397"/>
      <c r="L672" s="397"/>
      <c r="M672" s="399"/>
      <c r="N672" s="400"/>
      <c r="O672" s="400"/>
      <c r="P672" s="397"/>
      <c r="Q672" s="397"/>
      <c r="R672" s="397"/>
      <c r="S672" s="377"/>
      <c r="T672" s="377"/>
      <c r="U672" s="377"/>
      <c r="V672" s="377"/>
      <c r="W672" s="377"/>
      <c r="X672" s="377"/>
      <c r="Y672" s="377"/>
    </row>
    <row r="673" spans="1:25" ht="15.75">
      <c r="A673" s="398"/>
      <c r="B673" s="397"/>
      <c r="C673" s="397"/>
      <c r="D673" s="397"/>
      <c r="E673" s="397"/>
      <c r="F673" s="397"/>
      <c r="G673" s="397"/>
      <c r="H673" s="397"/>
      <c r="I673" s="397"/>
      <c r="J673" s="397"/>
      <c r="K673" s="397"/>
      <c r="L673" s="397"/>
      <c r="M673" s="399"/>
      <c r="N673" s="400"/>
      <c r="O673" s="400"/>
      <c r="P673" s="397"/>
      <c r="Q673" s="397"/>
      <c r="R673" s="397"/>
      <c r="S673" s="377"/>
      <c r="T673" s="377"/>
      <c r="U673" s="377"/>
      <c r="V673" s="377"/>
      <c r="W673" s="377"/>
      <c r="X673" s="377"/>
      <c r="Y673" s="377"/>
    </row>
    <row r="674" spans="1:25" ht="15.75">
      <c r="A674" s="398"/>
      <c r="B674" s="397"/>
      <c r="C674" s="397"/>
      <c r="D674" s="397"/>
      <c r="E674" s="397"/>
      <c r="F674" s="397"/>
      <c r="G674" s="397"/>
      <c r="H674" s="397"/>
      <c r="I674" s="397"/>
      <c r="J674" s="397"/>
      <c r="K674" s="397"/>
      <c r="L674" s="397"/>
      <c r="M674" s="399"/>
      <c r="N674" s="400"/>
      <c r="O674" s="400"/>
      <c r="P674" s="397"/>
      <c r="Q674" s="397"/>
      <c r="R674" s="397"/>
      <c r="S674" s="377"/>
      <c r="T674" s="377"/>
      <c r="U674" s="377"/>
      <c r="V674" s="377"/>
      <c r="W674" s="377"/>
      <c r="X674" s="377"/>
      <c r="Y674" s="377"/>
    </row>
    <row r="675" spans="1:25" ht="15.75">
      <c r="A675" s="398"/>
      <c r="B675" s="397"/>
      <c r="C675" s="397"/>
      <c r="D675" s="397"/>
      <c r="E675" s="397"/>
      <c r="F675" s="397"/>
      <c r="G675" s="397"/>
      <c r="H675" s="397"/>
      <c r="I675" s="397"/>
      <c r="J675" s="397"/>
      <c r="K675" s="397"/>
      <c r="L675" s="397"/>
      <c r="M675" s="399"/>
      <c r="N675" s="400"/>
      <c r="O675" s="400"/>
      <c r="P675" s="397"/>
      <c r="Q675" s="397"/>
      <c r="R675" s="397"/>
      <c r="S675" s="377"/>
      <c r="T675" s="377"/>
      <c r="U675" s="377"/>
      <c r="V675" s="377"/>
      <c r="W675" s="377"/>
      <c r="X675" s="377"/>
      <c r="Y675" s="377"/>
    </row>
    <row r="676" spans="1:25" ht="15.75">
      <c r="A676" s="398"/>
      <c r="B676" s="397"/>
      <c r="C676" s="397"/>
      <c r="D676" s="397"/>
      <c r="E676" s="397"/>
      <c r="F676" s="397"/>
      <c r="G676" s="397"/>
      <c r="H676" s="397"/>
      <c r="I676" s="397"/>
      <c r="J676" s="397"/>
      <c r="K676" s="397"/>
      <c r="L676" s="397"/>
      <c r="M676" s="399"/>
      <c r="N676" s="400"/>
      <c r="O676" s="400"/>
      <c r="P676" s="397"/>
      <c r="Q676" s="397"/>
      <c r="R676" s="397"/>
      <c r="S676" s="377"/>
      <c r="T676" s="377"/>
      <c r="U676" s="377"/>
      <c r="V676" s="377"/>
      <c r="W676" s="377"/>
      <c r="X676" s="377"/>
      <c r="Y676" s="377"/>
    </row>
    <row r="677" spans="1:25" ht="15.75">
      <c r="A677" s="398"/>
      <c r="B677" s="397"/>
      <c r="C677" s="397"/>
      <c r="D677" s="397"/>
      <c r="E677" s="397"/>
      <c r="F677" s="397"/>
      <c r="G677" s="397"/>
      <c r="H677" s="397"/>
      <c r="I677" s="397"/>
      <c r="J677" s="397"/>
      <c r="K677" s="397"/>
      <c r="L677" s="397"/>
      <c r="M677" s="399"/>
      <c r="N677" s="400"/>
      <c r="O677" s="400"/>
      <c r="P677" s="397"/>
      <c r="Q677" s="397"/>
      <c r="R677" s="397"/>
      <c r="S677" s="377"/>
      <c r="T677" s="377"/>
      <c r="U677" s="377"/>
      <c r="V677" s="377"/>
      <c r="W677" s="377"/>
      <c r="X677" s="377"/>
      <c r="Y677" s="377"/>
    </row>
    <row r="678" spans="1:25" ht="15.75">
      <c r="A678" s="398"/>
      <c r="B678" s="397"/>
      <c r="C678" s="397"/>
      <c r="D678" s="397"/>
      <c r="E678" s="397"/>
      <c r="F678" s="397"/>
      <c r="G678" s="397"/>
      <c r="H678" s="397"/>
      <c r="I678" s="397"/>
      <c r="J678" s="397"/>
      <c r="K678" s="397"/>
      <c r="L678" s="397"/>
      <c r="M678" s="399"/>
      <c r="N678" s="400"/>
      <c r="O678" s="400"/>
      <c r="P678" s="397"/>
      <c r="Q678" s="397"/>
      <c r="R678" s="397"/>
      <c r="S678" s="377"/>
      <c r="T678" s="377"/>
      <c r="U678" s="377"/>
      <c r="V678" s="377"/>
      <c r="W678" s="377"/>
      <c r="X678" s="377"/>
      <c r="Y678" s="377"/>
    </row>
    <row r="679" spans="1:25" ht="15.75">
      <c r="A679" s="398"/>
      <c r="B679" s="397"/>
      <c r="C679" s="397"/>
      <c r="D679" s="397"/>
      <c r="E679" s="397"/>
      <c r="F679" s="397"/>
      <c r="G679" s="397"/>
      <c r="H679" s="397"/>
      <c r="I679" s="397"/>
      <c r="J679" s="397"/>
      <c r="K679" s="397"/>
      <c r="L679" s="397"/>
      <c r="M679" s="399"/>
      <c r="N679" s="400"/>
      <c r="O679" s="400"/>
      <c r="P679" s="397"/>
      <c r="Q679" s="397"/>
      <c r="R679" s="397"/>
      <c r="S679" s="377"/>
      <c r="T679" s="377"/>
      <c r="U679" s="377"/>
      <c r="V679" s="377"/>
      <c r="W679" s="377"/>
      <c r="X679" s="377"/>
      <c r="Y679" s="377"/>
    </row>
    <row r="680" spans="1:25" ht="15.75">
      <c r="A680" s="398"/>
      <c r="B680" s="397"/>
      <c r="C680" s="397"/>
      <c r="D680" s="397"/>
      <c r="E680" s="397"/>
      <c r="F680" s="397"/>
      <c r="G680" s="397"/>
      <c r="H680" s="397"/>
      <c r="I680" s="397"/>
      <c r="J680" s="397"/>
      <c r="K680" s="397"/>
      <c r="L680" s="397"/>
      <c r="M680" s="399"/>
      <c r="N680" s="400"/>
      <c r="O680" s="400"/>
      <c r="P680" s="397"/>
      <c r="Q680" s="397"/>
      <c r="R680" s="397"/>
      <c r="S680" s="377"/>
      <c r="T680" s="377"/>
      <c r="U680" s="377"/>
      <c r="V680" s="377"/>
      <c r="W680" s="377"/>
      <c r="X680" s="377"/>
      <c r="Y680" s="377"/>
    </row>
    <row r="681" spans="1:25" ht="15.75">
      <c r="A681" s="398"/>
      <c r="B681" s="397"/>
      <c r="C681" s="397"/>
      <c r="D681" s="397"/>
      <c r="E681" s="397"/>
      <c r="F681" s="397"/>
      <c r="G681" s="397"/>
      <c r="H681" s="397"/>
      <c r="I681" s="397"/>
      <c r="J681" s="397"/>
      <c r="K681" s="397"/>
      <c r="L681" s="397"/>
      <c r="M681" s="399"/>
      <c r="N681" s="400"/>
      <c r="O681" s="400"/>
      <c r="P681" s="397"/>
      <c r="Q681" s="397"/>
      <c r="R681" s="397"/>
      <c r="S681" s="377"/>
      <c r="T681" s="377"/>
      <c r="U681" s="377"/>
      <c r="V681" s="377"/>
      <c r="W681" s="377"/>
      <c r="X681" s="377"/>
      <c r="Y681" s="377"/>
    </row>
    <row r="682" spans="1:25" ht="15.75">
      <c r="A682" s="398"/>
      <c r="B682" s="397"/>
      <c r="C682" s="397"/>
      <c r="D682" s="397"/>
      <c r="E682" s="397"/>
      <c r="F682" s="397"/>
      <c r="G682" s="397"/>
      <c r="H682" s="397"/>
      <c r="I682" s="397"/>
      <c r="J682" s="397"/>
      <c r="K682" s="397"/>
      <c r="L682" s="397"/>
      <c r="M682" s="399"/>
      <c r="N682" s="400"/>
      <c r="O682" s="400"/>
      <c r="P682" s="397"/>
      <c r="Q682" s="397"/>
      <c r="R682" s="397"/>
      <c r="S682" s="377"/>
      <c r="T682" s="377"/>
      <c r="U682" s="377"/>
      <c r="V682" s="377"/>
      <c r="W682" s="377"/>
      <c r="X682" s="377"/>
      <c r="Y682" s="377"/>
    </row>
    <row r="683" spans="1:25" ht="15.75">
      <c r="A683" s="398"/>
      <c r="B683" s="397"/>
      <c r="C683" s="397"/>
      <c r="D683" s="397"/>
      <c r="E683" s="397"/>
      <c r="F683" s="397"/>
      <c r="G683" s="397"/>
      <c r="H683" s="397"/>
      <c r="I683" s="397"/>
      <c r="J683" s="397"/>
      <c r="K683" s="397"/>
      <c r="L683" s="397"/>
      <c r="M683" s="399"/>
      <c r="N683" s="400"/>
      <c r="O683" s="400"/>
      <c r="P683" s="397"/>
      <c r="Q683" s="397"/>
      <c r="R683" s="397"/>
      <c r="S683" s="377"/>
      <c r="T683" s="377"/>
      <c r="U683" s="377"/>
      <c r="V683" s="377"/>
      <c r="W683" s="377"/>
      <c r="X683" s="377"/>
      <c r="Y683" s="377"/>
    </row>
    <row r="684" spans="1:25" ht="15.75">
      <c r="A684" s="398"/>
      <c r="B684" s="397"/>
      <c r="C684" s="397"/>
      <c r="D684" s="397"/>
      <c r="E684" s="397"/>
      <c r="F684" s="397"/>
      <c r="G684" s="397"/>
      <c r="H684" s="397"/>
      <c r="I684" s="397"/>
      <c r="J684" s="397"/>
      <c r="K684" s="397"/>
      <c r="L684" s="397"/>
      <c r="M684" s="399"/>
      <c r="N684" s="400"/>
      <c r="O684" s="400"/>
      <c r="P684" s="397"/>
      <c r="Q684" s="397"/>
      <c r="R684" s="397"/>
      <c r="S684" s="377"/>
      <c r="T684" s="377"/>
      <c r="U684" s="377"/>
      <c r="V684" s="377"/>
      <c r="W684" s="377"/>
      <c r="X684" s="377"/>
      <c r="Y684" s="377"/>
    </row>
    <row r="685" spans="1:25" ht="15.75">
      <c r="A685" s="398"/>
      <c r="B685" s="397"/>
      <c r="C685" s="397"/>
      <c r="D685" s="397"/>
      <c r="E685" s="397"/>
      <c r="F685" s="397"/>
      <c r="G685" s="397"/>
      <c r="H685" s="397"/>
      <c r="I685" s="397"/>
      <c r="J685" s="397"/>
      <c r="K685" s="397"/>
      <c r="L685" s="397"/>
      <c r="M685" s="399"/>
      <c r="N685" s="400"/>
      <c r="O685" s="400"/>
      <c r="P685" s="397"/>
      <c r="Q685" s="397"/>
      <c r="R685" s="397"/>
      <c r="S685" s="377"/>
      <c r="T685" s="377"/>
      <c r="U685" s="377"/>
      <c r="V685" s="377"/>
      <c r="W685" s="377"/>
      <c r="X685" s="377"/>
      <c r="Y685" s="377"/>
    </row>
    <row r="686" spans="1:25" ht="15.75">
      <c r="A686" s="398"/>
      <c r="B686" s="397"/>
      <c r="C686" s="397"/>
      <c r="D686" s="397"/>
      <c r="E686" s="397"/>
      <c r="F686" s="397"/>
      <c r="G686" s="397"/>
      <c r="H686" s="397"/>
      <c r="I686" s="397"/>
      <c r="J686" s="397"/>
      <c r="K686" s="397"/>
      <c r="L686" s="397"/>
      <c r="M686" s="399"/>
      <c r="N686" s="400"/>
      <c r="O686" s="400"/>
      <c r="P686" s="397"/>
      <c r="Q686" s="397"/>
      <c r="R686" s="397"/>
      <c r="S686" s="377"/>
      <c r="T686" s="377"/>
      <c r="U686" s="377"/>
      <c r="V686" s="377"/>
      <c r="W686" s="377"/>
      <c r="X686" s="377"/>
      <c r="Y686" s="377"/>
    </row>
    <row r="687" spans="1:25" ht="15.75">
      <c r="A687" s="398"/>
      <c r="B687" s="397"/>
      <c r="C687" s="397"/>
      <c r="D687" s="397"/>
      <c r="E687" s="397"/>
      <c r="F687" s="397"/>
      <c r="G687" s="397"/>
      <c r="H687" s="397"/>
      <c r="I687" s="397"/>
      <c r="J687" s="397"/>
      <c r="K687" s="397"/>
      <c r="L687" s="397"/>
      <c r="M687" s="399"/>
      <c r="N687" s="400"/>
      <c r="O687" s="400"/>
      <c r="P687" s="397"/>
      <c r="Q687" s="397"/>
      <c r="R687" s="397"/>
      <c r="S687" s="377"/>
      <c r="T687" s="377"/>
      <c r="U687" s="377"/>
      <c r="V687" s="377"/>
      <c r="W687" s="377"/>
      <c r="X687" s="377"/>
      <c r="Y687" s="377"/>
    </row>
    <row r="688" spans="1:25" ht="15.75">
      <c r="A688" s="398"/>
      <c r="B688" s="397"/>
      <c r="C688" s="397"/>
      <c r="D688" s="397"/>
      <c r="E688" s="397"/>
      <c r="F688" s="397"/>
      <c r="G688" s="397"/>
      <c r="H688" s="397"/>
      <c r="I688" s="397"/>
      <c r="J688" s="397"/>
      <c r="K688" s="397"/>
      <c r="L688" s="397"/>
      <c r="M688" s="399"/>
      <c r="N688" s="400"/>
      <c r="O688" s="400"/>
      <c r="P688" s="397"/>
      <c r="Q688" s="397"/>
      <c r="R688" s="397"/>
      <c r="S688" s="377"/>
      <c r="T688" s="377"/>
      <c r="U688" s="377"/>
      <c r="V688" s="377"/>
      <c r="W688" s="377"/>
      <c r="X688" s="377"/>
      <c r="Y688" s="377"/>
    </row>
    <row r="689" spans="1:25" ht="15.75">
      <c r="A689" s="398"/>
      <c r="B689" s="397"/>
      <c r="C689" s="397"/>
      <c r="D689" s="397"/>
      <c r="E689" s="397"/>
      <c r="F689" s="397"/>
      <c r="G689" s="397"/>
      <c r="H689" s="397"/>
      <c r="I689" s="397"/>
      <c r="J689" s="397"/>
      <c r="K689" s="397"/>
      <c r="L689" s="397"/>
      <c r="M689" s="399"/>
      <c r="N689" s="400"/>
      <c r="O689" s="400"/>
      <c r="P689" s="397"/>
      <c r="Q689" s="397"/>
      <c r="R689" s="397"/>
      <c r="S689" s="377"/>
      <c r="T689" s="377"/>
      <c r="U689" s="377"/>
      <c r="V689" s="377"/>
      <c r="W689" s="377"/>
      <c r="X689" s="377"/>
      <c r="Y689" s="377"/>
    </row>
    <row r="690" spans="1:25" ht="15.75">
      <c r="A690" s="398"/>
      <c r="B690" s="397"/>
      <c r="C690" s="397"/>
      <c r="D690" s="397"/>
      <c r="E690" s="397"/>
      <c r="F690" s="397"/>
      <c r="G690" s="397"/>
      <c r="H690" s="397"/>
      <c r="I690" s="397"/>
      <c r="J690" s="397"/>
      <c r="K690" s="397"/>
      <c r="L690" s="397"/>
      <c r="M690" s="399"/>
      <c r="N690" s="400"/>
      <c r="O690" s="400"/>
      <c r="P690" s="397"/>
      <c r="Q690" s="397"/>
      <c r="R690" s="397"/>
      <c r="S690" s="377"/>
      <c r="T690" s="377"/>
      <c r="U690" s="377"/>
      <c r="V690" s="377"/>
      <c r="W690" s="377"/>
      <c r="X690" s="377"/>
      <c r="Y690" s="377"/>
    </row>
    <row r="691" spans="1:25" ht="15.75">
      <c r="A691" s="398"/>
      <c r="B691" s="397"/>
      <c r="C691" s="397"/>
      <c r="D691" s="397"/>
      <c r="E691" s="397"/>
      <c r="F691" s="397"/>
      <c r="G691" s="397"/>
      <c r="H691" s="397"/>
      <c r="I691" s="397"/>
      <c r="J691" s="397"/>
      <c r="K691" s="397"/>
      <c r="L691" s="397"/>
      <c r="M691" s="399"/>
      <c r="N691" s="400"/>
      <c r="O691" s="400"/>
      <c r="P691" s="397"/>
      <c r="Q691" s="397"/>
      <c r="R691" s="397"/>
      <c r="S691" s="377"/>
      <c r="T691" s="377"/>
      <c r="U691" s="377"/>
      <c r="V691" s="377"/>
      <c r="W691" s="377"/>
      <c r="X691" s="377"/>
      <c r="Y691" s="377"/>
    </row>
    <row r="692" spans="1:25" ht="15.75">
      <c r="A692" s="398"/>
      <c r="B692" s="397"/>
      <c r="C692" s="397"/>
      <c r="D692" s="397"/>
      <c r="E692" s="397"/>
      <c r="F692" s="397"/>
      <c r="G692" s="397"/>
      <c r="H692" s="397"/>
      <c r="I692" s="397"/>
      <c r="J692" s="397"/>
      <c r="K692" s="397"/>
      <c r="L692" s="397"/>
      <c r="M692" s="399"/>
      <c r="N692" s="400"/>
      <c r="O692" s="400"/>
      <c r="P692" s="397"/>
      <c r="Q692" s="397"/>
      <c r="R692" s="397"/>
      <c r="S692" s="377"/>
      <c r="T692" s="377"/>
      <c r="U692" s="377"/>
      <c r="V692" s="377"/>
      <c r="W692" s="377"/>
      <c r="X692" s="377"/>
      <c r="Y692" s="377"/>
    </row>
    <row r="693" spans="1:25" ht="15.75">
      <c r="A693" s="398"/>
      <c r="B693" s="397"/>
      <c r="C693" s="397"/>
      <c r="D693" s="397"/>
      <c r="E693" s="397"/>
      <c r="F693" s="397"/>
      <c r="G693" s="397"/>
      <c r="H693" s="397"/>
      <c r="I693" s="397"/>
      <c r="J693" s="397"/>
      <c r="K693" s="397"/>
      <c r="L693" s="397"/>
      <c r="M693" s="399"/>
      <c r="N693" s="400"/>
      <c r="O693" s="400"/>
      <c r="P693" s="397"/>
      <c r="Q693" s="397"/>
      <c r="R693" s="397"/>
      <c r="S693" s="377"/>
      <c r="T693" s="377"/>
      <c r="U693" s="377"/>
      <c r="V693" s="377"/>
      <c r="W693" s="377"/>
      <c r="X693" s="377"/>
      <c r="Y693" s="377"/>
    </row>
    <row r="694" spans="1:25" ht="15.75">
      <c r="A694" s="398"/>
      <c r="B694" s="397"/>
      <c r="C694" s="397"/>
      <c r="D694" s="397"/>
      <c r="E694" s="397"/>
      <c r="F694" s="397"/>
      <c r="G694" s="397"/>
      <c r="H694" s="397"/>
      <c r="I694" s="397"/>
      <c r="J694" s="397"/>
      <c r="K694" s="397"/>
      <c r="L694" s="397"/>
      <c r="M694" s="399"/>
      <c r="N694" s="400"/>
      <c r="O694" s="400"/>
      <c r="P694" s="397"/>
      <c r="Q694" s="397"/>
      <c r="R694" s="397"/>
      <c r="S694" s="377"/>
      <c r="T694" s="377"/>
      <c r="U694" s="377"/>
      <c r="V694" s="377"/>
      <c r="W694" s="377"/>
      <c r="X694" s="377"/>
      <c r="Y694" s="377"/>
    </row>
    <row r="695" spans="1:25" ht="15.75">
      <c r="A695" s="398"/>
      <c r="B695" s="397"/>
      <c r="C695" s="397"/>
      <c r="D695" s="397"/>
      <c r="E695" s="397"/>
      <c r="F695" s="397"/>
      <c r="G695" s="397"/>
      <c r="H695" s="397"/>
      <c r="I695" s="397"/>
      <c r="J695" s="397"/>
      <c r="K695" s="397"/>
      <c r="L695" s="397"/>
      <c r="M695" s="399"/>
      <c r="N695" s="400"/>
      <c r="O695" s="400"/>
      <c r="P695" s="397"/>
      <c r="Q695" s="397"/>
      <c r="R695" s="397"/>
      <c r="S695" s="377"/>
      <c r="T695" s="377"/>
      <c r="U695" s="377"/>
      <c r="V695" s="377"/>
      <c r="W695" s="377"/>
      <c r="X695" s="377"/>
      <c r="Y695" s="377"/>
    </row>
    <row r="696" spans="1:25" ht="15.75">
      <c r="A696" s="398"/>
      <c r="B696" s="397"/>
      <c r="C696" s="397"/>
      <c r="D696" s="397"/>
      <c r="E696" s="397"/>
      <c r="F696" s="397"/>
      <c r="G696" s="397"/>
      <c r="H696" s="397"/>
      <c r="I696" s="397"/>
      <c r="J696" s="397"/>
      <c r="K696" s="397"/>
      <c r="L696" s="397"/>
      <c r="M696" s="399"/>
      <c r="N696" s="400"/>
      <c r="O696" s="400"/>
      <c r="P696" s="397"/>
      <c r="Q696" s="397"/>
      <c r="R696" s="397"/>
      <c r="S696" s="377"/>
      <c r="T696" s="377"/>
      <c r="U696" s="377"/>
      <c r="V696" s="377"/>
      <c r="W696" s="377"/>
      <c r="X696" s="377"/>
      <c r="Y696" s="377"/>
    </row>
    <row r="697" spans="1:25" ht="15.75">
      <c r="A697" s="398"/>
      <c r="B697" s="397"/>
      <c r="C697" s="397"/>
      <c r="D697" s="397"/>
      <c r="E697" s="397"/>
      <c r="F697" s="397"/>
      <c r="G697" s="397"/>
      <c r="H697" s="397"/>
      <c r="I697" s="397"/>
      <c r="J697" s="397"/>
      <c r="K697" s="397"/>
      <c r="L697" s="397"/>
      <c r="M697" s="399"/>
      <c r="N697" s="400"/>
      <c r="O697" s="400"/>
      <c r="P697" s="397"/>
      <c r="Q697" s="397"/>
      <c r="R697" s="397"/>
      <c r="S697" s="377"/>
      <c r="T697" s="377"/>
      <c r="U697" s="377"/>
      <c r="V697" s="377"/>
      <c r="W697" s="377"/>
      <c r="X697" s="377"/>
      <c r="Y697" s="377"/>
    </row>
    <row r="698" spans="1:25" ht="15.75">
      <c r="A698" s="398"/>
      <c r="B698" s="397"/>
      <c r="C698" s="397"/>
      <c r="D698" s="397"/>
      <c r="E698" s="397"/>
      <c r="F698" s="397"/>
      <c r="G698" s="397"/>
      <c r="H698" s="397"/>
      <c r="I698" s="397"/>
      <c r="J698" s="397"/>
      <c r="K698" s="397"/>
      <c r="L698" s="397"/>
      <c r="M698" s="399"/>
      <c r="N698" s="400"/>
      <c r="O698" s="400"/>
      <c r="P698" s="397"/>
      <c r="Q698" s="397"/>
      <c r="R698" s="397"/>
      <c r="S698" s="377"/>
      <c r="T698" s="377"/>
      <c r="U698" s="377"/>
      <c r="V698" s="377"/>
      <c r="W698" s="377"/>
      <c r="X698" s="377"/>
      <c r="Y698" s="377"/>
    </row>
    <row r="699" spans="1:25" ht="15.75">
      <c r="A699" s="398"/>
      <c r="B699" s="397"/>
      <c r="C699" s="397"/>
      <c r="D699" s="397"/>
      <c r="E699" s="397"/>
      <c r="F699" s="397"/>
      <c r="G699" s="397"/>
      <c r="H699" s="397"/>
      <c r="I699" s="397"/>
      <c r="J699" s="397"/>
      <c r="K699" s="397"/>
      <c r="L699" s="397"/>
      <c r="M699" s="399"/>
      <c r="N699" s="400"/>
      <c r="O699" s="400"/>
      <c r="P699" s="397"/>
      <c r="Q699" s="397"/>
      <c r="R699" s="397"/>
      <c r="S699" s="377"/>
      <c r="T699" s="377"/>
      <c r="U699" s="377"/>
      <c r="V699" s="377"/>
      <c r="W699" s="377"/>
      <c r="X699" s="377"/>
      <c r="Y699" s="377"/>
    </row>
    <row r="700" spans="1:25" ht="15.75">
      <c r="A700" s="398"/>
      <c r="B700" s="397"/>
      <c r="C700" s="397"/>
      <c r="D700" s="397"/>
      <c r="E700" s="397"/>
      <c r="F700" s="397"/>
      <c r="G700" s="397"/>
      <c r="H700" s="397"/>
      <c r="I700" s="397"/>
      <c r="J700" s="397"/>
      <c r="K700" s="397"/>
      <c r="L700" s="397"/>
      <c r="M700" s="399"/>
      <c r="N700" s="400"/>
      <c r="O700" s="400"/>
      <c r="P700" s="397"/>
      <c r="Q700" s="397"/>
      <c r="R700" s="397"/>
      <c r="S700" s="377"/>
      <c r="T700" s="377"/>
      <c r="U700" s="377"/>
      <c r="V700" s="377"/>
      <c r="W700" s="377"/>
      <c r="X700" s="377"/>
      <c r="Y700" s="377"/>
    </row>
    <row r="701" spans="1:25" ht="15.75">
      <c r="A701" s="398"/>
      <c r="B701" s="397"/>
      <c r="C701" s="397"/>
      <c r="D701" s="397"/>
      <c r="E701" s="397"/>
      <c r="F701" s="397"/>
      <c r="G701" s="397"/>
      <c r="H701" s="397"/>
      <c r="I701" s="397"/>
      <c r="J701" s="397"/>
      <c r="K701" s="397"/>
      <c r="L701" s="397"/>
      <c r="M701" s="399"/>
      <c r="N701" s="400"/>
      <c r="O701" s="400"/>
      <c r="P701" s="397"/>
      <c r="Q701" s="397"/>
      <c r="R701" s="397"/>
      <c r="S701" s="377"/>
      <c r="T701" s="377"/>
      <c r="U701" s="377"/>
      <c r="V701" s="377"/>
      <c r="W701" s="377"/>
      <c r="X701" s="377"/>
      <c r="Y701" s="377"/>
    </row>
    <row r="702" spans="1:25" ht="15.75">
      <c r="A702" s="398"/>
      <c r="B702" s="397"/>
      <c r="C702" s="397"/>
      <c r="D702" s="397"/>
      <c r="E702" s="397"/>
      <c r="F702" s="397"/>
      <c r="G702" s="397"/>
      <c r="H702" s="397"/>
      <c r="I702" s="397"/>
      <c r="J702" s="397"/>
      <c r="K702" s="397"/>
      <c r="L702" s="397"/>
      <c r="M702" s="399"/>
      <c r="N702" s="400"/>
      <c r="O702" s="400"/>
      <c r="P702" s="397"/>
      <c r="Q702" s="397"/>
      <c r="R702" s="397"/>
      <c r="S702" s="377"/>
      <c r="T702" s="377"/>
      <c r="U702" s="377"/>
      <c r="V702" s="377"/>
      <c r="W702" s="377"/>
      <c r="X702" s="377"/>
      <c r="Y702" s="377"/>
    </row>
    <row r="703" spans="1:25" ht="15.75">
      <c r="A703" s="398"/>
      <c r="B703" s="397"/>
      <c r="C703" s="397"/>
      <c r="D703" s="397"/>
      <c r="E703" s="397"/>
      <c r="F703" s="397"/>
      <c r="G703" s="397"/>
      <c r="H703" s="397"/>
      <c r="I703" s="397"/>
      <c r="J703" s="397"/>
      <c r="K703" s="397"/>
      <c r="L703" s="397"/>
      <c r="M703" s="399"/>
      <c r="N703" s="400"/>
      <c r="O703" s="400"/>
      <c r="P703" s="397"/>
      <c r="Q703" s="397"/>
      <c r="R703" s="397"/>
      <c r="S703" s="377"/>
      <c r="T703" s="377"/>
      <c r="U703" s="377"/>
      <c r="V703" s="377"/>
      <c r="W703" s="377"/>
      <c r="X703" s="377"/>
      <c r="Y703" s="377"/>
    </row>
    <row r="704" spans="1:25" ht="15.75">
      <c r="A704" s="398"/>
      <c r="B704" s="397"/>
      <c r="C704" s="397"/>
      <c r="D704" s="397"/>
      <c r="E704" s="397"/>
      <c r="F704" s="397"/>
      <c r="G704" s="397"/>
      <c r="H704" s="397"/>
      <c r="I704" s="397"/>
      <c r="J704" s="397"/>
      <c r="K704" s="397"/>
      <c r="L704" s="397"/>
      <c r="M704" s="399"/>
      <c r="N704" s="400"/>
      <c r="O704" s="400"/>
      <c r="P704" s="397"/>
      <c r="Q704" s="397"/>
      <c r="R704" s="397"/>
      <c r="S704" s="377"/>
      <c r="T704" s="377"/>
      <c r="U704" s="377"/>
      <c r="V704" s="377"/>
      <c r="W704" s="377"/>
      <c r="X704" s="377"/>
      <c r="Y704" s="377"/>
    </row>
    <row r="705" spans="1:25" ht="15.75">
      <c r="A705" s="398"/>
      <c r="B705" s="397"/>
      <c r="C705" s="397"/>
      <c r="D705" s="397"/>
      <c r="E705" s="397"/>
      <c r="F705" s="397"/>
      <c r="G705" s="397"/>
      <c r="H705" s="397"/>
      <c r="I705" s="397"/>
      <c r="J705" s="397"/>
      <c r="K705" s="397"/>
      <c r="L705" s="397"/>
      <c r="M705" s="399"/>
      <c r="N705" s="400"/>
      <c r="O705" s="400"/>
      <c r="P705" s="397"/>
      <c r="Q705" s="397"/>
      <c r="R705" s="397"/>
      <c r="S705" s="377"/>
      <c r="T705" s="377"/>
      <c r="U705" s="377"/>
      <c r="V705" s="377"/>
      <c r="W705" s="377"/>
      <c r="X705" s="377"/>
      <c r="Y705" s="377"/>
    </row>
    <row r="706" spans="1:25" ht="15.75">
      <c r="A706" s="398"/>
      <c r="B706" s="397"/>
      <c r="C706" s="397"/>
      <c r="D706" s="397"/>
      <c r="E706" s="397"/>
      <c r="F706" s="397"/>
      <c r="G706" s="397"/>
      <c r="H706" s="397"/>
      <c r="I706" s="397"/>
      <c r="J706" s="397"/>
      <c r="K706" s="397"/>
      <c r="L706" s="397"/>
      <c r="M706" s="399"/>
      <c r="N706" s="400"/>
      <c r="O706" s="400"/>
      <c r="P706" s="397"/>
      <c r="Q706" s="397"/>
      <c r="R706" s="397"/>
      <c r="S706" s="377"/>
      <c r="T706" s="377"/>
      <c r="U706" s="377"/>
      <c r="V706" s="377"/>
      <c r="W706" s="377"/>
      <c r="X706" s="377"/>
      <c r="Y706" s="377"/>
    </row>
    <row r="707" spans="1:25" ht="15.75">
      <c r="A707" s="398"/>
      <c r="B707" s="397"/>
      <c r="C707" s="397"/>
      <c r="D707" s="397"/>
      <c r="E707" s="397"/>
      <c r="F707" s="397"/>
      <c r="G707" s="397"/>
      <c r="H707" s="397"/>
      <c r="I707" s="397"/>
      <c r="J707" s="397"/>
      <c r="K707" s="397"/>
      <c r="L707" s="397"/>
      <c r="M707" s="399"/>
      <c r="N707" s="400"/>
      <c r="O707" s="400"/>
      <c r="P707" s="397"/>
      <c r="Q707" s="397"/>
      <c r="R707" s="397"/>
      <c r="S707" s="377"/>
      <c r="T707" s="377"/>
      <c r="U707" s="377"/>
      <c r="V707" s="377"/>
      <c r="W707" s="377"/>
      <c r="X707" s="377"/>
      <c r="Y707" s="377"/>
    </row>
    <row r="708" spans="1:25" ht="15.75">
      <c r="A708" s="398"/>
      <c r="B708" s="397"/>
      <c r="C708" s="397"/>
      <c r="D708" s="397"/>
      <c r="E708" s="397"/>
      <c r="F708" s="397"/>
      <c r="G708" s="397"/>
      <c r="H708" s="397"/>
      <c r="I708" s="397"/>
      <c r="J708" s="397"/>
      <c r="K708" s="397"/>
      <c r="L708" s="397"/>
      <c r="M708" s="399"/>
      <c r="N708" s="400"/>
      <c r="O708" s="400"/>
      <c r="P708" s="397"/>
      <c r="Q708" s="397"/>
      <c r="R708" s="397"/>
      <c r="S708" s="377"/>
      <c r="T708" s="377"/>
      <c r="U708" s="377"/>
      <c r="V708" s="377"/>
      <c r="W708" s="377"/>
      <c r="X708" s="377"/>
      <c r="Y708" s="377"/>
    </row>
    <row r="709" spans="1:25" ht="15.75">
      <c r="A709" s="398"/>
      <c r="B709" s="397"/>
      <c r="C709" s="397"/>
      <c r="D709" s="397"/>
      <c r="E709" s="397"/>
      <c r="F709" s="397"/>
      <c r="G709" s="397"/>
      <c r="H709" s="397"/>
      <c r="I709" s="397"/>
      <c r="J709" s="397"/>
      <c r="K709" s="397"/>
      <c r="L709" s="397"/>
      <c r="M709" s="399"/>
      <c r="N709" s="400"/>
      <c r="O709" s="400"/>
      <c r="P709" s="397"/>
      <c r="Q709" s="397"/>
      <c r="R709" s="397"/>
      <c r="S709" s="377"/>
      <c r="T709" s="377"/>
      <c r="U709" s="377"/>
      <c r="V709" s="377"/>
      <c r="W709" s="377"/>
      <c r="X709" s="377"/>
      <c r="Y709" s="377"/>
    </row>
    <row r="710" spans="1:25" ht="15.75">
      <c r="A710" s="398"/>
      <c r="B710" s="397"/>
      <c r="C710" s="397"/>
      <c r="D710" s="397"/>
      <c r="E710" s="397"/>
      <c r="F710" s="397"/>
      <c r="G710" s="397"/>
      <c r="H710" s="397"/>
      <c r="I710" s="397"/>
      <c r="J710" s="397"/>
      <c r="K710" s="397"/>
      <c r="L710" s="397"/>
      <c r="M710" s="399"/>
      <c r="N710" s="400"/>
      <c r="O710" s="400"/>
      <c r="P710" s="397"/>
      <c r="Q710" s="397"/>
      <c r="R710" s="397"/>
      <c r="S710" s="377"/>
      <c r="T710" s="377"/>
      <c r="U710" s="377"/>
      <c r="V710" s="377"/>
      <c r="W710" s="377"/>
      <c r="X710" s="377"/>
      <c r="Y710" s="377"/>
    </row>
    <row r="711" spans="1:25" ht="15.75">
      <c r="A711" s="398"/>
      <c r="B711" s="397"/>
      <c r="C711" s="397"/>
      <c r="D711" s="397"/>
      <c r="E711" s="397"/>
      <c r="F711" s="397"/>
      <c r="G711" s="397"/>
      <c r="H711" s="397"/>
      <c r="I711" s="397"/>
      <c r="J711" s="397"/>
      <c r="K711" s="397"/>
      <c r="L711" s="397"/>
      <c r="M711" s="399"/>
      <c r="N711" s="400"/>
      <c r="O711" s="400"/>
      <c r="P711" s="397"/>
      <c r="Q711" s="397"/>
      <c r="R711" s="397"/>
      <c r="S711" s="377"/>
      <c r="T711" s="377"/>
      <c r="U711" s="377"/>
      <c r="V711" s="377"/>
      <c r="W711" s="377"/>
      <c r="X711" s="377"/>
      <c r="Y711" s="377"/>
    </row>
    <row r="712" spans="1:25" ht="15.75">
      <c r="A712" s="398"/>
      <c r="B712" s="397"/>
      <c r="C712" s="397"/>
      <c r="D712" s="397"/>
      <c r="E712" s="397"/>
      <c r="F712" s="397"/>
      <c r="G712" s="397"/>
      <c r="H712" s="397"/>
      <c r="I712" s="397"/>
      <c r="J712" s="397"/>
      <c r="K712" s="397"/>
      <c r="L712" s="397"/>
      <c r="M712" s="399"/>
      <c r="N712" s="400"/>
      <c r="O712" s="400"/>
      <c r="P712" s="397"/>
      <c r="Q712" s="397"/>
      <c r="R712" s="397"/>
      <c r="S712" s="377"/>
      <c r="T712" s="377"/>
      <c r="U712" s="377"/>
      <c r="V712" s="377"/>
      <c r="W712" s="377"/>
      <c r="X712" s="377"/>
      <c r="Y712" s="377"/>
    </row>
    <row r="713" spans="1:25" ht="15.75">
      <c r="A713" s="398"/>
      <c r="B713" s="397"/>
      <c r="C713" s="397"/>
      <c r="D713" s="397"/>
      <c r="E713" s="397"/>
      <c r="F713" s="397"/>
      <c r="G713" s="397"/>
      <c r="H713" s="397"/>
      <c r="I713" s="397"/>
      <c r="J713" s="397"/>
      <c r="K713" s="397"/>
      <c r="L713" s="397"/>
      <c r="M713" s="399"/>
      <c r="N713" s="400"/>
      <c r="O713" s="400"/>
      <c r="P713" s="397"/>
      <c r="Q713" s="397"/>
      <c r="R713" s="397"/>
      <c r="S713" s="377"/>
      <c r="T713" s="377"/>
      <c r="U713" s="377"/>
      <c r="V713" s="377"/>
      <c r="W713" s="377"/>
      <c r="X713" s="377"/>
      <c r="Y713" s="377"/>
    </row>
    <row r="714" spans="1:25" ht="15.75">
      <c r="A714" s="398"/>
      <c r="B714" s="397"/>
      <c r="C714" s="397"/>
      <c r="D714" s="397"/>
      <c r="E714" s="397"/>
      <c r="F714" s="397"/>
      <c r="G714" s="397"/>
      <c r="H714" s="397"/>
      <c r="I714" s="397"/>
      <c r="J714" s="397"/>
      <c r="K714" s="397"/>
      <c r="L714" s="397"/>
      <c r="M714" s="399"/>
      <c r="N714" s="400"/>
      <c r="O714" s="400"/>
      <c r="P714" s="397"/>
      <c r="Q714" s="397"/>
      <c r="R714" s="397"/>
      <c r="S714" s="377"/>
      <c r="T714" s="377"/>
      <c r="U714" s="377"/>
      <c r="V714" s="377"/>
      <c r="W714" s="377"/>
      <c r="X714" s="377"/>
      <c r="Y714" s="377"/>
    </row>
    <row r="715" spans="1:25" ht="15.75">
      <c r="A715" s="398"/>
      <c r="B715" s="397"/>
      <c r="C715" s="397"/>
      <c r="D715" s="397"/>
      <c r="E715" s="397"/>
      <c r="F715" s="397"/>
      <c r="G715" s="397"/>
      <c r="H715" s="397"/>
      <c r="I715" s="397"/>
      <c r="J715" s="397"/>
      <c r="K715" s="397"/>
      <c r="L715" s="397"/>
      <c r="M715" s="399"/>
      <c r="N715" s="400"/>
      <c r="O715" s="400"/>
      <c r="P715" s="397"/>
      <c r="Q715" s="397"/>
      <c r="R715" s="397"/>
      <c r="S715" s="377"/>
      <c r="T715" s="377"/>
      <c r="U715" s="377"/>
      <c r="V715" s="377"/>
      <c r="W715" s="377"/>
      <c r="X715" s="377"/>
      <c r="Y715" s="377"/>
    </row>
    <row r="716" spans="1:25" ht="15.75">
      <c r="A716" s="398"/>
      <c r="B716" s="397"/>
      <c r="C716" s="397"/>
      <c r="D716" s="397"/>
      <c r="E716" s="397"/>
      <c r="F716" s="397"/>
      <c r="G716" s="397"/>
      <c r="H716" s="397"/>
      <c r="I716" s="397"/>
      <c r="J716" s="397"/>
      <c r="K716" s="397"/>
      <c r="L716" s="397"/>
      <c r="M716" s="399"/>
      <c r="N716" s="400"/>
      <c r="O716" s="400"/>
      <c r="P716" s="397"/>
      <c r="Q716" s="397"/>
      <c r="R716" s="397"/>
      <c r="S716" s="377"/>
      <c r="T716" s="377"/>
      <c r="U716" s="377"/>
      <c r="V716" s="377"/>
      <c r="W716" s="377"/>
      <c r="X716" s="377"/>
      <c r="Y716" s="377"/>
    </row>
    <row r="717" spans="1:25" ht="15.75">
      <c r="A717" s="398"/>
      <c r="B717" s="397"/>
      <c r="C717" s="397"/>
      <c r="D717" s="397"/>
      <c r="E717" s="397"/>
      <c r="F717" s="397"/>
      <c r="G717" s="397"/>
      <c r="H717" s="397"/>
      <c r="I717" s="397"/>
      <c r="J717" s="397"/>
      <c r="K717" s="397"/>
      <c r="L717" s="397"/>
      <c r="M717" s="399"/>
      <c r="N717" s="400"/>
      <c r="O717" s="400"/>
      <c r="P717" s="397"/>
      <c r="Q717" s="397"/>
      <c r="R717" s="397"/>
      <c r="S717" s="377"/>
      <c r="T717" s="377"/>
      <c r="U717" s="377"/>
      <c r="V717" s="377"/>
      <c r="W717" s="377"/>
      <c r="X717" s="377"/>
      <c r="Y717" s="377"/>
    </row>
    <row r="718" spans="1:25" ht="15.75">
      <c r="A718" s="398"/>
      <c r="B718" s="397"/>
      <c r="C718" s="397"/>
      <c r="D718" s="397"/>
      <c r="E718" s="397"/>
      <c r="F718" s="397"/>
      <c r="G718" s="397"/>
      <c r="H718" s="397"/>
      <c r="I718" s="397"/>
      <c r="J718" s="397"/>
      <c r="K718" s="397"/>
      <c r="L718" s="397"/>
      <c r="M718" s="399"/>
      <c r="N718" s="400"/>
      <c r="O718" s="400"/>
      <c r="P718" s="397"/>
      <c r="Q718" s="397"/>
      <c r="R718" s="397"/>
      <c r="S718" s="377"/>
      <c r="T718" s="377"/>
      <c r="U718" s="377"/>
      <c r="V718" s="377"/>
      <c r="W718" s="377"/>
      <c r="X718" s="377"/>
      <c r="Y718" s="377"/>
    </row>
    <row r="719" spans="1:25" ht="15.75">
      <c r="A719" s="398"/>
      <c r="B719" s="397"/>
      <c r="C719" s="397"/>
      <c r="D719" s="397"/>
      <c r="E719" s="397"/>
      <c r="F719" s="397"/>
      <c r="G719" s="397"/>
      <c r="H719" s="397"/>
      <c r="I719" s="397"/>
      <c r="J719" s="397"/>
      <c r="K719" s="397"/>
      <c r="L719" s="397"/>
      <c r="M719" s="399"/>
      <c r="N719" s="400"/>
      <c r="O719" s="400"/>
      <c r="P719" s="397"/>
      <c r="Q719" s="397"/>
      <c r="R719" s="397"/>
      <c r="S719" s="377"/>
      <c r="T719" s="377"/>
      <c r="U719" s="377"/>
      <c r="V719" s="377"/>
      <c r="W719" s="377"/>
      <c r="X719" s="377"/>
      <c r="Y719" s="377"/>
    </row>
    <row r="720" spans="1:25" ht="15.75">
      <c r="A720" s="398"/>
      <c r="B720" s="397"/>
      <c r="C720" s="397"/>
      <c r="D720" s="397"/>
      <c r="E720" s="397"/>
      <c r="F720" s="397"/>
      <c r="G720" s="397"/>
      <c r="H720" s="397"/>
      <c r="I720" s="397"/>
      <c r="J720" s="397"/>
      <c r="K720" s="397"/>
      <c r="L720" s="397"/>
      <c r="M720" s="399"/>
      <c r="N720" s="400"/>
      <c r="O720" s="400"/>
      <c r="P720" s="397"/>
      <c r="Q720" s="397"/>
      <c r="R720" s="397"/>
      <c r="S720" s="377"/>
      <c r="T720" s="377"/>
      <c r="U720" s="377"/>
      <c r="V720" s="377"/>
      <c r="W720" s="377"/>
      <c r="X720" s="377"/>
      <c r="Y720" s="377"/>
    </row>
    <row r="721" spans="1:25" ht="15.75">
      <c r="A721" s="398"/>
      <c r="B721" s="397"/>
      <c r="C721" s="397"/>
      <c r="D721" s="397"/>
      <c r="E721" s="397"/>
      <c r="F721" s="397"/>
      <c r="G721" s="397"/>
      <c r="H721" s="397"/>
      <c r="I721" s="397"/>
      <c r="J721" s="397"/>
      <c r="K721" s="397"/>
      <c r="L721" s="397"/>
      <c r="M721" s="399"/>
      <c r="N721" s="400"/>
      <c r="O721" s="400"/>
      <c r="P721" s="397"/>
      <c r="Q721" s="397"/>
      <c r="R721" s="397"/>
      <c r="S721" s="377"/>
      <c r="T721" s="377"/>
      <c r="U721" s="377"/>
      <c r="V721" s="377"/>
      <c r="W721" s="377"/>
      <c r="X721" s="377"/>
      <c r="Y721" s="377"/>
    </row>
    <row r="722" spans="1:25" ht="15.75">
      <c r="A722" s="398"/>
      <c r="B722" s="397"/>
      <c r="C722" s="397"/>
      <c r="D722" s="397"/>
      <c r="E722" s="397"/>
      <c r="F722" s="397"/>
      <c r="G722" s="397"/>
      <c r="H722" s="397"/>
      <c r="I722" s="397"/>
      <c r="J722" s="397"/>
      <c r="K722" s="397"/>
      <c r="L722" s="397"/>
      <c r="M722" s="399"/>
      <c r="N722" s="400"/>
      <c r="O722" s="400"/>
      <c r="P722" s="397"/>
      <c r="Q722" s="397"/>
      <c r="R722" s="397"/>
      <c r="S722" s="377"/>
      <c r="T722" s="377"/>
      <c r="U722" s="377"/>
      <c r="V722" s="377"/>
      <c r="W722" s="377"/>
      <c r="X722" s="377"/>
      <c r="Y722" s="377"/>
    </row>
    <row r="723" spans="1:25" ht="15.75">
      <c r="A723" s="398"/>
      <c r="B723" s="397"/>
      <c r="C723" s="397"/>
      <c r="D723" s="397"/>
      <c r="E723" s="397"/>
      <c r="F723" s="397"/>
      <c r="G723" s="397"/>
      <c r="H723" s="397"/>
      <c r="I723" s="397"/>
      <c r="J723" s="397"/>
      <c r="K723" s="397"/>
      <c r="L723" s="397"/>
      <c r="M723" s="399"/>
      <c r="N723" s="400"/>
      <c r="O723" s="400"/>
      <c r="P723" s="397"/>
      <c r="Q723" s="397"/>
      <c r="R723" s="397"/>
      <c r="S723" s="377"/>
      <c r="T723" s="377"/>
      <c r="U723" s="377"/>
      <c r="V723" s="377"/>
      <c r="W723" s="377"/>
      <c r="X723" s="377"/>
      <c r="Y723" s="377"/>
    </row>
    <row r="724" spans="1:25" ht="15.75">
      <c r="A724" s="398"/>
      <c r="B724" s="397"/>
      <c r="C724" s="397"/>
      <c r="D724" s="397"/>
      <c r="E724" s="397"/>
      <c r="F724" s="397"/>
      <c r="G724" s="397"/>
      <c r="H724" s="397"/>
      <c r="I724" s="397"/>
      <c r="J724" s="397"/>
      <c r="K724" s="397"/>
      <c r="L724" s="397"/>
      <c r="M724" s="399"/>
      <c r="N724" s="400"/>
      <c r="O724" s="400"/>
      <c r="P724" s="397"/>
      <c r="Q724" s="397"/>
      <c r="R724" s="397"/>
      <c r="S724" s="377"/>
      <c r="T724" s="377"/>
      <c r="U724" s="377"/>
      <c r="V724" s="377"/>
      <c r="W724" s="377"/>
      <c r="X724" s="377"/>
      <c r="Y724" s="377"/>
    </row>
    <row r="725" spans="1:25" ht="15.75">
      <c r="A725" s="398"/>
      <c r="B725" s="397"/>
      <c r="C725" s="397"/>
      <c r="D725" s="397"/>
      <c r="E725" s="397"/>
      <c r="F725" s="397"/>
      <c r="G725" s="397"/>
      <c r="H725" s="397"/>
      <c r="I725" s="397"/>
      <c r="J725" s="397"/>
      <c r="K725" s="397"/>
      <c r="L725" s="397"/>
      <c r="M725" s="399"/>
      <c r="N725" s="400"/>
      <c r="O725" s="400"/>
      <c r="P725" s="397"/>
      <c r="Q725" s="397"/>
      <c r="R725" s="397"/>
      <c r="S725" s="377"/>
      <c r="T725" s="377"/>
      <c r="U725" s="377"/>
      <c r="V725" s="377"/>
      <c r="W725" s="377"/>
      <c r="X725" s="377"/>
      <c r="Y725" s="377"/>
    </row>
    <row r="726" spans="1:25" ht="15.75">
      <c r="A726" s="398"/>
      <c r="B726" s="397"/>
      <c r="C726" s="397"/>
      <c r="D726" s="397"/>
      <c r="E726" s="397"/>
      <c r="F726" s="397"/>
      <c r="G726" s="397"/>
      <c r="H726" s="397"/>
      <c r="I726" s="397"/>
      <c r="J726" s="397"/>
      <c r="K726" s="397"/>
      <c r="L726" s="397"/>
      <c r="M726" s="399"/>
      <c r="N726" s="400"/>
      <c r="O726" s="400"/>
      <c r="P726" s="397"/>
      <c r="Q726" s="397"/>
      <c r="R726" s="397"/>
      <c r="S726" s="377"/>
      <c r="T726" s="377"/>
      <c r="U726" s="377"/>
      <c r="V726" s="377"/>
      <c r="W726" s="377"/>
      <c r="X726" s="377"/>
      <c r="Y726" s="377"/>
    </row>
    <row r="727" spans="1:25" ht="15.75">
      <c r="A727" s="398"/>
      <c r="B727" s="397"/>
      <c r="C727" s="397"/>
      <c r="D727" s="397"/>
      <c r="E727" s="397"/>
      <c r="F727" s="397"/>
      <c r="G727" s="397"/>
      <c r="H727" s="397"/>
      <c r="I727" s="397"/>
      <c r="J727" s="397"/>
      <c r="K727" s="397"/>
      <c r="L727" s="397"/>
      <c r="M727" s="399"/>
      <c r="N727" s="400"/>
      <c r="O727" s="400"/>
      <c r="P727" s="397"/>
      <c r="Q727" s="397"/>
      <c r="R727" s="397"/>
      <c r="S727" s="377"/>
      <c r="T727" s="377"/>
      <c r="U727" s="377"/>
      <c r="V727" s="377"/>
      <c r="W727" s="377"/>
      <c r="X727" s="377"/>
      <c r="Y727" s="377"/>
    </row>
    <row r="728" spans="1:25" ht="15.75">
      <c r="A728" s="398"/>
      <c r="B728" s="397"/>
      <c r="C728" s="397"/>
      <c r="D728" s="397"/>
      <c r="E728" s="397"/>
      <c r="F728" s="397"/>
      <c r="G728" s="397"/>
      <c r="H728" s="397"/>
      <c r="I728" s="397"/>
      <c r="J728" s="397"/>
      <c r="K728" s="397"/>
      <c r="L728" s="397"/>
      <c r="M728" s="399"/>
      <c r="N728" s="400"/>
      <c r="O728" s="400"/>
      <c r="P728" s="397"/>
      <c r="Q728" s="397"/>
      <c r="R728" s="397"/>
      <c r="S728" s="377"/>
      <c r="T728" s="377"/>
      <c r="U728" s="377"/>
      <c r="V728" s="377"/>
      <c r="W728" s="377"/>
      <c r="X728" s="377"/>
      <c r="Y728" s="377"/>
    </row>
    <row r="729" spans="1:25" ht="15.75">
      <c r="A729" s="398"/>
      <c r="B729" s="397"/>
      <c r="C729" s="397"/>
      <c r="D729" s="397"/>
      <c r="E729" s="397"/>
      <c r="F729" s="397"/>
      <c r="G729" s="397"/>
      <c r="H729" s="397"/>
      <c r="I729" s="397"/>
      <c r="J729" s="397"/>
      <c r="K729" s="397"/>
      <c r="L729" s="397"/>
      <c r="M729" s="399"/>
      <c r="N729" s="400"/>
      <c r="O729" s="400"/>
      <c r="P729" s="397"/>
      <c r="Q729" s="397"/>
      <c r="R729" s="397"/>
      <c r="S729" s="377"/>
      <c r="T729" s="377"/>
      <c r="U729" s="377"/>
      <c r="V729" s="377"/>
      <c r="W729" s="377"/>
      <c r="X729" s="377"/>
      <c r="Y729" s="377"/>
    </row>
    <row r="730" spans="1:25" ht="15.75">
      <c r="A730" s="398"/>
      <c r="B730" s="397"/>
      <c r="C730" s="397"/>
      <c r="D730" s="397"/>
      <c r="E730" s="397"/>
      <c r="F730" s="397"/>
      <c r="G730" s="397"/>
      <c r="H730" s="397"/>
      <c r="I730" s="397"/>
      <c r="J730" s="397"/>
      <c r="K730" s="397"/>
      <c r="L730" s="397"/>
      <c r="M730" s="399"/>
      <c r="N730" s="400"/>
      <c r="O730" s="400"/>
      <c r="P730" s="397"/>
      <c r="Q730" s="397"/>
      <c r="R730" s="397"/>
      <c r="S730" s="377"/>
      <c r="T730" s="377"/>
      <c r="U730" s="377"/>
      <c r="V730" s="377"/>
      <c r="W730" s="377"/>
      <c r="X730" s="377"/>
      <c r="Y730" s="377"/>
    </row>
    <row r="731" spans="1:25" ht="15.75">
      <c r="A731" s="398"/>
      <c r="B731" s="397"/>
      <c r="C731" s="397"/>
      <c r="D731" s="397"/>
      <c r="E731" s="397"/>
      <c r="F731" s="397"/>
      <c r="G731" s="397"/>
      <c r="H731" s="397"/>
      <c r="I731" s="397"/>
      <c r="J731" s="397"/>
      <c r="K731" s="397"/>
      <c r="L731" s="397"/>
      <c r="M731" s="399"/>
      <c r="N731" s="400"/>
      <c r="O731" s="400"/>
      <c r="P731" s="397"/>
      <c r="Q731" s="397"/>
      <c r="R731" s="397"/>
      <c r="S731" s="377"/>
      <c r="T731" s="377"/>
      <c r="U731" s="377"/>
      <c r="V731" s="377"/>
      <c r="W731" s="377"/>
      <c r="X731" s="377"/>
      <c r="Y731" s="377"/>
    </row>
    <row r="732" spans="1:25" ht="15.75">
      <c r="A732" s="398"/>
      <c r="B732" s="397"/>
      <c r="C732" s="397"/>
      <c r="D732" s="397"/>
      <c r="E732" s="397"/>
      <c r="F732" s="397"/>
      <c r="G732" s="397"/>
      <c r="H732" s="397"/>
      <c r="I732" s="397"/>
      <c r="J732" s="397"/>
      <c r="K732" s="397"/>
      <c r="L732" s="397"/>
      <c r="M732" s="399"/>
      <c r="N732" s="400"/>
      <c r="O732" s="400"/>
      <c r="P732" s="397"/>
      <c r="Q732" s="397"/>
      <c r="R732" s="397"/>
      <c r="S732" s="377"/>
      <c r="T732" s="377"/>
      <c r="U732" s="377"/>
      <c r="V732" s="377"/>
      <c r="W732" s="377"/>
      <c r="X732" s="377"/>
      <c r="Y732" s="377"/>
    </row>
    <row r="733" spans="1:25" ht="15.75">
      <c r="A733" s="398"/>
      <c r="B733" s="397"/>
      <c r="C733" s="397"/>
      <c r="D733" s="397"/>
      <c r="E733" s="397"/>
      <c r="F733" s="397"/>
      <c r="G733" s="397"/>
      <c r="H733" s="397"/>
      <c r="I733" s="397"/>
      <c r="J733" s="397"/>
      <c r="K733" s="397"/>
      <c r="L733" s="397"/>
      <c r="M733" s="399"/>
      <c r="N733" s="400"/>
      <c r="O733" s="400"/>
      <c r="P733" s="397"/>
      <c r="Q733" s="397"/>
      <c r="R733" s="397"/>
      <c r="S733" s="377"/>
      <c r="T733" s="377"/>
      <c r="U733" s="377"/>
      <c r="V733" s="377"/>
      <c r="W733" s="377"/>
      <c r="X733" s="377"/>
      <c r="Y733" s="377"/>
    </row>
    <row r="734" spans="1:25" ht="15.75">
      <c r="A734" s="398"/>
      <c r="B734" s="397"/>
      <c r="C734" s="397"/>
      <c r="D734" s="397"/>
      <c r="E734" s="397"/>
      <c r="F734" s="397"/>
      <c r="G734" s="397"/>
      <c r="H734" s="397"/>
      <c r="I734" s="397"/>
      <c r="J734" s="397"/>
      <c r="K734" s="397"/>
      <c r="L734" s="397"/>
      <c r="M734" s="399"/>
      <c r="N734" s="400"/>
      <c r="O734" s="400"/>
      <c r="P734" s="397"/>
      <c r="Q734" s="397"/>
      <c r="R734" s="397"/>
      <c r="S734" s="377"/>
      <c r="T734" s="377"/>
      <c r="U734" s="377"/>
      <c r="V734" s="377"/>
      <c r="W734" s="377"/>
      <c r="X734" s="377"/>
      <c r="Y734" s="377"/>
    </row>
    <row r="735" spans="1:25" ht="15.75">
      <c r="A735" s="398"/>
      <c r="B735" s="397"/>
      <c r="C735" s="397"/>
      <c r="D735" s="397"/>
      <c r="E735" s="397"/>
      <c r="F735" s="397"/>
      <c r="G735" s="397"/>
      <c r="H735" s="397"/>
      <c r="I735" s="397"/>
      <c r="J735" s="397"/>
      <c r="K735" s="397"/>
      <c r="L735" s="397"/>
      <c r="M735" s="399"/>
      <c r="N735" s="400"/>
      <c r="O735" s="400"/>
      <c r="P735" s="397"/>
      <c r="Q735" s="397"/>
      <c r="R735" s="397"/>
      <c r="S735" s="377"/>
      <c r="T735" s="377"/>
      <c r="U735" s="377"/>
      <c r="V735" s="377"/>
      <c r="W735" s="377"/>
      <c r="X735" s="377"/>
      <c r="Y735" s="377"/>
    </row>
    <row r="736" spans="1:25" ht="15.75">
      <c r="A736" s="398"/>
      <c r="B736" s="397"/>
      <c r="C736" s="397"/>
      <c r="D736" s="397"/>
      <c r="E736" s="397"/>
      <c r="F736" s="397"/>
      <c r="G736" s="397"/>
      <c r="H736" s="397"/>
      <c r="I736" s="397"/>
      <c r="J736" s="397"/>
      <c r="K736" s="397"/>
      <c r="L736" s="397"/>
      <c r="M736" s="399"/>
      <c r="N736" s="400"/>
      <c r="O736" s="400"/>
      <c r="P736" s="397"/>
      <c r="Q736" s="397"/>
      <c r="R736" s="397"/>
      <c r="S736" s="377"/>
      <c r="T736" s="377"/>
      <c r="U736" s="377"/>
      <c r="V736" s="377"/>
      <c r="W736" s="377"/>
      <c r="X736" s="377"/>
      <c r="Y736" s="377"/>
    </row>
    <row r="737" spans="1:25" ht="15.75">
      <c r="A737" s="398"/>
      <c r="B737" s="397"/>
      <c r="C737" s="397"/>
      <c r="D737" s="397"/>
      <c r="E737" s="397"/>
      <c r="F737" s="397"/>
      <c r="G737" s="397"/>
      <c r="H737" s="397"/>
      <c r="I737" s="397"/>
      <c r="J737" s="397"/>
      <c r="K737" s="397"/>
      <c r="L737" s="397"/>
      <c r="M737" s="399"/>
      <c r="N737" s="400"/>
      <c r="O737" s="400"/>
      <c r="P737" s="397"/>
      <c r="Q737" s="397"/>
      <c r="R737" s="397"/>
      <c r="S737" s="377"/>
      <c r="T737" s="377"/>
      <c r="U737" s="377"/>
      <c r="V737" s="377"/>
      <c r="W737" s="377"/>
      <c r="X737" s="377"/>
      <c r="Y737" s="377"/>
    </row>
    <row r="738" spans="1:25" ht="15.75">
      <c r="A738" s="398"/>
      <c r="B738" s="397"/>
      <c r="C738" s="397"/>
      <c r="D738" s="397"/>
      <c r="E738" s="397"/>
      <c r="F738" s="397"/>
      <c r="G738" s="397"/>
      <c r="H738" s="397"/>
      <c r="I738" s="397"/>
      <c r="J738" s="397"/>
      <c r="K738" s="397"/>
      <c r="L738" s="397"/>
      <c r="M738" s="399"/>
      <c r="N738" s="400"/>
      <c r="O738" s="400"/>
      <c r="P738" s="397"/>
      <c r="Q738" s="397"/>
      <c r="R738" s="397"/>
      <c r="S738" s="377"/>
      <c r="T738" s="377"/>
      <c r="U738" s="377"/>
      <c r="V738" s="377"/>
      <c r="W738" s="377"/>
      <c r="X738" s="377"/>
      <c r="Y738" s="377"/>
    </row>
    <row r="739" spans="1:25" ht="15.75">
      <c r="A739" s="398"/>
      <c r="B739" s="397"/>
      <c r="C739" s="397"/>
      <c r="D739" s="397"/>
      <c r="E739" s="397"/>
      <c r="F739" s="397"/>
      <c r="G739" s="397"/>
      <c r="H739" s="397"/>
      <c r="I739" s="397"/>
      <c r="J739" s="397"/>
      <c r="K739" s="397"/>
      <c r="L739" s="397"/>
      <c r="M739" s="399"/>
      <c r="N739" s="400"/>
      <c r="O739" s="400"/>
      <c r="P739" s="397"/>
      <c r="Q739" s="397"/>
      <c r="R739" s="397"/>
      <c r="S739" s="377"/>
      <c r="T739" s="377"/>
      <c r="U739" s="377"/>
      <c r="V739" s="377"/>
      <c r="W739" s="377"/>
      <c r="X739" s="377"/>
      <c r="Y739" s="377"/>
    </row>
    <row r="740" spans="1:25" ht="15.75">
      <c r="A740" s="398"/>
      <c r="B740" s="397"/>
      <c r="C740" s="397"/>
      <c r="D740" s="397"/>
      <c r="E740" s="397"/>
      <c r="F740" s="397"/>
      <c r="G740" s="397"/>
      <c r="H740" s="397"/>
      <c r="I740" s="397"/>
      <c r="J740" s="397"/>
      <c r="K740" s="397"/>
      <c r="L740" s="397"/>
      <c r="M740" s="399"/>
      <c r="N740" s="400"/>
      <c r="O740" s="400"/>
      <c r="P740" s="397"/>
      <c r="Q740" s="397"/>
      <c r="R740" s="397"/>
      <c r="S740" s="377"/>
      <c r="T740" s="377"/>
      <c r="U740" s="377"/>
      <c r="V740" s="377"/>
      <c r="W740" s="377"/>
      <c r="X740" s="377"/>
      <c r="Y740" s="377"/>
    </row>
    <row r="741" spans="1:25" ht="15.75">
      <c r="A741" s="398"/>
      <c r="B741" s="397"/>
      <c r="C741" s="397"/>
      <c r="D741" s="397"/>
      <c r="E741" s="397"/>
      <c r="F741" s="397"/>
      <c r="G741" s="397"/>
      <c r="H741" s="397"/>
      <c r="I741" s="397"/>
      <c r="J741" s="397"/>
      <c r="K741" s="397"/>
      <c r="L741" s="397"/>
      <c r="M741" s="399"/>
      <c r="N741" s="400"/>
      <c r="O741" s="400"/>
      <c r="P741" s="397"/>
      <c r="Q741" s="397"/>
      <c r="R741" s="397"/>
      <c r="S741" s="377"/>
      <c r="T741" s="377"/>
      <c r="U741" s="377"/>
      <c r="V741" s="377"/>
      <c r="W741" s="377"/>
      <c r="X741" s="377"/>
      <c r="Y741" s="377"/>
    </row>
    <row r="742" spans="1:25" ht="15.75">
      <c r="A742" s="398"/>
      <c r="B742" s="397"/>
      <c r="C742" s="397"/>
      <c r="D742" s="397"/>
      <c r="E742" s="397"/>
      <c r="F742" s="397"/>
      <c r="G742" s="397"/>
      <c r="H742" s="397"/>
      <c r="I742" s="397"/>
      <c r="J742" s="397"/>
      <c r="K742" s="397"/>
      <c r="L742" s="397"/>
      <c r="M742" s="399"/>
      <c r="N742" s="400"/>
      <c r="O742" s="400"/>
      <c r="P742" s="397"/>
      <c r="Q742" s="397"/>
      <c r="R742" s="397"/>
      <c r="S742" s="377"/>
      <c r="T742" s="377"/>
      <c r="U742" s="377"/>
      <c r="V742" s="377"/>
      <c r="W742" s="377"/>
      <c r="X742" s="377"/>
      <c r="Y742" s="377"/>
    </row>
    <row r="743" spans="1:25" ht="15.75">
      <c r="A743" s="398"/>
      <c r="B743" s="397"/>
      <c r="C743" s="397"/>
      <c r="D743" s="397"/>
      <c r="E743" s="397"/>
      <c r="F743" s="397"/>
      <c r="G743" s="397"/>
      <c r="H743" s="397"/>
      <c r="I743" s="397"/>
      <c r="J743" s="397"/>
      <c r="K743" s="397"/>
      <c r="L743" s="397"/>
      <c r="M743" s="399"/>
      <c r="N743" s="400"/>
      <c r="O743" s="400"/>
      <c r="P743" s="397"/>
      <c r="Q743" s="397"/>
      <c r="R743" s="397"/>
      <c r="S743" s="377"/>
      <c r="T743" s="377"/>
      <c r="U743" s="377"/>
      <c r="V743" s="377"/>
      <c r="W743" s="377"/>
      <c r="X743" s="377"/>
      <c r="Y743" s="377"/>
    </row>
    <row r="744" spans="1:25" ht="15.75">
      <c r="A744" s="398"/>
      <c r="B744" s="397"/>
      <c r="C744" s="397"/>
      <c r="D744" s="397"/>
      <c r="E744" s="397"/>
      <c r="F744" s="397"/>
      <c r="G744" s="397"/>
      <c r="H744" s="397"/>
      <c r="I744" s="397"/>
      <c r="J744" s="397"/>
      <c r="K744" s="397"/>
      <c r="L744" s="397"/>
      <c r="M744" s="399"/>
      <c r="N744" s="400"/>
      <c r="O744" s="400"/>
      <c r="P744" s="397"/>
      <c r="Q744" s="397"/>
      <c r="R744" s="397"/>
      <c r="S744" s="377"/>
      <c r="T744" s="377"/>
      <c r="U744" s="377"/>
      <c r="V744" s="377"/>
      <c r="W744" s="377"/>
      <c r="X744" s="377"/>
      <c r="Y744" s="377"/>
    </row>
    <row r="745" spans="1:25" ht="15.75">
      <c r="A745" s="398"/>
      <c r="B745" s="397"/>
      <c r="C745" s="397"/>
      <c r="D745" s="397"/>
      <c r="E745" s="397"/>
      <c r="F745" s="397"/>
      <c r="G745" s="397"/>
      <c r="H745" s="397"/>
      <c r="I745" s="397"/>
      <c r="J745" s="397"/>
      <c r="K745" s="397"/>
      <c r="L745" s="397"/>
      <c r="M745" s="399"/>
      <c r="N745" s="400"/>
      <c r="O745" s="400"/>
      <c r="P745" s="397"/>
      <c r="Q745" s="397"/>
      <c r="R745" s="397"/>
      <c r="S745" s="377"/>
      <c r="T745" s="377"/>
      <c r="U745" s="377"/>
      <c r="V745" s="377"/>
      <c r="W745" s="377"/>
      <c r="X745" s="377"/>
      <c r="Y745" s="377"/>
    </row>
    <row r="746" spans="1:25" ht="15.75">
      <c r="A746" s="398"/>
      <c r="B746" s="397"/>
      <c r="C746" s="397"/>
      <c r="D746" s="397"/>
      <c r="E746" s="397"/>
      <c r="F746" s="397"/>
      <c r="G746" s="397"/>
      <c r="H746" s="397"/>
      <c r="I746" s="397"/>
      <c r="J746" s="397"/>
      <c r="K746" s="397"/>
      <c r="L746" s="397"/>
      <c r="M746" s="399"/>
      <c r="N746" s="400"/>
      <c r="O746" s="400"/>
      <c r="P746" s="397"/>
      <c r="Q746" s="397"/>
      <c r="R746" s="397"/>
      <c r="S746" s="377"/>
      <c r="T746" s="377"/>
      <c r="U746" s="377"/>
      <c r="V746" s="377"/>
      <c r="W746" s="377"/>
      <c r="X746" s="377"/>
      <c r="Y746" s="377"/>
    </row>
    <row r="747" spans="1:25" ht="15.75">
      <c r="A747" s="398"/>
      <c r="B747" s="397"/>
      <c r="C747" s="397"/>
      <c r="D747" s="397"/>
      <c r="E747" s="397"/>
      <c r="F747" s="397"/>
      <c r="G747" s="397"/>
      <c r="H747" s="397"/>
      <c r="I747" s="397"/>
      <c r="J747" s="397"/>
      <c r="K747" s="397"/>
      <c r="L747" s="397"/>
      <c r="M747" s="399"/>
      <c r="N747" s="400"/>
      <c r="O747" s="400"/>
      <c r="P747" s="397"/>
      <c r="Q747" s="397"/>
      <c r="R747" s="397"/>
      <c r="S747" s="377"/>
      <c r="T747" s="377"/>
      <c r="U747" s="377"/>
      <c r="V747" s="377"/>
      <c r="W747" s="377"/>
      <c r="X747" s="377"/>
      <c r="Y747" s="377"/>
    </row>
    <row r="748" spans="1:25" ht="15.75">
      <c r="A748" s="398"/>
      <c r="B748" s="397"/>
      <c r="C748" s="397"/>
      <c r="D748" s="397"/>
      <c r="E748" s="397"/>
      <c r="F748" s="397"/>
      <c r="G748" s="397"/>
      <c r="H748" s="397"/>
      <c r="I748" s="397"/>
      <c r="J748" s="397"/>
      <c r="K748" s="397"/>
      <c r="L748" s="397"/>
      <c r="M748" s="399"/>
      <c r="N748" s="400"/>
      <c r="O748" s="400"/>
      <c r="P748" s="397"/>
      <c r="Q748" s="397"/>
      <c r="R748" s="397"/>
      <c r="S748" s="377"/>
      <c r="T748" s="377"/>
      <c r="U748" s="377"/>
      <c r="V748" s="377"/>
      <c r="W748" s="377"/>
      <c r="X748" s="377"/>
      <c r="Y748" s="377"/>
    </row>
    <row r="749" spans="1:25" ht="15.75">
      <c r="A749" s="398"/>
      <c r="B749" s="397"/>
      <c r="C749" s="397"/>
      <c r="D749" s="397"/>
      <c r="E749" s="397"/>
      <c r="F749" s="397"/>
      <c r="G749" s="397"/>
      <c r="H749" s="397"/>
      <c r="I749" s="397"/>
      <c r="J749" s="397"/>
      <c r="K749" s="397"/>
      <c r="L749" s="397"/>
      <c r="M749" s="399"/>
      <c r="N749" s="400"/>
      <c r="O749" s="400"/>
      <c r="P749" s="397"/>
      <c r="Q749" s="397"/>
      <c r="R749" s="397"/>
      <c r="S749" s="377"/>
      <c r="T749" s="377"/>
      <c r="U749" s="377"/>
      <c r="V749" s="377"/>
      <c r="W749" s="377"/>
      <c r="X749" s="377"/>
      <c r="Y749" s="377"/>
    </row>
    <row r="750" spans="1:25" ht="15.75">
      <c r="A750" s="398"/>
      <c r="B750" s="397"/>
      <c r="C750" s="397"/>
      <c r="D750" s="397"/>
      <c r="E750" s="397"/>
      <c r="F750" s="397"/>
      <c r="G750" s="397"/>
      <c r="H750" s="397"/>
      <c r="I750" s="397"/>
      <c r="J750" s="397"/>
      <c r="K750" s="397"/>
      <c r="L750" s="397"/>
      <c r="M750" s="399"/>
      <c r="N750" s="400"/>
      <c r="O750" s="400"/>
      <c r="P750" s="397"/>
      <c r="Q750" s="397"/>
      <c r="R750" s="397"/>
      <c r="S750" s="377"/>
      <c r="T750" s="377"/>
      <c r="U750" s="377"/>
      <c r="V750" s="377"/>
      <c r="W750" s="377"/>
      <c r="X750" s="377"/>
      <c r="Y750" s="377"/>
    </row>
    <row r="751" spans="1:25" ht="15.75">
      <c r="A751" s="398"/>
      <c r="B751" s="397"/>
      <c r="C751" s="397"/>
      <c r="D751" s="397"/>
      <c r="E751" s="397"/>
      <c r="F751" s="397"/>
      <c r="G751" s="397"/>
      <c r="H751" s="397"/>
      <c r="I751" s="397"/>
      <c r="J751" s="397"/>
      <c r="K751" s="397"/>
      <c r="L751" s="397"/>
      <c r="M751" s="399"/>
      <c r="N751" s="400"/>
      <c r="O751" s="400"/>
      <c r="P751" s="397"/>
      <c r="Q751" s="397"/>
      <c r="R751" s="397"/>
      <c r="S751" s="377"/>
      <c r="T751" s="377"/>
      <c r="U751" s="377"/>
      <c r="V751" s="377"/>
      <c r="W751" s="377"/>
      <c r="X751" s="377"/>
      <c r="Y751" s="377"/>
    </row>
    <row r="752" spans="1:25" ht="15.75">
      <c r="A752" s="398"/>
      <c r="B752" s="397"/>
      <c r="C752" s="397"/>
      <c r="D752" s="397"/>
      <c r="E752" s="397"/>
      <c r="F752" s="397"/>
      <c r="G752" s="397"/>
      <c r="H752" s="397"/>
      <c r="I752" s="397"/>
      <c r="J752" s="397"/>
      <c r="K752" s="397"/>
      <c r="L752" s="397"/>
      <c r="M752" s="399"/>
      <c r="N752" s="400"/>
      <c r="O752" s="400"/>
      <c r="P752" s="397"/>
      <c r="Q752" s="397"/>
      <c r="R752" s="397"/>
      <c r="S752" s="377"/>
      <c r="T752" s="377"/>
      <c r="U752" s="377"/>
      <c r="V752" s="377"/>
      <c r="W752" s="377"/>
      <c r="X752" s="377"/>
      <c r="Y752" s="377"/>
    </row>
    <row r="753" spans="1:25" ht="15.75">
      <c r="A753" s="398"/>
      <c r="B753" s="397"/>
      <c r="C753" s="397"/>
      <c r="D753" s="397"/>
      <c r="E753" s="397"/>
      <c r="F753" s="397"/>
      <c r="G753" s="397"/>
      <c r="H753" s="397"/>
      <c r="I753" s="397"/>
      <c r="J753" s="397"/>
      <c r="K753" s="397"/>
      <c r="L753" s="397"/>
      <c r="M753" s="399"/>
      <c r="N753" s="400"/>
      <c r="O753" s="400"/>
      <c r="P753" s="397"/>
      <c r="Q753" s="397"/>
      <c r="R753" s="397"/>
      <c r="S753" s="377"/>
      <c r="T753" s="377"/>
      <c r="U753" s="377"/>
      <c r="V753" s="377"/>
      <c r="W753" s="377"/>
      <c r="X753" s="377"/>
      <c r="Y753" s="377"/>
    </row>
    <row r="754" spans="1:25" ht="15.75">
      <c r="A754" s="398"/>
      <c r="B754" s="397"/>
      <c r="C754" s="397"/>
      <c r="D754" s="397"/>
      <c r="E754" s="397"/>
      <c r="F754" s="397"/>
      <c r="G754" s="397"/>
      <c r="H754" s="397"/>
      <c r="I754" s="397"/>
      <c r="J754" s="397"/>
      <c r="K754" s="397"/>
      <c r="L754" s="397"/>
      <c r="M754" s="399"/>
      <c r="N754" s="400"/>
      <c r="O754" s="400"/>
      <c r="P754" s="397"/>
      <c r="Q754" s="397"/>
      <c r="R754" s="397"/>
      <c r="S754" s="377"/>
      <c r="T754" s="377"/>
      <c r="U754" s="377"/>
      <c r="V754" s="377"/>
      <c r="W754" s="377"/>
      <c r="X754" s="377"/>
      <c r="Y754" s="377"/>
    </row>
    <row r="755" spans="1:25" ht="15.75">
      <c r="A755" s="398"/>
      <c r="B755" s="397"/>
      <c r="C755" s="397"/>
      <c r="D755" s="397"/>
      <c r="E755" s="397"/>
      <c r="F755" s="397"/>
      <c r="G755" s="397"/>
      <c r="H755" s="397"/>
      <c r="I755" s="397"/>
      <c r="J755" s="397"/>
      <c r="K755" s="397"/>
      <c r="L755" s="397"/>
      <c r="M755" s="399"/>
      <c r="N755" s="400"/>
      <c r="O755" s="400"/>
      <c r="P755" s="397"/>
      <c r="Q755" s="397"/>
      <c r="R755" s="397"/>
      <c r="S755" s="377"/>
      <c r="T755" s="377"/>
      <c r="U755" s="377"/>
      <c r="V755" s="377"/>
      <c r="W755" s="377"/>
      <c r="X755" s="377"/>
      <c r="Y755" s="377"/>
    </row>
    <row r="756" spans="1:25" ht="15.75">
      <c r="A756" s="398"/>
      <c r="B756" s="397"/>
      <c r="C756" s="397"/>
      <c r="D756" s="397"/>
      <c r="E756" s="397"/>
      <c r="F756" s="397"/>
      <c r="G756" s="397"/>
      <c r="H756" s="397"/>
      <c r="I756" s="397"/>
      <c r="J756" s="397"/>
      <c r="K756" s="397"/>
      <c r="L756" s="397"/>
      <c r="M756" s="399"/>
      <c r="N756" s="400"/>
      <c r="O756" s="400"/>
      <c r="P756" s="397"/>
      <c r="Q756" s="397"/>
      <c r="R756" s="397"/>
      <c r="S756" s="377"/>
      <c r="T756" s="377"/>
      <c r="U756" s="377"/>
      <c r="V756" s="377"/>
      <c r="W756" s="377"/>
      <c r="X756" s="377"/>
      <c r="Y756" s="377"/>
    </row>
    <row r="757" spans="1:25" ht="15.75">
      <c r="A757" s="398"/>
      <c r="B757" s="397"/>
      <c r="C757" s="397"/>
      <c r="D757" s="397"/>
      <c r="E757" s="397"/>
      <c r="F757" s="397"/>
      <c r="G757" s="397"/>
      <c r="H757" s="397"/>
      <c r="I757" s="397"/>
      <c r="J757" s="397"/>
      <c r="K757" s="397"/>
      <c r="L757" s="397"/>
      <c r="M757" s="399"/>
      <c r="N757" s="400"/>
      <c r="O757" s="400"/>
      <c r="P757" s="397"/>
      <c r="Q757" s="397"/>
      <c r="R757" s="397"/>
      <c r="S757" s="377"/>
      <c r="T757" s="377"/>
      <c r="U757" s="377"/>
      <c r="V757" s="377"/>
      <c r="W757" s="377"/>
      <c r="X757" s="377"/>
      <c r="Y757" s="377"/>
    </row>
    <row r="758" spans="1:25" ht="15.75">
      <c r="A758" s="398"/>
      <c r="B758" s="397"/>
      <c r="C758" s="397"/>
      <c r="D758" s="397"/>
      <c r="E758" s="397"/>
      <c r="F758" s="397"/>
      <c r="G758" s="397"/>
      <c r="H758" s="397"/>
      <c r="I758" s="397"/>
      <c r="J758" s="397"/>
      <c r="K758" s="397"/>
      <c r="L758" s="397"/>
      <c r="M758" s="399"/>
      <c r="N758" s="400"/>
      <c r="O758" s="400"/>
      <c r="P758" s="397"/>
      <c r="Q758" s="397"/>
      <c r="R758" s="397"/>
      <c r="S758" s="377"/>
      <c r="T758" s="377"/>
      <c r="U758" s="377"/>
      <c r="V758" s="377"/>
      <c r="W758" s="377"/>
      <c r="X758" s="377"/>
      <c r="Y758" s="377"/>
    </row>
    <row r="759" spans="1:25" ht="15.75">
      <c r="A759" s="398"/>
      <c r="B759" s="397"/>
      <c r="C759" s="397"/>
      <c r="D759" s="397"/>
      <c r="E759" s="397"/>
      <c r="F759" s="397"/>
      <c r="G759" s="397"/>
      <c r="H759" s="397"/>
      <c r="I759" s="397"/>
      <c r="J759" s="397"/>
      <c r="K759" s="397"/>
      <c r="L759" s="397"/>
      <c r="M759" s="399"/>
      <c r="N759" s="400"/>
      <c r="O759" s="400"/>
      <c r="P759" s="397"/>
      <c r="Q759" s="397"/>
      <c r="R759" s="397"/>
      <c r="S759" s="377"/>
      <c r="T759" s="377"/>
      <c r="U759" s="377"/>
      <c r="V759" s="377"/>
      <c r="W759" s="377"/>
      <c r="X759" s="377"/>
      <c r="Y759" s="377"/>
    </row>
    <row r="760" spans="1:25" ht="15.75">
      <c r="A760" s="398"/>
      <c r="B760" s="397"/>
      <c r="C760" s="397"/>
      <c r="D760" s="397"/>
      <c r="E760" s="397"/>
      <c r="F760" s="397"/>
      <c r="G760" s="397"/>
      <c r="H760" s="397"/>
      <c r="I760" s="397"/>
      <c r="J760" s="397"/>
      <c r="K760" s="397"/>
      <c r="L760" s="397"/>
      <c r="M760" s="399"/>
      <c r="N760" s="400"/>
      <c r="O760" s="400"/>
      <c r="P760" s="397"/>
      <c r="Q760" s="397"/>
      <c r="R760" s="397"/>
      <c r="S760" s="377"/>
      <c r="T760" s="377"/>
      <c r="U760" s="377"/>
      <c r="V760" s="377"/>
      <c r="W760" s="377"/>
      <c r="X760" s="377"/>
      <c r="Y760" s="377"/>
    </row>
    <row r="761" spans="1:25" ht="15.75">
      <c r="A761" s="398"/>
      <c r="B761" s="397"/>
      <c r="C761" s="397"/>
      <c r="D761" s="397"/>
      <c r="E761" s="397"/>
      <c r="F761" s="397"/>
      <c r="G761" s="397"/>
      <c r="H761" s="397"/>
      <c r="I761" s="397"/>
      <c r="J761" s="397"/>
      <c r="K761" s="397"/>
      <c r="L761" s="397"/>
      <c r="M761" s="399"/>
      <c r="N761" s="400"/>
      <c r="O761" s="400"/>
      <c r="P761" s="397"/>
      <c r="Q761" s="397"/>
      <c r="R761" s="397"/>
      <c r="S761" s="377"/>
      <c r="T761" s="377"/>
      <c r="U761" s="377"/>
      <c r="V761" s="377"/>
      <c r="W761" s="377"/>
      <c r="X761" s="377"/>
      <c r="Y761" s="377"/>
    </row>
    <row r="762" spans="1:25" ht="15.75">
      <c r="A762" s="398"/>
      <c r="B762" s="397"/>
      <c r="C762" s="397"/>
      <c r="D762" s="397"/>
      <c r="E762" s="397"/>
      <c r="F762" s="397"/>
      <c r="G762" s="397"/>
      <c r="H762" s="397"/>
      <c r="I762" s="397"/>
      <c r="J762" s="397"/>
      <c r="K762" s="397"/>
      <c r="L762" s="397"/>
      <c r="M762" s="399"/>
      <c r="N762" s="400"/>
      <c r="O762" s="400"/>
      <c r="P762" s="397"/>
      <c r="Q762" s="397"/>
      <c r="R762" s="397"/>
      <c r="S762" s="377"/>
      <c r="T762" s="377"/>
      <c r="U762" s="377"/>
      <c r="V762" s="377"/>
      <c r="W762" s="377"/>
      <c r="X762" s="377"/>
      <c r="Y762" s="377"/>
    </row>
    <row r="763" spans="1:25" ht="15.75">
      <c r="A763" s="398"/>
      <c r="B763" s="397"/>
      <c r="C763" s="397"/>
      <c r="D763" s="397"/>
      <c r="E763" s="397"/>
      <c r="F763" s="397"/>
      <c r="G763" s="397"/>
      <c r="H763" s="397"/>
      <c r="I763" s="397"/>
      <c r="J763" s="397"/>
      <c r="K763" s="397"/>
      <c r="L763" s="397"/>
      <c r="M763" s="399"/>
      <c r="N763" s="400"/>
      <c r="O763" s="400"/>
      <c r="P763" s="397"/>
      <c r="Q763" s="397"/>
      <c r="R763" s="397"/>
      <c r="S763" s="377"/>
      <c r="T763" s="377"/>
      <c r="U763" s="377"/>
      <c r="V763" s="377"/>
      <c r="W763" s="377"/>
      <c r="X763" s="377"/>
      <c r="Y763" s="377"/>
    </row>
    <row r="764" spans="1:25" ht="15.75">
      <c r="A764" s="398"/>
      <c r="B764" s="397"/>
      <c r="C764" s="397"/>
      <c r="D764" s="397"/>
      <c r="E764" s="397"/>
      <c r="F764" s="397"/>
      <c r="G764" s="397"/>
      <c r="H764" s="397"/>
      <c r="I764" s="397"/>
      <c r="J764" s="397"/>
      <c r="K764" s="397"/>
      <c r="L764" s="397"/>
      <c r="M764" s="399"/>
      <c r="N764" s="400"/>
      <c r="O764" s="400"/>
      <c r="P764" s="397"/>
      <c r="Q764" s="397"/>
      <c r="R764" s="397"/>
      <c r="S764" s="377"/>
      <c r="T764" s="377"/>
      <c r="U764" s="377"/>
      <c r="V764" s="377"/>
      <c r="W764" s="377"/>
      <c r="X764" s="377"/>
      <c r="Y764" s="377"/>
    </row>
    <row r="765" spans="1:25" ht="15.75">
      <c r="A765" s="398"/>
      <c r="B765" s="397"/>
      <c r="C765" s="397"/>
      <c r="D765" s="397"/>
      <c r="E765" s="397"/>
      <c r="F765" s="397"/>
      <c r="G765" s="397"/>
      <c r="H765" s="397"/>
      <c r="I765" s="397"/>
      <c r="J765" s="397"/>
      <c r="K765" s="397"/>
      <c r="L765" s="397"/>
      <c r="M765" s="399"/>
      <c r="N765" s="400"/>
      <c r="O765" s="400"/>
      <c r="P765" s="397"/>
      <c r="Q765" s="397"/>
      <c r="R765" s="397"/>
      <c r="S765" s="377"/>
      <c r="T765" s="377"/>
      <c r="U765" s="377"/>
      <c r="V765" s="377"/>
      <c r="W765" s="377"/>
      <c r="X765" s="377"/>
      <c r="Y765" s="377"/>
    </row>
    <row r="766" spans="1:25" ht="15.75">
      <c r="A766" s="398"/>
      <c r="B766" s="397"/>
      <c r="C766" s="397"/>
      <c r="D766" s="397"/>
      <c r="E766" s="397"/>
      <c r="F766" s="397"/>
      <c r="G766" s="397"/>
      <c r="H766" s="397"/>
      <c r="I766" s="397"/>
      <c r="J766" s="397"/>
      <c r="K766" s="397"/>
      <c r="L766" s="397"/>
      <c r="M766" s="399"/>
      <c r="N766" s="400"/>
      <c r="O766" s="400"/>
      <c r="P766" s="397"/>
      <c r="Q766" s="397"/>
      <c r="R766" s="397"/>
      <c r="S766" s="377"/>
      <c r="T766" s="377"/>
      <c r="U766" s="377"/>
      <c r="V766" s="377"/>
      <c r="W766" s="377"/>
      <c r="X766" s="377"/>
      <c r="Y766" s="377"/>
    </row>
    <row r="767" spans="1:25" ht="15.75">
      <c r="A767" s="398"/>
      <c r="B767" s="397"/>
      <c r="C767" s="397"/>
      <c r="D767" s="397"/>
      <c r="E767" s="397"/>
      <c r="F767" s="397"/>
      <c r="G767" s="397"/>
      <c r="H767" s="397"/>
      <c r="I767" s="397"/>
      <c r="J767" s="397"/>
      <c r="K767" s="397"/>
      <c r="L767" s="397"/>
      <c r="M767" s="399"/>
      <c r="N767" s="400"/>
      <c r="O767" s="400"/>
      <c r="P767" s="397"/>
      <c r="Q767" s="397"/>
      <c r="R767" s="397"/>
      <c r="S767" s="377"/>
      <c r="T767" s="377"/>
      <c r="U767" s="377"/>
      <c r="V767" s="377"/>
      <c r="W767" s="377"/>
      <c r="X767" s="377"/>
      <c r="Y767" s="377"/>
    </row>
    <row r="768" spans="1:25" ht="15.75">
      <c r="A768" s="398"/>
      <c r="B768" s="397"/>
      <c r="C768" s="397"/>
      <c r="D768" s="397"/>
      <c r="E768" s="397"/>
      <c r="F768" s="397"/>
      <c r="G768" s="397"/>
      <c r="H768" s="397"/>
      <c r="I768" s="397"/>
      <c r="J768" s="397"/>
      <c r="K768" s="397"/>
      <c r="L768" s="397"/>
      <c r="M768" s="399"/>
      <c r="N768" s="400"/>
      <c r="O768" s="400"/>
      <c r="P768" s="397"/>
      <c r="Q768" s="397"/>
      <c r="R768" s="397"/>
      <c r="S768" s="377"/>
      <c r="T768" s="377"/>
      <c r="U768" s="377"/>
      <c r="V768" s="377"/>
      <c r="W768" s="377"/>
      <c r="X768" s="377"/>
      <c r="Y768" s="377"/>
    </row>
    <row r="769" spans="1:25" ht="15.75">
      <c r="A769" s="398"/>
      <c r="B769" s="397"/>
      <c r="C769" s="397"/>
      <c r="D769" s="397"/>
      <c r="E769" s="397"/>
      <c r="F769" s="397"/>
      <c r="G769" s="397"/>
      <c r="H769" s="397"/>
      <c r="I769" s="397"/>
      <c r="J769" s="397"/>
      <c r="K769" s="397"/>
      <c r="L769" s="397"/>
      <c r="M769" s="399"/>
      <c r="N769" s="400"/>
      <c r="O769" s="400"/>
      <c r="P769" s="397"/>
      <c r="Q769" s="397"/>
      <c r="R769" s="397"/>
      <c r="S769" s="377"/>
      <c r="T769" s="377"/>
      <c r="U769" s="377"/>
      <c r="V769" s="377"/>
      <c r="W769" s="377"/>
      <c r="X769" s="377"/>
      <c r="Y769" s="377"/>
    </row>
    <row r="770" spans="1:25" ht="15.75">
      <c r="A770" s="398"/>
      <c r="B770" s="397"/>
      <c r="C770" s="397"/>
      <c r="D770" s="397"/>
      <c r="E770" s="397"/>
      <c r="F770" s="397"/>
      <c r="G770" s="397"/>
      <c r="H770" s="397"/>
      <c r="I770" s="397"/>
      <c r="J770" s="397"/>
      <c r="K770" s="397"/>
      <c r="L770" s="397"/>
      <c r="M770" s="399"/>
      <c r="N770" s="400"/>
      <c r="O770" s="400"/>
      <c r="P770" s="397"/>
      <c r="Q770" s="397"/>
      <c r="R770" s="397"/>
      <c r="S770" s="377"/>
      <c r="T770" s="377"/>
      <c r="U770" s="377"/>
      <c r="V770" s="377"/>
      <c r="W770" s="377"/>
      <c r="X770" s="377"/>
      <c r="Y770" s="377"/>
    </row>
    <row r="771" spans="1:25" ht="15.75">
      <c r="A771" s="398"/>
      <c r="B771" s="397"/>
      <c r="C771" s="397"/>
      <c r="D771" s="397"/>
      <c r="E771" s="397"/>
      <c r="F771" s="397"/>
      <c r="G771" s="397"/>
      <c r="H771" s="397"/>
      <c r="I771" s="397"/>
      <c r="J771" s="397"/>
      <c r="K771" s="397"/>
      <c r="L771" s="397"/>
      <c r="M771" s="399"/>
      <c r="N771" s="400"/>
      <c r="O771" s="400"/>
      <c r="P771" s="397"/>
      <c r="Q771" s="397"/>
      <c r="R771" s="397"/>
      <c r="S771" s="377"/>
      <c r="T771" s="377"/>
      <c r="U771" s="377"/>
      <c r="V771" s="377"/>
      <c r="W771" s="377"/>
      <c r="X771" s="377"/>
      <c r="Y771" s="377"/>
    </row>
    <row r="772" spans="1:25" ht="15.75">
      <c r="A772" s="398"/>
      <c r="B772" s="397"/>
      <c r="C772" s="397"/>
      <c r="D772" s="397"/>
      <c r="E772" s="397"/>
      <c r="F772" s="397"/>
      <c r="G772" s="397"/>
      <c r="H772" s="397"/>
      <c r="I772" s="397"/>
      <c r="J772" s="397"/>
      <c r="K772" s="397"/>
      <c r="L772" s="397"/>
      <c r="M772" s="399"/>
      <c r="N772" s="400"/>
      <c r="O772" s="400"/>
      <c r="P772" s="397"/>
      <c r="Q772" s="397"/>
      <c r="R772" s="397"/>
      <c r="S772" s="377"/>
      <c r="T772" s="377"/>
      <c r="U772" s="377"/>
      <c r="V772" s="377"/>
      <c r="W772" s="377"/>
      <c r="X772" s="377"/>
      <c r="Y772" s="377"/>
    </row>
    <row r="773" spans="1:25" ht="15.75">
      <c r="A773" s="398"/>
      <c r="B773" s="397"/>
      <c r="C773" s="397"/>
      <c r="D773" s="397"/>
      <c r="E773" s="397"/>
      <c r="F773" s="397"/>
      <c r="G773" s="397"/>
      <c r="H773" s="397"/>
      <c r="I773" s="397"/>
      <c r="J773" s="397"/>
      <c r="K773" s="397"/>
      <c r="L773" s="397"/>
      <c r="M773" s="399"/>
      <c r="N773" s="400"/>
      <c r="O773" s="400"/>
      <c r="P773" s="397"/>
      <c r="Q773" s="397"/>
      <c r="R773" s="397"/>
      <c r="S773" s="377"/>
      <c r="T773" s="377"/>
      <c r="U773" s="377"/>
      <c r="V773" s="377"/>
      <c r="W773" s="377"/>
      <c r="X773" s="377"/>
      <c r="Y773" s="377"/>
    </row>
    <row r="774" spans="1:25" ht="15.75">
      <c r="A774" s="398"/>
      <c r="B774" s="397"/>
      <c r="C774" s="397"/>
      <c r="D774" s="397"/>
      <c r="E774" s="397"/>
      <c r="F774" s="397"/>
      <c r="G774" s="397"/>
      <c r="H774" s="397"/>
      <c r="I774" s="397"/>
      <c r="J774" s="397"/>
      <c r="K774" s="397"/>
      <c r="L774" s="397"/>
      <c r="M774" s="399"/>
      <c r="N774" s="400"/>
      <c r="O774" s="400"/>
      <c r="P774" s="397"/>
      <c r="Q774" s="397"/>
      <c r="R774" s="397"/>
      <c r="S774" s="377"/>
      <c r="T774" s="377"/>
      <c r="U774" s="377"/>
      <c r="V774" s="377"/>
      <c r="W774" s="377"/>
      <c r="X774" s="377"/>
      <c r="Y774" s="377"/>
    </row>
    <row r="775" spans="1:25" ht="15.75">
      <c r="A775" s="398"/>
      <c r="B775" s="397"/>
      <c r="C775" s="397"/>
      <c r="D775" s="397"/>
      <c r="E775" s="397"/>
      <c r="F775" s="397"/>
      <c r="G775" s="397"/>
      <c r="H775" s="397"/>
      <c r="I775" s="397"/>
      <c r="J775" s="397"/>
      <c r="K775" s="397"/>
      <c r="L775" s="397"/>
      <c r="M775" s="399"/>
      <c r="N775" s="400"/>
      <c r="O775" s="400"/>
      <c r="P775" s="397"/>
      <c r="Q775" s="397"/>
      <c r="R775" s="397"/>
      <c r="S775" s="377"/>
      <c r="T775" s="377"/>
      <c r="U775" s="377"/>
      <c r="V775" s="377"/>
      <c r="W775" s="377"/>
      <c r="X775" s="377"/>
      <c r="Y775" s="377"/>
    </row>
    <row r="776" spans="1:25" ht="15.75">
      <c r="A776" s="398"/>
      <c r="B776" s="397"/>
      <c r="C776" s="397"/>
      <c r="D776" s="397"/>
      <c r="E776" s="397"/>
      <c r="F776" s="397"/>
      <c r="G776" s="397"/>
      <c r="H776" s="397"/>
      <c r="I776" s="397"/>
      <c r="J776" s="397"/>
      <c r="K776" s="397"/>
      <c r="L776" s="397"/>
      <c r="M776" s="399"/>
      <c r="N776" s="400"/>
      <c r="O776" s="400"/>
      <c r="P776" s="397"/>
      <c r="Q776" s="397"/>
      <c r="R776" s="397"/>
      <c r="S776" s="377"/>
      <c r="T776" s="377"/>
      <c r="U776" s="377"/>
      <c r="V776" s="377"/>
      <c r="W776" s="377"/>
      <c r="X776" s="377"/>
      <c r="Y776" s="377"/>
    </row>
    <row r="777" spans="1:25" ht="15.75">
      <c r="A777" s="398"/>
      <c r="B777" s="397"/>
      <c r="C777" s="397"/>
      <c r="D777" s="397"/>
      <c r="E777" s="397"/>
      <c r="F777" s="397"/>
      <c r="G777" s="397"/>
      <c r="H777" s="397"/>
      <c r="I777" s="397"/>
      <c r="J777" s="397"/>
      <c r="K777" s="397"/>
      <c r="L777" s="397"/>
      <c r="M777" s="399"/>
      <c r="N777" s="400"/>
      <c r="O777" s="400"/>
      <c r="P777" s="397"/>
      <c r="Q777" s="397"/>
      <c r="R777" s="397"/>
      <c r="S777" s="377"/>
      <c r="T777" s="377"/>
      <c r="U777" s="377"/>
      <c r="V777" s="377"/>
      <c r="W777" s="377"/>
      <c r="X777" s="377"/>
      <c r="Y777" s="377"/>
    </row>
    <row r="778" spans="1:25" ht="15.75">
      <c r="A778" s="398"/>
      <c r="B778" s="397"/>
      <c r="C778" s="397"/>
      <c r="D778" s="397"/>
      <c r="E778" s="397"/>
      <c r="F778" s="397"/>
      <c r="G778" s="397"/>
      <c r="H778" s="397"/>
      <c r="I778" s="397"/>
      <c r="J778" s="397"/>
      <c r="K778" s="397"/>
      <c r="L778" s="397"/>
      <c r="M778" s="399"/>
      <c r="N778" s="400"/>
      <c r="O778" s="400"/>
      <c r="P778" s="397"/>
      <c r="Q778" s="397"/>
      <c r="R778" s="397"/>
      <c r="S778" s="377"/>
      <c r="T778" s="377"/>
      <c r="U778" s="377"/>
      <c r="V778" s="377"/>
      <c r="W778" s="377"/>
      <c r="X778" s="377"/>
      <c r="Y778" s="377"/>
    </row>
    <row r="779" spans="1:25" ht="15.75">
      <c r="A779" s="398"/>
      <c r="B779" s="397"/>
      <c r="C779" s="397"/>
      <c r="D779" s="397"/>
      <c r="E779" s="397"/>
      <c r="F779" s="397"/>
      <c r="G779" s="397"/>
      <c r="H779" s="397"/>
      <c r="I779" s="397"/>
      <c r="J779" s="397"/>
      <c r="K779" s="397"/>
      <c r="L779" s="397"/>
      <c r="M779" s="399"/>
      <c r="N779" s="400"/>
      <c r="O779" s="400"/>
      <c r="P779" s="397"/>
      <c r="Q779" s="397"/>
      <c r="R779" s="397"/>
      <c r="S779" s="377"/>
      <c r="T779" s="377"/>
      <c r="U779" s="377"/>
      <c r="V779" s="377"/>
      <c r="W779" s="377"/>
      <c r="X779" s="377"/>
      <c r="Y779" s="377"/>
    </row>
    <row r="780" spans="1:25" ht="15.75">
      <c r="A780" s="398"/>
      <c r="B780" s="397"/>
      <c r="C780" s="397"/>
      <c r="D780" s="397"/>
      <c r="E780" s="397"/>
      <c r="F780" s="397"/>
      <c r="G780" s="397"/>
      <c r="H780" s="397"/>
      <c r="I780" s="397"/>
      <c r="J780" s="397"/>
      <c r="K780" s="397"/>
      <c r="L780" s="397"/>
      <c r="M780" s="399"/>
      <c r="N780" s="400"/>
      <c r="O780" s="400"/>
      <c r="P780" s="397"/>
      <c r="Q780" s="397"/>
      <c r="R780" s="397"/>
      <c r="S780" s="377"/>
      <c r="T780" s="377"/>
      <c r="U780" s="377"/>
      <c r="V780" s="377"/>
      <c r="W780" s="377"/>
      <c r="X780" s="377"/>
      <c r="Y780" s="377"/>
    </row>
    <row r="781" spans="1:25" ht="15.75">
      <c r="A781" s="398"/>
      <c r="B781" s="397"/>
      <c r="C781" s="397"/>
      <c r="D781" s="397"/>
      <c r="E781" s="397"/>
      <c r="F781" s="397"/>
      <c r="G781" s="397"/>
      <c r="H781" s="397"/>
      <c r="I781" s="397"/>
      <c r="J781" s="397"/>
      <c r="K781" s="397"/>
      <c r="L781" s="397"/>
      <c r="M781" s="399"/>
      <c r="N781" s="400"/>
      <c r="O781" s="400"/>
      <c r="P781" s="397"/>
      <c r="Q781" s="397"/>
      <c r="R781" s="397"/>
      <c r="S781" s="377"/>
      <c r="T781" s="377"/>
      <c r="U781" s="377"/>
      <c r="V781" s="377"/>
      <c r="W781" s="377"/>
      <c r="X781" s="377"/>
      <c r="Y781" s="377"/>
    </row>
    <row r="782" spans="1:25" ht="15.75">
      <c r="A782" s="398"/>
      <c r="B782" s="397"/>
      <c r="C782" s="397"/>
      <c r="D782" s="397"/>
      <c r="E782" s="397"/>
      <c r="F782" s="397"/>
      <c r="G782" s="397"/>
      <c r="H782" s="397"/>
      <c r="I782" s="397"/>
      <c r="J782" s="397"/>
      <c r="K782" s="397"/>
      <c r="L782" s="397"/>
      <c r="M782" s="399"/>
      <c r="N782" s="400"/>
      <c r="O782" s="400"/>
      <c r="P782" s="397"/>
      <c r="Q782" s="397"/>
      <c r="R782" s="397"/>
      <c r="S782" s="377"/>
      <c r="T782" s="377"/>
      <c r="U782" s="377"/>
      <c r="V782" s="377"/>
      <c r="W782" s="377"/>
      <c r="X782" s="377"/>
      <c r="Y782" s="377"/>
    </row>
    <row r="783" spans="1:25" ht="15.75">
      <c r="A783" s="398"/>
      <c r="B783" s="397"/>
      <c r="C783" s="397"/>
      <c r="D783" s="397"/>
      <c r="E783" s="397"/>
      <c r="F783" s="397"/>
      <c r="G783" s="397"/>
      <c r="H783" s="397"/>
      <c r="I783" s="397"/>
      <c r="J783" s="397"/>
      <c r="K783" s="397"/>
      <c r="L783" s="397"/>
      <c r="M783" s="399"/>
      <c r="N783" s="400"/>
      <c r="O783" s="400"/>
      <c r="P783" s="397"/>
      <c r="Q783" s="397"/>
      <c r="R783" s="397"/>
      <c r="S783" s="377"/>
      <c r="T783" s="377"/>
      <c r="U783" s="377"/>
      <c r="V783" s="377"/>
      <c r="W783" s="377"/>
      <c r="X783" s="377"/>
      <c r="Y783" s="377"/>
    </row>
    <row r="784" spans="1:25" ht="15.75">
      <c r="A784" s="398"/>
      <c r="B784" s="397"/>
      <c r="C784" s="397"/>
      <c r="D784" s="397"/>
      <c r="E784" s="397"/>
      <c r="F784" s="397"/>
      <c r="G784" s="397"/>
      <c r="H784" s="397"/>
      <c r="I784" s="397"/>
      <c r="J784" s="397"/>
      <c r="K784" s="397"/>
      <c r="L784" s="397"/>
      <c r="M784" s="399"/>
      <c r="N784" s="400"/>
      <c r="O784" s="400"/>
      <c r="P784" s="397"/>
      <c r="Q784" s="397"/>
      <c r="R784" s="397"/>
      <c r="S784" s="377"/>
      <c r="T784" s="377"/>
      <c r="U784" s="377"/>
      <c r="V784" s="377"/>
      <c r="W784" s="377"/>
      <c r="X784" s="377"/>
      <c r="Y784" s="377"/>
    </row>
    <row r="785" spans="1:25" ht="15.75">
      <c r="A785" s="398"/>
      <c r="B785" s="397"/>
      <c r="C785" s="397"/>
      <c r="D785" s="397"/>
      <c r="E785" s="397"/>
      <c r="F785" s="397"/>
      <c r="G785" s="397"/>
      <c r="H785" s="397"/>
      <c r="I785" s="397"/>
      <c r="J785" s="397"/>
      <c r="K785" s="397"/>
      <c r="L785" s="397"/>
      <c r="M785" s="399"/>
      <c r="N785" s="400"/>
      <c r="O785" s="400"/>
      <c r="P785" s="397"/>
      <c r="Q785" s="397"/>
      <c r="R785" s="397"/>
      <c r="S785" s="377"/>
      <c r="T785" s="377"/>
      <c r="U785" s="377"/>
      <c r="V785" s="377"/>
      <c r="W785" s="377"/>
      <c r="X785" s="377"/>
      <c r="Y785" s="377"/>
    </row>
    <row r="786" spans="1:25" ht="15.75">
      <c r="A786" s="398"/>
      <c r="B786" s="397"/>
      <c r="C786" s="397"/>
      <c r="D786" s="397"/>
      <c r="E786" s="397"/>
      <c r="F786" s="397"/>
      <c r="G786" s="397"/>
      <c r="H786" s="397"/>
      <c r="I786" s="397"/>
      <c r="J786" s="397"/>
      <c r="K786" s="397"/>
      <c r="L786" s="397"/>
      <c r="M786" s="399"/>
      <c r="N786" s="400"/>
      <c r="O786" s="400"/>
      <c r="P786" s="397"/>
      <c r="Q786" s="397"/>
      <c r="R786" s="397"/>
      <c r="S786" s="377"/>
      <c r="T786" s="377"/>
      <c r="U786" s="377"/>
      <c r="V786" s="377"/>
      <c r="W786" s="377"/>
      <c r="X786" s="377"/>
      <c r="Y786" s="377"/>
    </row>
    <row r="787" spans="1:25" ht="15.75">
      <c r="A787" s="398"/>
      <c r="B787" s="397"/>
      <c r="C787" s="397"/>
      <c r="D787" s="397"/>
      <c r="E787" s="397"/>
      <c r="F787" s="397"/>
      <c r="G787" s="397"/>
      <c r="H787" s="397"/>
      <c r="I787" s="397"/>
      <c r="J787" s="397"/>
      <c r="K787" s="397"/>
      <c r="L787" s="397"/>
      <c r="M787" s="399"/>
      <c r="N787" s="400"/>
      <c r="O787" s="400"/>
      <c r="P787" s="397"/>
      <c r="Q787" s="397"/>
      <c r="R787" s="397"/>
      <c r="S787" s="377"/>
      <c r="T787" s="377"/>
      <c r="U787" s="377"/>
      <c r="V787" s="377"/>
      <c r="W787" s="377"/>
      <c r="X787" s="377"/>
      <c r="Y787" s="377"/>
    </row>
    <row r="788" spans="1:25" ht="15.75">
      <c r="A788" s="398"/>
      <c r="B788" s="397"/>
      <c r="C788" s="397"/>
      <c r="D788" s="397"/>
      <c r="E788" s="397"/>
      <c r="F788" s="397"/>
      <c r="G788" s="397"/>
      <c r="H788" s="397"/>
      <c r="I788" s="397"/>
      <c r="J788" s="397"/>
      <c r="K788" s="397"/>
      <c r="L788" s="397"/>
      <c r="M788" s="399"/>
      <c r="N788" s="400"/>
      <c r="O788" s="400"/>
      <c r="P788" s="397"/>
      <c r="Q788" s="397"/>
      <c r="R788" s="397"/>
      <c r="S788" s="377"/>
      <c r="T788" s="377"/>
      <c r="U788" s="377"/>
      <c r="V788" s="377"/>
      <c r="W788" s="377"/>
      <c r="X788" s="377"/>
      <c r="Y788" s="377"/>
    </row>
    <row r="789" spans="1:25" ht="15.75">
      <c r="A789" s="398"/>
      <c r="B789" s="397"/>
      <c r="C789" s="397"/>
      <c r="D789" s="397"/>
      <c r="E789" s="397"/>
      <c r="F789" s="397"/>
      <c r="G789" s="397"/>
      <c r="H789" s="397"/>
      <c r="I789" s="397"/>
      <c r="J789" s="397"/>
      <c r="K789" s="397"/>
      <c r="L789" s="397"/>
      <c r="M789" s="399"/>
      <c r="N789" s="400"/>
      <c r="O789" s="400"/>
      <c r="P789" s="397"/>
      <c r="Q789" s="397"/>
      <c r="R789" s="397"/>
      <c r="S789" s="377"/>
      <c r="T789" s="377"/>
      <c r="U789" s="377"/>
      <c r="V789" s="377"/>
      <c r="W789" s="377"/>
      <c r="X789" s="377"/>
      <c r="Y789" s="377"/>
    </row>
    <row r="790" spans="1:25" ht="15.75">
      <c r="A790" s="398"/>
      <c r="B790" s="397"/>
      <c r="C790" s="397"/>
      <c r="D790" s="397"/>
      <c r="E790" s="397"/>
      <c r="F790" s="397"/>
      <c r="G790" s="397"/>
      <c r="H790" s="397"/>
      <c r="I790" s="397"/>
      <c r="J790" s="397"/>
      <c r="K790" s="397"/>
      <c r="L790" s="397"/>
      <c r="M790" s="399"/>
      <c r="N790" s="400"/>
      <c r="O790" s="400"/>
      <c r="P790" s="397"/>
      <c r="Q790" s="397"/>
      <c r="R790" s="397"/>
      <c r="S790" s="377"/>
      <c r="T790" s="377"/>
      <c r="U790" s="377"/>
      <c r="V790" s="377"/>
      <c r="W790" s="377"/>
      <c r="X790" s="377"/>
      <c r="Y790" s="377"/>
    </row>
    <row r="791" spans="1:25" ht="15.75">
      <c r="A791" s="398"/>
      <c r="B791" s="397"/>
      <c r="C791" s="397"/>
      <c r="D791" s="397"/>
      <c r="E791" s="397"/>
      <c r="F791" s="397"/>
      <c r="G791" s="397"/>
      <c r="H791" s="397"/>
      <c r="I791" s="397"/>
      <c r="J791" s="397"/>
      <c r="K791" s="397"/>
      <c r="L791" s="397"/>
      <c r="M791" s="399"/>
      <c r="N791" s="400"/>
      <c r="O791" s="400"/>
      <c r="P791" s="397"/>
      <c r="Q791" s="397"/>
      <c r="R791" s="397"/>
      <c r="S791" s="377"/>
      <c r="T791" s="377"/>
      <c r="U791" s="377"/>
      <c r="V791" s="377"/>
      <c r="W791" s="377"/>
      <c r="X791" s="377"/>
      <c r="Y791" s="377"/>
    </row>
    <row r="792" spans="1:25" ht="15.75">
      <c r="A792" s="398"/>
      <c r="B792" s="397"/>
      <c r="C792" s="397"/>
      <c r="D792" s="397"/>
      <c r="E792" s="397"/>
      <c r="F792" s="397"/>
      <c r="G792" s="397"/>
      <c r="H792" s="397"/>
      <c r="I792" s="397"/>
      <c r="J792" s="397"/>
      <c r="K792" s="397"/>
      <c r="L792" s="397"/>
      <c r="M792" s="399"/>
      <c r="N792" s="400"/>
      <c r="O792" s="400"/>
      <c r="P792" s="397"/>
      <c r="Q792" s="397"/>
      <c r="R792" s="397"/>
      <c r="S792" s="377"/>
      <c r="T792" s="377"/>
      <c r="U792" s="377"/>
      <c r="V792" s="377"/>
      <c r="W792" s="377"/>
      <c r="X792" s="377"/>
      <c r="Y792" s="377"/>
    </row>
    <row r="793" spans="1:25" ht="15.75">
      <c r="A793" s="398"/>
      <c r="B793" s="397"/>
      <c r="C793" s="397"/>
      <c r="D793" s="397"/>
      <c r="E793" s="397"/>
      <c r="F793" s="397"/>
      <c r="G793" s="397"/>
      <c r="H793" s="397"/>
      <c r="I793" s="397"/>
      <c r="J793" s="397"/>
      <c r="K793" s="397"/>
      <c r="L793" s="397"/>
      <c r="M793" s="399"/>
      <c r="N793" s="400"/>
      <c r="O793" s="400"/>
      <c r="P793" s="397"/>
      <c r="Q793" s="397"/>
      <c r="R793" s="397"/>
      <c r="S793" s="377"/>
      <c r="T793" s="377"/>
      <c r="U793" s="377"/>
      <c r="V793" s="377"/>
      <c r="W793" s="377"/>
      <c r="X793" s="377"/>
      <c r="Y793" s="377"/>
    </row>
    <row r="794" spans="1:25" ht="15.75">
      <c r="A794" s="398"/>
      <c r="B794" s="397"/>
      <c r="C794" s="397"/>
      <c r="D794" s="397"/>
      <c r="E794" s="397"/>
      <c r="F794" s="397"/>
      <c r="G794" s="397"/>
      <c r="H794" s="397"/>
      <c r="I794" s="397"/>
      <c r="J794" s="397"/>
      <c r="K794" s="397"/>
      <c r="L794" s="397"/>
      <c r="M794" s="399"/>
      <c r="N794" s="400"/>
      <c r="O794" s="400"/>
      <c r="P794" s="397"/>
      <c r="Q794" s="397"/>
      <c r="R794" s="397"/>
      <c r="S794" s="377"/>
      <c r="T794" s="377"/>
      <c r="U794" s="377"/>
      <c r="V794" s="377"/>
      <c r="W794" s="377"/>
      <c r="X794" s="377"/>
      <c r="Y794" s="377"/>
    </row>
    <row r="795" spans="1:25" ht="15.75">
      <c r="A795" s="398"/>
      <c r="B795" s="397"/>
      <c r="C795" s="397"/>
      <c r="D795" s="397"/>
      <c r="E795" s="397"/>
      <c r="F795" s="397"/>
      <c r="G795" s="397"/>
      <c r="H795" s="397"/>
      <c r="I795" s="397"/>
      <c r="J795" s="397"/>
      <c r="K795" s="397"/>
      <c r="L795" s="397"/>
      <c r="M795" s="399"/>
      <c r="N795" s="400"/>
      <c r="O795" s="400"/>
      <c r="P795" s="397"/>
      <c r="Q795" s="397"/>
      <c r="R795" s="397"/>
      <c r="S795" s="377"/>
      <c r="T795" s="377"/>
      <c r="U795" s="377"/>
      <c r="V795" s="377"/>
      <c r="W795" s="377"/>
      <c r="X795" s="377"/>
      <c r="Y795" s="377"/>
    </row>
    <row r="796" spans="1:25" ht="15.75">
      <c r="A796" s="398"/>
      <c r="B796" s="397"/>
      <c r="C796" s="397"/>
      <c r="D796" s="397"/>
      <c r="E796" s="397"/>
      <c r="F796" s="397"/>
      <c r="G796" s="397"/>
      <c r="H796" s="397"/>
      <c r="I796" s="397"/>
      <c r="J796" s="397"/>
      <c r="K796" s="397"/>
      <c r="L796" s="397"/>
      <c r="M796" s="399"/>
      <c r="N796" s="400"/>
      <c r="O796" s="400"/>
      <c r="P796" s="397"/>
      <c r="Q796" s="397"/>
      <c r="R796" s="397"/>
      <c r="S796" s="377"/>
      <c r="T796" s="377"/>
      <c r="U796" s="377"/>
      <c r="V796" s="377"/>
      <c r="W796" s="377"/>
      <c r="X796" s="377"/>
      <c r="Y796" s="377"/>
    </row>
    <row r="797" spans="1:25" ht="15.75">
      <c r="A797" s="398"/>
      <c r="B797" s="397"/>
      <c r="C797" s="397"/>
      <c r="D797" s="397"/>
      <c r="E797" s="397"/>
      <c r="F797" s="397"/>
      <c r="G797" s="397"/>
      <c r="H797" s="397"/>
      <c r="I797" s="397"/>
      <c r="J797" s="397"/>
      <c r="K797" s="397"/>
      <c r="L797" s="397"/>
      <c r="M797" s="399"/>
      <c r="N797" s="400"/>
      <c r="O797" s="400"/>
      <c r="P797" s="397"/>
      <c r="Q797" s="397"/>
      <c r="R797" s="397"/>
      <c r="S797" s="377"/>
      <c r="T797" s="377"/>
      <c r="U797" s="377"/>
      <c r="V797" s="377"/>
      <c r="W797" s="377"/>
      <c r="X797" s="377"/>
      <c r="Y797" s="377"/>
    </row>
    <row r="798" spans="1:25" ht="15.75">
      <c r="A798" s="398"/>
      <c r="B798" s="397"/>
      <c r="C798" s="397"/>
      <c r="D798" s="397"/>
      <c r="E798" s="397"/>
      <c r="F798" s="397"/>
      <c r="G798" s="397"/>
      <c r="H798" s="397"/>
      <c r="I798" s="397"/>
      <c r="J798" s="397"/>
      <c r="K798" s="397"/>
      <c r="L798" s="397"/>
      <c r="M798" s="399"/>
      <c r="N798" s="400"/>
      <c r="O798" s="400"/>
      <c r="P798" s="397"/>
      <c r="Q798" s="397"/>
      <c r="R798" s="397"/>
      <c r="S798" s="377"/>
      <c r="T798" s="377"/>
      <c r="U798" s="377"/>
      <c r="V798" s="377"/>
      <c r="W798" s="377"/>
      <c r="X798" s="377"/>
      <c r="Y798" s="377"/>
    </row>
    <row r="799" spans="1:25" ht="15.75">
      <c r="A799" s="398"/>
      <c r="B799" s="397"/>
      <c r="C799" s="397"/>
      <c r="D799" s="397"/>
      <c r="E799" s="397"/>
      <c r="F799" s="397"/>
      <c r="G799" s="397"/>
      <c r="H799" s="397"/>
      <c r="I799" s="397"/>
      <c r="J799" s="397"/>
      <c r="K799" s="397"/>
      <c r="L799" s="397"/>
      <c r="M799" s="399"/>
      <c r="N799" s="400"/>
      <c r="O799" s="400"/>
      <c r="P799" s="397"/>
      <c r="Q799" s="397"/>
      <c r="R799" s="397"/>
      <c r="S799" s="377"/>
      <c r="T799" s="377"/>
      <c r="U799" s="377"/>
      <c r="V799" s="377"/>
      <c r="W799" s="377"/>
      <c r="X799" s="377"/>
      <c r="Y799" s="377"/>
    </row>
    <row r="800" spans="1:25" ht="15.75">
      <c r="A800" s="398"/>
      <c r="B800" s="397"/>
      <c r="C800" s="397"/>
      <c r="D800" s="397"/>
      <c r="E800" s="397"/>
      <c r="F800" s="397"/>
      <c r="G800" s="397"/>
      <c r="H800" s="397"/>
      <c r="I800" s="397"/>
      <c r="J800" s="397"/>
      <c r="K800" s="397"/>
      <c r="L800" s="397"/>
      <c r="M800" s="399"/>
      <c r="N800" s="400"/>
      <c r="O800" s="400"/>
      <c r="P800" s="397"/>
      <c r="Q800" s="397"/>
      <c r="R800" s="397"/>
      <c r="S800" s="377"/>
      <c r="T800" s="377"/>
      <c r="U800" s="377"/>
      <c r="V800" s="377"/>
      <c r="W800" s="377"/>
      <c r="X800" s="377"/>
      <c r="Y800" s="377"/>
    </row>
    <row r="801" spans="1:25" ht="15.75">
      <c r="A801" s="398"/>
      <c r="B801" s="397"/>
      <c r="C801" s="397"/>
      <c r="D801" s="397"/>
      <c r="E801" s="397"/>
      <c r="F801" s="397"/>
      <c r="G801" s="397"/>
      <c r="H801" s="397"/>
      <c r="I801" s="397"/>
      <c r="J801" s="397"/>
      <c r="K801" s="397"/>
      <c r="L801" s="397"/>
      <c r="M801" s="399"/>
      <c r="N801" s="400"/>
      <c r="O801" s="400"/>
      <c r="P801" s="397"/>
      <c r="Q801" s="397"/>
      <c r="R801" s="397"/>
      <c r="S801" s="377"/>
      <c r="T801" s="377"/>
      <c r="U801" s="377"/>
      <c r="V801" s="377"/>
      <c r="W801" s="377"/>
      <c r="X801" s="377"/>
      <c r="Y801" s="377"/>
    </row>
    <row r="802" spans="1:25" ht="15.75">
      <c r="A802" s="398"/>
      <c r="B802" s="397"/>
      <c r="C802" s="397"/>
      <c r="D802" s="397"/>
      <c r="E802" s="397"/>
      <c r="F802" s="397"/>
      <c r="G802" s="397"/>
      <c r="H802" s="397"/>
      <c r="I802" s="397"/>
      <c r="J802" s="397"/>
      <c r="K802" s="397"/>
      <c r="L802" s="397"/>
      <c r="M802" s="399"/>
      <c r="N802" s="400"/>
      <c r="O802" s="400"/>
      <c r="P802" s="397"/>
      <c r="Q802" s="397"/>
      <c r="R802" s="397"/>
      <c r="S802" s="377"/>
      <c r="T802" s="377"/>
      <c r="U802" s="377"/>
      <c r="V802" s="377"/>
      <c r="W802" s="377"/>
      <c r="X802" s="377"/>
      <c r="Y802" s="377"/>
    </row>
    <row r="803" spans="1:25" ht="15.75">
      <c r="A803" s="398"/>
      <c r="B803" s="397"/>
      <c r="C803" s="397"/>
      <c r="D803" s="397"/>
      <c r="E803" s="397"/>
      <c r="F803" s="397"/>
      <c r="G803" s="397"/>
      <c r="H803" s="397"/>
      <c r="I803" s="397"/>
      <c r="J803" s="397"/>
      <c r="K803" s="397"/>
      <c r="L803" s="397"/>
      <c r="M803" s="399"/>
      <c r="N803" s="400"/>
      <c r="O803" s="400"/>
      <c r="P803" s="397"/>
      <c r="Q803" s="397"/>
      <c r="R803" s="397"/>
      <c r="S803" s="377"/>
      <c r="T803" s="377"/>
      <c r="U803" s="377"/>
      <c r="V803" s="377"/>
      <c r="W803" s="377"/>
      <c r="X803" s="377"/>
      <c r="Y803" s="377"/>
    </row>
    <row r="804" spans="1:25" ht="15.75">
      <c r="A804" s="398"/>
      <c r="B804" s="397"/>
      <c r="C804" s="397"/>
      <c r="D804" s="397"/>
      <c r="E804" s="397"/>
      <c r="F804" s="397"/>
      <c r="G804" s="397"/>
      <c r="H804" s="397"/>
      <c r="I804" s="397"/>
      <c r="J804" s="397"/>
      <c r="K804" s="397"/>
      <c r="L804" s="397"/>
      <c r="M804" s="399"/>
      <c r="N804" s="400"/>
      <c r="O804" s="400"/>
      <c r="P804" s="397"/>
      <c r="Q804" s="397"/>
      <c r="R804" s="397"/>
      <c r="S804" s="377"/>
      <c r="T804" s="377"/>
      <c r="U804" s="377"/>
      <c r="V804" s="377"/>
      <c r="W804" s="377"/>
      <c r="X804" s="377"/>
      <c r="Y804" s="377"/>
    </row>
    <row r="805" spans="1:25" ht="15.75">
      <c r="A805" s="398"/>
      <c r="B805" s="397"/>
      <c r="C805" s="397"/>
      <c r="D805" s="397"/>
      <c r="E805" s="397"/>
      <c r="F805" s="397"/>
      <c r="G805" s="397"/>
      <c r="H805" s="397"/>
      <c r="I805" s="397"/>
      <c r="J805" s="397"/>
      <c r="K805" s="397"/>
      <c r="L805" s="397"/>
      <c r="M805" s="399"/>
      <c r="N805" s="400"/>
      <c r="O805" s="400"/>
      <c r="P805" s="397"/>
      <c r="Q805" s="397"/>
      <c r="R805" s="397"/>
      <c r="S805" s="377"/>
      <c r="T805" s="377"/>
      <c r="U805" s="377"/>
      <c r="V805" s="377"/>
      <c r="W805" s="377"/>
      <c r="X805" s="377"/>
      <c r="Y805" s="377"/>
    </row>
    <row r="806" spans="1:25" ht="15.75">
      <c r="A806" s="398"/>
      <c r="B806" s="397"/>
      <c r="C806" s="397"/>
      <c r="D806" s="397"/>
      <c r="E806" s="397"/>
      <c r="F806" s="397"/>
      <c r="G806" s="397"/>
      <c r="H806" s="397"/>
      <c r="I806" s="397"/>
      <c r="J806" s="397"/>
      <c r="K806" s="397"/>
      <c r="L806" s="397"/>
      <c r="M806" s="399"/>
      <c r="N806" s="400"/>
      <c r="O806" s="400"/>
      <c r="P806" s="397"/>
      <c r="Q806" s="397"/>
      <c r="R806" s="397"/>
      <c r="S806" s="377"/>
      <c r="T806" s="377"/>
      <c r="U806" s="377"/>
      <c r="V806" s="377"/>
      <c r="W806" s="377"/>
      <c r="X806" s="377"/>
      <c r="Y806" s="377"/>
    </row>
    <row r="807" spans="1:25" ht="15.75">
      <c r="A807" s="398"/>
      <c r="B807" s="397"/>
      <c r="C807" s="397"/>
      <c r="D807" s="397"/>
      <c r="E807" s="397"/>
      <c r="F807" s="397"/>
      <c r="G807" s="397"/>
      <c r="H807" s="397"/>
      <c r="I807" s="397"/>
      <c r="J807" s="397"/>
      <c r="K807" s="397"/>
      <c r="L807" s="397"/>
      <c r="M807" s="399"/>
      <c r="N807" s="400"/>
      <c r="O807" s="400"/>
      <c r="P807" s="397"/>
      <c r="Q807" s="397"/>
      <c r="R807" s="397"/>
      <c r="S807" s="377"/>
      <c r="T807" s="377"/>
      <c r="U807" s="377"/>
      <c r="V807" s="377"/>
      <c r="W807" s="377"/>
      <c r="X807" s="377"/>
      <c r="Y807" s="377"/>
    </row>
    <row r="808" spans="1:25" ht="15.75">
      <c r="A808" s="398"/>
      <c r="B808" s="397"/>
      <c r="C808" s="397"/>
      <c r="D808" s="397"/>
      <c r="E808" s="397"/>
      <c r="F808" s="397"/>
      <c r="G808" s="397"/>
      <c r="H808" s="397"/>
      <c r="I808" s="397"/>
      <c r="J808" s="397"/>
      <c r="K808" s="397"/>
      <c r="L808" s="397"/>
      <c r="M808" s="399"/>
      <c r="N808" s="400"/>
      <c r="O808" s="400"/>
      <c r="P808" s="397"/>
      <c r="Q808" s="397"/>
      <c r="R808" s="397"/>
      <c r="S808" s="377"/>
      <c r="T808" s="377"/>
      <c r="U808" s="377"/>
      <c r="V808" s="377"/>
      <c r="W808" s="377"/>
      <c r="X808" s="377"/>
      <c r="Y808" s="377"/>
    </row>
    <row r="809" spans="1:25" ht="15.75">
      <c r="A809" s="398"/>
      <c r="B809" s="397"/>
      <c r="C809" s="397"/>
      <c r="D809" s="397"/>
      <c r="E809" s="397"/>
      <c r="F809" s="397"/>
      <c r="G809" s="397"/>
      <c r="H809" s="397"/>
      <c r="I809" s="397"/>
      <c r="J809" s="397"/>
      <c r="K809" s="397"/>
      <c r="L809" s="397"/>
      <c r="M809" s="399"/>
      <c r="N809" s="400"/>
      <c r="O809" s="400"/>
      <c r="P809" s="397"/>
      <c r="Q809" s="397"/>
      <c r="R809" s="397"/>
      <c r="S809" s="377"/>
      <c r="T809" s="377"/>
      <c r="U809" s="377"/>
      <c r="V809" s="377"/>
      <c r="W809" s="377"/>
      <c r="X809" s="377"/>
      <c r="Y809" s="377"/>
    </row>
    <row r="810" spans="1:25" ht="15.75">
      <c r="A810" s="398"/>
      <c r="B810" s="397"/>
      <c r="C810" s="397"/>
      <c r="D810" s="397"/>
      <c r="E810" s="397"/>
      <c r="F810" s="397"/>
      <c r="G810" s="397"/>
      <c r="H810" s="397"/>
      <c r="I810" s="397"/>
      <c r="J810" s="397"/>
      <c r="K810" s="397"/>
      <c r="L810" s="397"/>
      <c r="M810" s="399"/>
      <c r="N810" s="400"/>
      <c r="O810" s="400"/>
      <c r="P810" s="397"/>
      <c r="Q810" s="397"/>
      <c r="R810" s="397"/>
      <c r="S810" s="377"/>
      <c r="T810" s="377"/>
      <c r="U810" s="377"/>
      <c r="V810" s="377"/>
      <c r="W810" s="377"/>
      <c r="X810" s="377"/>
      <c r="Y810" s="377"/>
    </row>
  </sheetData>
  <mergeCells count="24">
    <mergeCell ref="S261:T261"/>
    <mergeCell ref="S262:T262"/>
    <mergeCell ref="S217:T217"/>
    <mergeCell ref="S218:T218"/>
    <mergeCell ref="S228:T228"/>
    <mergeCell ref="S229:T229"/>
    <mergeCell ref="S230:T230"/>
    <mergeCell ref="S231:T231"/>
    <mergeCell ref="S259:T259"/>
    <mergeCell ref="S210:T210"/>
    <mergeCell ref="S211:T211"/>
    <mergeCell ref="S212:T212"/>
    <mergeCell ref="S216:T216"/>
    <mergeCell ref="S260:T260"/>
    <mergeCell ref="S122:T122"/>
    <mergeCell ref="P163:P165"/>
    <mergeCell ref="S123:T123"/>
    <mergeCell ref="S193:T193"/>
    <mergeCell ref="S209:T209"/>
    <mergeCell ref="S117:T117"/>
    <mergeCell ref="S118:T118"/>
    <mergeCell ref="S119:T119"/>
    <mergeCell ref="S120:T120"/>
    <mergeCell ref="S121:T12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</vt:lpstr>
      <vt:lpstr>Ent</vt:lpstr>
      <vt:lpstr>BOD</vt:lpstr>
      <vt:lpstr>TSS</vt:lpstr>
      <vt:lpstr>Chlor.a</vt:lpstr>
      <vt:lpstr>Turbidity</vt:lpstr>
      <vt:lpstr>All DIC raw data</vt:lpstr>
      <vt:lpstr>DIC Temperatures</vt:lpstr>
      <vt:lpstr>TKN</vt:lpstr>
      <vt:lpstr>NOx_PO4</vt:lpstr>
      <vt:lpstr>All TA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2025-05-27T16:47:45Z</dcterms:modified>
</cp:coreProperties>
</file>